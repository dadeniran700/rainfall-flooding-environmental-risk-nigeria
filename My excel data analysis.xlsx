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6470" firstSheet="1" activeTab="3"/>
  </bookViews>
  <sheets>
    <sheet name="FloodArchive" sheetId="1" r:id="rId1"/>
    <sheet name="Sheet1" sheetId="4" r:id="rId2"/>
    <sheet name="Flood_Data" sheetId="2" r:id="rId3"/>
    <sheet name="Annual Flood" sheetId="3" r:id="rId4"/>
    <sheet name="Flood Annual Final" sheetId="5" r:id="rId5"/>
  </sheets>
  <externalReferences>
    <externalReference r:id="rId7"/>
    <externalReference r:id="rId8"/>
    <externalReference r:id="rId9"/>
  </externalReferences>
  <definedNames>
    <definedName name="_xlnm._FilterDatabase" localSheetId="0" hidden="1">FloodArchive!$A$1:$N$5131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<sst xmlns="http://schemas.openxmlformats.org/spreadsheetml/2006/main" count="16323" uniqueCount="1156">
  <si>
    <t>ID</t>
  </si>
  <si>
    <t>GlideNumber</t>
  </si>
  <si>
    <t>Country</t>
  </si>
  <si>
    <t>OtherCountry</t>
  </si>
  <si>
    <t>long</t>
  </si>
  <si>
    <t>lat</t>
  </si>
  <si>
    <t>Area</t>
  </si>
  <si>
    <t>Began</t>
  </si>
  <si>
    <t>Ended</t>
  </si>
  <si>
    <t>Validation</t>
  </si>
  <si>
    <t>Dead</t>
  </si>
  <si>
    <t>Displaced</t>
  </si>
  <si>
    <t>MainCause</t>
  </si>
  <si>
    <t>Severity</t>
  </si>
  <si>
    <t xml:space="preserve"> Argentina</t>
  </si>
  <si>
    <t>News</t>
  </si>
  <si>
    <t>Heavy rain</t>
  </si>
  <si>
    <t xml:space="preserve"> Brazil</t>
  </si>
  <si>
    <t>Brief torrential rain</t>
  </si>
  <si>
    <t xml:space="preserve"> China</t>
  </si>
  <si>
    <t xml:space="preserve"> Ethiopia </t>
  </si>
  <si>
    <t xml:space="preserve"> Fiji</t>
  </si>
  <si>
    <t xml:space="preserve"> India</t>
  </si>
  <si>
    <t>Monsoonal rain</t>
  </si>
  <si>
    <t xml:space="preserve"> India </t>
  </si>
  <si>
    <t>Dam/Levy, break or release</t>
  </si>
  <si>
    <t xml:space="preserve"> Iran</t>
  </si>
  <si>
    <t xml:space="preserve"> Italy</t>
  </si>
  <si>
    <t xml:space="preserve"> Mexico</t>
  </si>
  <si>
    <t xml:space="preserve"> Nepal</t>
  </si>
  <si>
    <t xml:space="preserve"> Philippines</t>
  </si>
  <si>
    <t xml:space="preserve"> Spain </t>
  </si>
  <si>
    <t xml:space="preserve"> Sri Lanka </t>
  </si>
  <si>
    <t xml:space="preserve"> Thailand </t>
  </si>
  <si>
    <t xml:space="preserve"> Turkey </t>
  </si>
  <si>
    <t> Peru</t>
  </si>
  <si>
    <t> Tajikistan</t>
  </si>
  <si>
    <t>Afghanistan</t>
  </si>
  <si>
    <t>Rain and snowmelt</t>
  </si>
  <si>
    <t>Snowmelt</t>
  </si>
  <si>
    <t>FL-2006-000076-AFG</t>
  </si>
  <si>
    <t>FL-2006-000128-AFG</t>
  </si>
  <si>
    <t>FF-2006-000163-AFG</t>
  </si>
  <si>
    <t>FF-2006-000168-AFG</t>
  </si>
  <si>
    <t>FL-2007-000045-AFG</t>
  </si>
  <si>
    <t>FL-2007-000054-AFG</t>
  </si>
  <si>
    <t>FF-2007-000091-AFG</t>
  </si>
  <si>
    <t>FL-2009-000080-AFG</t>
  </si>
  <si>
    <t>Ice jam/break-up</t>
  </si>
  <si>
    <t>Heavy Rain</t>
  </si>
  <si>
    <t>FL-2010-000021-AFG</t>
  </si>
  <si>
    <t>FL-2010-000086-AFG</t>
  </si>
  <si>
    <t>Torrential Rain</t>
  </si>
  <si>
    <t>FL-2011-000022-AFG</t>
  </si>
  <si>
    <t>Monsoonal Rain</t>
  </si>
  <si>
    <t>FF-2014-000060-AFG</t>
  </si>
  <si>
    <t>FloodList</t>
  </si>
  <si>
    <t>Pakistan</t>
  </si>
  <si>
    <t>FloodLIst</t>
  </si>
  <si>
    <t>Afghanistan </t>
  </si>
  <si>
    <t>Africa</t>
  </si>
  <si>
    <t>Alaska</t>
  </si>
  <si>
    <t>Alaska </t>
  </si>
  <si>
    <t>Albania</t>
  </si>
  <si>
    <t>Torrential rain</t>
  </si>
  <si>
    <t>Montenegro</t>
  </si>
  <si>
    <t>FL-2017-000-174-ALB</t>
  </si>
  <si>
    <t>Heavy Rain and Snowmelt</t>
  </si>
  <si>
    <t>Algeria</t>
  </si>
  <si>
    <t>Morocco</t>
  </si>
  <si>
    <t>FL-2006-000023-DZA</t>
  </si>
  <si>
    <t>FL-2007-000051-TUN</t>
  </si>
  <si>
    <t>Tropical Storm Dominic, Heavy Rains</t>
  </si>
  <si>
    <t>FL-2015-000146-DZA</t>
  </si>
  <si>
    <t>NASA Flood Alerts</t>
  </si>
  <si>
    <t>Algeria </t>
  </si>
  <si>
    <t>American Samoa</t>
  </si>
  <si>
    <t>TS-2009-000209-ASM</t>
  </si>
  <si>
    <t>Tsunami</t>
  </si>
  <si>
    <t>Angola</t>
  </si>
  <si>
    <t>Namibia</t>
  </si>
  <si>
    <t>FF-2007-000020-AGO</t>
  </si>
  <si>
    <t>FL-2009-000063-AGO</t>
  </si>
  <si>
    <t>FL-2010-000049-AGO</t>
  </si>
  <si>
    <t>Angola </t>
  </si>
  <si>
    <t>Antigua</t>
  </si>
  <si>
    <t>Tropical cyclone</t>
  </si>
  <si>
    <t>Argentina</t>
  </si>
  <si>
    <t>Brazil</t>
  </si>
  <si>
    <t>Paraguay</t>
  </si>
  <si>
    <t>Chile</t>
  </si>
  <si>
    <t>FL-2007-000022-ARG</t>
  </si>
  <si>
    <t>FL-2007-000044-ARG</t>
  </si>
  <si>
    <t>FL-2008-000038-ARG</t>
  </si>
  <si>
    <t>FL-2015-000110-ARG</t>
  </si>
  <si>
    <t>Uruguay</t>
  </si>
  <si>
    <t xml:space="preserve"> Heavy Rain and storm surge</t>
  </si>
  <si>
    <t>FL-2017-000039-ARG</t>
  </si>
  <si>
    <t>FL-2018-000014-ARG</t>
  </si>
  <si>
    <t>FloodList and News</t>
  </si>
  <si>
    <t>Argentina </t>
  </si>
  <si>
    <t>Armenia</t>
  </si>
  <si>
    <t>Australia</t>
  </si>
  <si>
    <t>Tropical Cyclone</t>
  </si>
  <si>
    <t>Extra-tropical cyclone</t>
  </si>
  <si>
    <t>FL-2008-000014-AUS</t>
  </si>
  <si>
    <t>TF-2008-000230-CUB</t>
  </si>
  <si>
    <t>Dam Break, Heavy Rain</t>
  </si>
  <si>
    <t>Tropical Storm and Heavy Rain</t>
  </si>
  <si>
    <t>FL-2009-000648</t>
  </si>
  <si>
    <t>Heavy Rain, Tropical Cycl</t>
  </si>
  <si>
    <t>Cylone Tasha, Monsoon Rain, Cyclone</t>
  </si>
  <si>
    <t>Tropical Storm Oswald</t>
  </si>
  <si>
    <t>Monsoonal Rain, Tropical Storm Rust</t>
  </si>
  <si>
    <t>Tropical Storm Fletcher</t>
  </si>
  <si>
    <t>Tropical Storm Marcia</t>
  </si>
  <si>
    <t>TC-2017-000031-AUS</t>
  </si>
  <si>
    <t>New Zealand</t>
  </si>
  <si>
    <t>Tropical Cyclone Debbie</t>
  </si>
  <si>
    <t>Tropical Storm Kelvin</t>
  </si>
  <si>
    <t>Australia </t>
  </si>
  <si>
    <t>Austria</t>
  </si>
  <si>
    <t>Hungary</t>
  </si>
  <si>
    <t>Azerbaijan</t>
  </si>
  <si>
    <t>Azores Islands </t>
  </si>
  <si>
    <t>TC-2015-000142-BHS</t>
  </si>
  <si>
    <t>Bahamas</t>
  </si>
  <si>
    <t>Tropical Storm Joaquin</t>
  </si>
  <si>
    <t>USA</t>
  </si>
  <si>
    <t>Tropical Storm Dorian</t>
  </si>
  <si>
    <t>Bangaldesh</t>
  </si>
  <si>
    <t>India</t>
  </si>
  <si>
    <t>Bangladesh</t>
  </si>
  <si>
    <t>FL-2006-000131-BGD</t>
  </si>
  <si>
    <t>LS-2007-000080-BGD</t>
  </si>
  <si>
    <t>TC-2007-000208-BGD</t>
  </si>
  <si>
    <t>FL-2008-000096-BGD</t>
  </si>
  <si>
    <t>Levee failure, early monsoonal rain</t>
  </si>
  <si>
    <t>Monsoon Rains</t>
  </si>
  <si>
    <t>FL-2009-000123-BGD</t>
  </si>
  <si>
    <t>FL-2010-000070-BGD</t>
  </si>
  <si>
    <t>Heavy Rain and Storm Surge</t>
  </si>
  <si>
    <t>2013-TC-000060-MMR and BGD</t>
  </si>
  <si>
    <t>Myanmar</t>
  </si>
  <si>
    <t>Tropical Storm Mahasen</t>
  </si>
  <si>
    <t>Heavy Rain and High Tide</t>
  </si>
  <si>
    <t>FL-2016-000075-BGD</t>
  </si>
  <si>
    <t>LS-2017-000068-BGD</t>
  </si>
  <si>
    <t>FL-2017-000108-BGD</t>
  </si>
  <si>
    <t>Bangladesh </t>
  </si>
  <si>
    <t>Bangledesh</t>
  </si>
  <si>
    <t>Belarus</t>
  </si>
  <si>
    <t>Ukraine</t>
  </si>
  <si>
    <t>Snow Melt</t>
  </si>
  <si>
    <t>Belarus </t>
  </si>
  <si>
    <t>Belgium</t>
  </si>
  <si>
    <t>Netherlands</t>
  </si>
  <si>
    <t>Belize</t>
  </si>
  <si>
    <t>Mexico</t>
  </si>
  <si>
    <t>FL-2008-000084-BLZ</t>
  </si>
  <si>
    <t>Tropical Storm Arthur</t>
  </si>
  <si>
    <t>Benin</t>
  </si>
  <si>
    <t>FL-2009-00127BEN</t>
  </si>
  <si>
    <t>Bermuda</t>
  </si>
  <si>
    <t>FL-2016-000077-BTN</t>
  </si>
  <si>
    <t>Bhutan</t>
  </si>
  <si>
    <t>Boliva</t>
  </si>
  <si>
    <t>Bolivia</t>
  </si>
  <si>
    <t>FL-2006-000010-BOL</t>
  </si>
  <si>
    <t>FL-2007-000012-BOL</t>
  </si>
  <si>
    <t>FL-2007-000231-BOL</t>
  </si>
  <si>
    <t>FL-2009-000045-BOL</t>
  </si>
  <si>
    <t>FL-2010-000008-BOL</t>
  </si>
  <si>
    <t>FL-2011-000020-BOL</t>
  </si>
  <si>
    <t>Peru</t>
  </si>
  <si>
    <t>FL-2014-000008-BOL</t>
  </si>
  <si>
    <t>FL-2015-000008-BOL</t>
  </si>
  <si>
    <t>FL-2018-000015-BOL</t>
  </si>
  <si>
    <t>Bolivia </t>
  </si>
  <si>
    <t>Bosnia</t>
  </si>
  <si>
    <t>Serbia</t>
  </si>
  <si>
    <t>Flood List</t>
  </si>
  <si>
    <t>Bosnia and Herzegovina</t>
  </si>
  <si>
    <t>FL-2009-000044-BIH</t>
  </si>
  <si>
    <t>Bosnia and Herzogovina</t>
  </si>
  <si>
    <t>FL-2009-000136-BIH</t>
  </si>
  <si>
    <t>Bosnia-Herzegovenia</t>
  </si>
  <si>
    <t>Bosnia-Herzegovina</t>
  </si>
  <si>
    <t>Croatia</t>
  </si>
  <si>
    <t>Botswana</t>
  </si>
  <si>
    <t>FL-2009-000120-BWA</t>
  </si>
  <si>
    <t>Fl-2013-000014-BWA</t>
  </si>
  <si>
    <t>South Africa</t>
  </si>
  <si>
    <t>Rainy Season</t>
  </si>
  <si>
    <t>FL-2006-000017-BRA</t>
  </si>
  <si>
    <t>MS-2007-000004-BRA</t>
  </si>
  <si>
    <t>FL-2008-000010-BRA</t>
  </si>
  <si>
    <t>FL-2008-000045-BRA</t>
  </si>
  <si>
    <t>TC-2008-000237-LKA</t>
  </si>
  <si>
    <t>FL-2009-000089-BRA</t>
  </si>
  <si>
    <t>FL-2010-000067-BRA</t>
  </si>
  <si>
    <t>FL-2010-000120-BRA</t>
  </si>
  <si>
    <t>FL-2011-000002- BRA</t>
  </si>
  <si>
    <t>FL-2012-000003-BRA</t>
  </si>
  <si>
    <t>FL-2012-000032-BOL</t>
  </si>
  <si>
    <t>FL-2013-000157-BRA</t>
  </si>
  <si>
    <t>Torrrential Rain</t>
  </si>
  <si>
    <t>FL-2017-000067-BRA</t>
  </si>
  <si>
    <t>Dam Break</t>
  </si>
  <si>
    <t>Brazil </t>
  </si>
  <si>
    <t>Brazil  </t>
  </si>
  <si>
    <t>Britain</t>
  </si>
  <si>
    <t>Britain, Ireland</t>
  </si>
  <si>
    <t>Bulgaria</t>
  </si>
  <si>
    <t>Turkey</t>
  </si>
  <si>
    <t>FL-2012-000019-BGR</t>
  </si>
  <si>
    <t>Dam Break, Snowmelt, Heavy Rain</t>
  </si>
  <si>
    <t>Greece</t>
  </si>
  <si>
    <t>Romania</t>
  </si>
  <si>
    <t>Burkina Faso</t>
  </si>
  <si>
    <t>FL-2006-000120-BFA</t>
  </si>
  <si>
    <t>Niger</t>
  </si>
  <si>
    <t>FL-2010-000145-BFA</t>
  </si>
  <si>
    <t>Burkino Faso</t>
  </si>
  <si>
    <t>Burma</t>
  </si>
  <si>
    <t>FL-2006-000147-MMR</t>
  </si>
  <si>
    <t>FL-2007-000053-MMR</t>
  </si>
  <si>
    <t>FL-2007-000146-MMR</t>
  </si>
  <si>
    <t>TC-2008-000057-MMR</t>
  </si>
  <si>
    <t>Burma/Myanmar</t>
  </si>
  <si>
    <t>Thailand</t>
  </si>
  <si>
    <t>Burundi</t>
  </si>
  <si>
    <t>FL-2007-000017-BDI</t>
  </si>
  <si>
    <t>FL-2009-000075-BDI</t>
  </si>
  <si>
    <t>Rwanda</t>
  </si>
  <si>
    <t>FL-2015-000076-CMR</t>
  </si>
  <si>
    <t>Camaroun</t>
  </si>
  <si>
    <t>Cambodia</t>
  </si>
  <si>
    <t>Laos</t>
  </si>
  <si>
    <t>Vietnam</t>
  </si>
  <si>
    <t>FL-2006-000130-KHM</t>
  </si>
  <si>
    <t>FL-2011-00071-VNM</t>
  </si>
  <si>
    <t>Viet Nam</t>
  </si>
  <si>
    <t>Tropical Storm, Monsoonal Rain</t>
  </si>
  <si>
    <t>Tropical Storm  Son-Tinh</t>
  </si>
  <si>
    <t>Cambodia </t>
  </si>
  <si>
    <t>Cameroon</t>
  </si>
  <si>
    <t>Cameroon </t>
  </si>
  <si>
    <t>Canada</t>
  </si>
  <si>
    <t>Ice Jams</t>
  </si>
  <si>
    <t>Rain and Snow Melt</t>
  </si>
  <si>
    <t>FF-2008-000123-PAK</t>
  </si>
  <si>
    <t>Snowmelt and Heavy Rain</t>
  </si>
  <si>
    <t>International Charter</t>
  </si>
  <si>
    <t>Heavy Rain and Ice Melt</t>
  </si>
  <si>
    <t>Ice Jam</t>
  </si>
  <si>
    <t>Canada and USA</t>
  </si>
  <si>
    <t>Canada </t>
  </si>
  <si>
    <t>Canary Islands</t>
  </si>
  <si>
    <t>Caribbean</t>
  </si>
  <si>
    <t>Central African Republic</t>
  </si>
  <si>
    <t>Chad</t>
  </si>
  <si>
    <t>FL-2006-000139-TCD</t>
  </si>
  <si>
    <t>Nigeria</t>
  </si>
  <si>
    <t>FL-2007-000151-TCD</t>
  </si>
  <si>
    <t>TC-2008-000143-HTI</t>
  </si>
  <si>
    <t>Heavy seasonal rains</t>
  </si>
  <si>
    <t>Camaroon</t>
  </si>
  <si>
    <t>Chad </t>
  </si>
  <si>
    <t>FL-2008-000069-CHL</t>
  </si>
  <si>
    <t>TC-2008-000112-LBR</t>
  </si>
  <si>
    <t>FL-2015-000027-CHL</t>
  </si>
  <si>
    <t>Chile </t>
  </si>
  <si>
    <t>China</t>
  </si>
  <si>
    <t>Taiwan</t>
  </si>
  <si>
    <t>Russia</t>
  </si>
  <si>
    <t>Kazahkistan</t>
  </si>
  <si>
    <t>FL-2006-000068-CHN</t>
  </si>
  <si>
    <t>FL-2006-000095-CHN</t>
  </si>
  <si>
    <t>TC-2006-000114-CHN</t>
  </si>
  <si>
    <t>FF-2007-000070-CHN</t>
  </si>
  <si>
    <t>FL-2007-000077-CHN</t>
  </si>
  <si>
    <t>FL-2007-000112-CHN</t>
  </si>
  <si>
    <t>TC-2008-000084-CHN</t>
  </si>
  <si>
    <t>Tropical  Storm Fenshen</t>
  </si>
  <si>
    <t>Tropical Storm Fung-Wong</t>
  </si>
  <si>
    <t>TC-2008-000130-CHN</t>
  </si>
  <si>
    <t>Tropical Storm Kammuri</t>
  </si>
  <si>
    <t>FL-2009-000113-CHN</t>
  </si>
  <si>
    <t>FL-2010-000122-CHN</t>
  </si>
  <si>
    <t>Tropical Storm Chanthu</t>
  </si>
  <si>
    <t>Tropical Storm Nesat</t>
  </si>
  <si>
    <t>Typhoons  Damrey and Saola</t>
  </si>
  <si>
    <t>Tropical Storm Sulik</t>
  </si>
  <si>
    <t>Heavy Rain, began with #4079</t>
  </si>
  <si>
    <t>Tropical Storm Utor</t>
  </si>
  <si>
    <t>Tropical Storm Fitow</t>
  </si>
  <si>
    <t>FL-2014-000062-CHN</t>
  </si>
  <si>
    <t>Typhoon Rammasun</t>
  </si>
  <si>
    <t>Tropical Storm Maysak</t>
  </si>
  <si>
    <t>FL-2015-000057-CHN</t>
  </si>
  <si>
    <t>FL-2016-000044-CHN</t>
  </si>
  <si>
    <t>TC-2016-000100-TWN</t>
  </si>
  <si>
    <t>Tropical Storm Meranti</t>
  </si>
  <si>
    <t>TC-2017-000120-CHN</t>
  </si>
  <si>
    <t>Tropical Storm Hato</t>
  </si>
  <si>
    <t>Tropical Storm Ewiniar</t>
  </si>
  <si>
    <t>Monsoonal Rain and Dam release</t>
  </si>
  <si>
    <t>FloodList and other media</t>
  </si>
  <si>
    <t>China  </t>
  </si>
  <si>
    <t>China </t>
  </si>
  <si>
    <t>Colombia</t>
  </si>
  <si>
    <t>Avalanche related</t>
  </si>
  <si>
    <t>Venezuela</t>
  </si>
  <si>
    <t>FL-2006-000042-COL</t>
  </si>
  <si>
    <t>FL-2007-000068-COL</t>
  </si>
  <si>
    <t>Brief Torrential Rain</t>
  </si>
  <si>
    <t>FL-2009-000052-COL</t>
  </si>
  <si>
    <t>FL-2014-000163-COL</t>
  </si>
  <si>
    <t>MS-2017-000033-COL</t>
  </si>
  <si>
    <t>Colombia </t>
  </si>
  <si>
    <t>Columbia</t>
  </si>
  <si>
    <t>Ecuador</t>
  </si>
  <si>
    <t>FL-2008-000076-COL</t>
  </si>
  <si>
    <t>FL-2015-000056-COL</t>
  </si>
  <si>
    <t>Columbia </t>
  </si>
  <si>
    <t>Comoros islands</t>
  </si>
  <si>
    <t>Comoros Islands</t>
  </si>
  <si>
    <t>Congo</t>
  </si>
  <si>
    <t>Zaire</t>
  </si>
  <si>
    <t>Congo Republic</t>
  </si>
  <si>
    <t>Costa Rica</t>
  </si>
  <si>
    <t>Panama</t>
  </si>
  <si>
    <t>FL-2007-000176-CRI</t>
  </si>
  <si>
    <t>FL-2007-000189-NIC</t>
  </si>
  <si>
    <t>FL-2009-000039-CRI</t>
  </si>
  <si>
    <t>Torrential Rain and Mudslides</t>
  </si>
  <si>
    <t>TC-2016-000125-CRI</t>
  </si>
  <si>
    <t>Nicaragua</t>
  </si>
  <si>
    <t>Tropical Storm Otto</t>
  </si>
  <si>
    <t>Cote D'Iavoir</t>
  </si>
  <si>
    <t>MS-2009-000115-CIV</t>
  </si>
  <si>
    <t>Cote d'Ivoire</t>
  </si>
  <si>
    <t>Cuba</t>
  </si>
  <si>
    <t>TC-2008-000229-VNM</t>
  </si>
  <si>
    <t>Cuba </t>
  </si>
  <si>
    <t>Cyprus</t>
  </si>
  <si>
    <t>Israel</t>
  </si>
  <si>
    <t>Czech Republic</t>
  </si>
  <si>
    <t>FL-2006-000045-CZE</t>
  </si>
  <si>
    <t>Germany</t>
  </si>
  <si>
    <t>FL-2009-000121-CZE</t>
  </si>
  <si>
    <t>FF-2010-000094-CZE,</t>
  </si>
  <si>
    <t>Czechoslovakia</t>
  </si>
  <si>
    <t>Czechoslovakia </t>
  </si>
  <si>
    <t>Democratic  Republic of the Congo</t>
  </si>
  <si>
    <t>Democratic Republic Congo</t>
  </si>
  <si>
    <t>Democratic Republic Congo </t>
  </si>
  <si>
    <t>Democratic Republic of Congo</t>
  </si>
  <si>
    <t>FL-2006-000047-COD</t>
  </si>
  <si>
    <t>FL-2007-000197-COD</t>
  </si>
  <si>
    <t>Democratic Republic of the Congo</t>
  </si>
  <si>
    <t>Djibouti</t>
  </si>
  <si>
    <t>Dominican Republic</t>
  </si>
  <si>
    <t>Haiti</t>
  </si>
  <si>
    <t>TC-2007-000198-DOM</t>
  </si>
  <si>
    <t>ST-2007-000224-DOM</t>
  </si>
  <si>
    <t>Tropical Storm Fay</t>
  </si>
  <si>
    <t>FL-2009-000031-DOM</t>
  </si>
  <si>
    <t>FL-2010-000121-DOM</t>
  </si>
  <si>
    <t>Tropical Storm-Emily</t>
  </si>
  <si>
    <t>Tropical Storm Cristobal</t>
  </si>
  <si>
    <t>Tropical Storm Beryl</t>
  </si>
  <si>
    <t>Dominican Republic </t>
  </si>
  <si>
    <t>DR Congo</t>
  </si>
  <si>
    <t>DR Congo </t>
  </si>
  <si>
    <t>East Timor</t>
  </si>
  <si>
    <t>East Timor </t>
  </si>
  <si>
    <t>FL-2006-000034-ECU</t>
  </si>
  <si>
    <t>FL-2008-000018-ECU</t>
  </si>
  <si>
    <t>Ecuador  </t>
  </si>
  <si>
    <t>Ecuador </t>
  </si>
  <si>
    <t>Egypt</t>
  </si>
  <si>
    <t>FL-2010-000012-EGY</t>
  </si>
  <si>
    <t>FL-2016-000114-EGY</t>
  </si>
  <si>
    <t>El Salvador</t>
  </si>
  <si>
    <t>Honduras</t>
  </si>
  <si>
    <t>Guatamala</t>
  </si>
  <si>
    <t>FL-2009-000238-SLV</t>
  </si>
  <si>
    <t>Tropical Storm Track</t>
  </si>
  <si>
    <t>El Salvador </t>
  </si>
  <si>
    <t>El Savador</t>
  </si>
  <si>
    <t>England</t>
  </si>
  <si>
    <t>Estonia</t>
  </si>
  <si>
    <t>Ethiopia</t>
  </si>
  <si>
    <t>Somalia</t>
  </si>
  <si>
    <t>FL-2006-000112-ETH</t>
  </si>
  <si>
    <t>FL-2006-000122-ETH</t>
  </si>
  <si>
    <t>FL-2006-000157-ETH</t>
  </si>
  <si>
    <t>FL-2007-000145-ETH</t>
  </si>
  <si>
    <t>FL-2010-000041-SOM</t>
  </si>
  <si>
    <t>Ethiopia </t>
  </si>
  <si>
    <t>Europe</t>
  </si>
  <si>
    <t>Fiji</t>
  </si>
  <si>
    <t>Solomon Islands</t>
  </si>
  <si>
    <t>FL-2007-000025-FJI</t>
  </si>
  <si>
    <t>FL-2007-000036-FJI</t>
  </si>
  <si>
    <t>FL-2009-000010-FJI</t>
  </si>
  <si>
    <t>TC-2009-000258-FJI</t>
  </si>
  <si>
    <t>Tropical Storm Mick</t>
  </si>
  <si>
    <t>TC-2016-000014-FJI</t>
  </si>
  <si>
    <t>Tropical Storm Winston</t>
  </si>
  <si>
    <t>Tropical Storm Ana</t>
  </si>
  <si>
    <t>Finland</t>
  </si>
  <si>
    <t>France</t>
  </si>
  <si>
    <t>Italy</t>
  </si>
  <si>
    <t>Storm Surge and Heavy Rai</t>
  </si>
  <si>
    <t>France </t>
  </si>
  <si>
    <t>French Polynesia</t>
  </si>
  <si>
    <t>Gabon </t>
  </si>
  <si>
    <t>FL-2012-000037-PSE</t>
  </si>
  <si>
    <t>Gaza</t>
  </si>
  <si>
    <t>Georgia</t>
  </si>
  <si>
    <t>FF-2012-000079-GEO</t>
  </si>
  <si>
    <t>FF-2012-000120-GEO</t>
  </si>
  <si>
    <t>Portugal</t>
  </si>
  <si>
    <t>Winter Storm Axel</t>
  </si>
  <si>
    <t>Ghana</t>
  </si>
  <si>
    <t>FL-2007-000132-BFA</t>
  </si>
  <si>
    <t>Tropical Storm</t>
  </si>
  <si>
    <t>Heavy Rain, Dam Release</t>
  </si>
  <si>
    <t>FL-2015-000065-GHA</t>
  </si>
  <si>
    <t>Togo</t>
  </si>
  <si>
    <t>Ivory Coast</t>
  </si>
  <si>
    <t>Heavy Rain, Dam releases</t>
  </si>
  <si>
    <t>Ghana </t>
  </si>
  <si>
    <t>Macedonia</t>
  </si>
  <si>
    <t>FL-2010-000248-ALB</t>
  </si>
  <si>
    <t>Torrential Rain; Tropical Storm Gon</t>
  </si>
  <si>
    <t>FL-2015-000009-ALB</t>
  </si>
  <si>
    <t>Heavy RAin</t>
  </si>
  <si>
    <t>Storm Zorba</t>
  </si>
  <si>
    <t>Guam</t>
  </si>
  <si>
    <t>FL-2009-000117-GTM</t>
  </si>
  <si>
    <t>TC-2010-000105-GTM</t>
  </si>
  <si>
    <t>Tropical Cyclone Agatha</t>
  </si>
  <si>
    <t>Landslide</t>
  </si>
  <si>
    <t>Guatemala</t>
  </si>
  <si>
    <t>Guatemala </t>
  </si>
  <si>
    <t>Guinea</t>
  </si>
  <si>
    <t>Mali</t>
  </si>
  <si>
    <t>Guyana</t>
  </si>
  <si>
    <t>FL-2006-000009-GUY</t>
  </si>
  <si>
    <t>FL-2008-200246-GUY</t>
  </si>
  <si>
    <t>Suriname</t>
  </si>
  <si>
    <t>FL-2006-000171-HTI</t>
  </si>
  <si>
    <t>FL-2007-000040-HTI</t>
  </si>
  <si>
    <t>FL-2007-000181-HTI</t>
  </si>
  <si>
    <t>Tropical Storm Gustav</t>
  </si>
  <si>
    <t>Tropical Storm Ike</t>
  </si>
  <si>
    <t>FL-2010-000037-HTI</t>
  </si>
  <si>
    <t>TC-2010-000216-HTI</t>
  </si>
  <si>
    <t>Hurricane Tomas</t>
  </si>
  <si>
    <t>TC-2012-000152-HTI</t>
  </si>
  <si>
    <t>Tropical Storm Isaac</t>
  </si>
  <si>
    <t>Tropical Storm Laura</t>
  </si>
  <si>
    <t>News Media</t>
  </si>
  <si>
    <t>Tropical Storm Grace</t>
  </si>
  <si>
    <t>Haiti </t>
  </si>
  <si>
    <t>Tropical Depressions</t>
  </si>
  <si>
    <t>FL-2012-000083-HND</t>
  </si>
  <si>
    <t>Tropical Storm Amanda</t>
  </si>
  <si>
    <t>Honduras </t>
  </si>
  <si>
    <t>Iceland</t>
  </si>
  <si>
    <t>Sri Lanka</t>
  </si>
  <si>
    <t>Nepal</t>
  </si>
  <si>
    <t>Monsoonal Rain and Dam Break</t>
  </si>
  <si>
    <t>FF-2006-000082-IND</t>
  </si>
  <si>
    <t>FL-2006-000096-IND</t>
  </si>
  <si>
    <t>FL-2006-000094-IND</t>
  </si>
  <si>
    <t>FL-2006-000137-IND</t>
  </si>
  <si>
    <t>FL-2006-000117-IND</t>
  </si>
  <si>
    <t>LS-2007-000037-PAK</t>
  </si>
  <si>
    <t>FF-2007-000083-IND</t>
  </si>
  <si>
    <t>TC-2007-000084-IND</t>
  </si>
  <si>
    <t>FL-2007-000096-IND</t>
  </si>
  <si>
    <t>FL-2007-000203-IND</t>
  </si>
  <si>
    <t>FL-2008-000084-CHN</t>
  </si>
  <si>
    <t>Monsoon Rain</t>
  </si>
  <si>
    <t>monsoonal rainfall</t>
  </si>
  <si>
    <t>Heavy monsoon rains</t>
  </si>
  <si>
    <t>Dam release and Heavy  Rain</t>
  </si>
  <si>
    <t>FL-2009-000122-IND</t>
  </si>
  <si>
    <t>Levee failure</t>
  </si>
  <si>
    <t>Dam release and Heavy  Ra</t>
  </si>
  <si>
    <t>Dam release</t>
  </si>
  <si>
    <t>FL-2009-000217-IND</t>
  </si>
  <si>
    <t>FL-2009-000237-THA</t>
  </si>
  <si>
    <t>TC-2010-000097-IND</t>
  </si>
  <si>
    <t>FL-2010-000125-IND</t>
  </si>
  <si>
    <t>Torrential Rains</t>
  </si>
  <si>
    <t>FL-2010-000249-IND</t>
  </si>
  <si>
    <t>Dam releases, Monsoonal Rain</t>
  </si>
  <si>
    <t>Tropical Storm Nilam</t>
  </si>
  <si>
    <t>Tropical Storm Phailin</t>
  </si>
  <si>
    <t>Monsoonal Ran</t>
  </si>
  <si>
    <t>Tropical Storm Hudhug</t>
  </si>
  <si>
    <t>FL-2015-000029-IND</t>
  </si>
  <si>
    <t>FL-2015-000064-IND</t>
  </si>
  <si>
    <t>Monsoonal Rain and Tropical Storm K</t>
  </si>
  <si>
    <t>TC-2015-000163-IND</t>
  </si>
  <si>
    <t>Tropical Storm Rovan</t>
  </si>
  <si>
    <t>FL-2016-000094-IND</t>
  </si>
  <si>
    <t>FL-2017-000064-IND</t>
  </si>
  <si>
    <t>Tropical Storm Titli</t>
  </si>
  <si>
    <t>Tropical Cyclone Fani</t>
  </si>
  <si>
    <t>NASA-Earth-Observatory</t>
  </si>
  <si>
    <t>Tropical Storm Amphan</t>
  </si>
  <si>
    <t>Tropical Storm Nisarga</t>
  </si>
  <si>
    <t>Glacier collapse and dam breaks</t>
  </si>
  <si>
    <t>Tropical Storm Yaas and Storm Surge</t>
  </si>
  <si>
    <t>Tropical Storm Tauktae</t>
  </si>
  <si>
    <t>India </t>
  </si>
  <si>
    <t>Indonesia</t>
  </si>
  <si>
    <t>Malaysia</t>
  </si>
  <si>
    <t>FL-2006-000001-IDN</t>
  </si>
  <si>
    <t>FL-2006-000027-IDN</t>
  </si>
  <si>
    <t>FF-2006-000049-IDN</t>
  </si>
  <si>
    <t>FF-2006-000069-IDN</t>
  </si>
  <si>
    <t>FL-2006-000192-IDN</t>
  </si>
  <si>
    <t>FL-2007-000023-IDN</t>
  </si>
  <si>
    <t>LS-2007-000032-IDN</t>
  </si>
  <si>
    <t>FL-2007-000106-IDN</t>
  </si>
  <si>
    <t>FL-2007-000230-IDN</t>
  </si>
  <si>
    <t>FL-2008-000030-IDN</t>
  </si>
  <si>
    <t>FL-2008-000107</t>
  </si>
  <si>
    <t>Tropical Storm Fanele</t>
  </si>
  <si>
    <t>FL-2009-000053-IDN</t>
  </si>
  <si>
    <t>FF-2009-000069-IDN</t>
  </si>
  <si>
    <t>FF-2009-000196-IDN</t>
  </si>
  <si>
    <t>FL-2010-000063-IDN</t>
  </si>
  <si>
    <t>FL-2013-000006-IDN</t>
  </si>
  <si>
    <t>FL-2016-000009-IDN</t>
  </si>
  <si>
    <t>FF-2016-000062-IND</t>
  </si>
  <si>
    <t>Tropical Storm Cempaka</t>
  </si>
  <si>
    <t>Heavy  Rain</t>
  </si>
  <si>
    <t>Tropical Storm Saroja</t>
  </si>
  <si>
    <t>Indonesia  </t>
  </si>
  <si>
    <t>Indonesia </t>
  </si>
  <si>
    <t>Indonesia  </t>
  </si>
  <si>
    <t>Iran</t>
  </si>
  <si>
    <t>FL-2015-000088-IRN</t>
  </si>
  <si>
    <t>FL-2017-000038-IRN</t>
  </si>
  <si>
    <t>Heavy Rain and Torrential Rain</t>
  </si>
  <si>
    <t>Iran </t>
  </si>
  <si>
    <t>Iraq</t>
  </si>
  <si>
    <t>FL-2006-000018-IRQ</t>
  </si>
  <si>
    <t>Ireland</t>
  </si>
  <si>
    <t>United Kingdom</t>
  </si>
  <si>
    <t>Storm Surge Eleanor</t>
  </si>
  <si>
    <t>Jordan</t>
  </si>
  <si>
    <t>Syria</t>
  </si>
  <si>
    <t>Israel </t>
  </si>
  <si>
    <t>FL-2009-000216-ITA</t>
  </si>
  <si>
    <t>Torrential Rain, Hgh Tides</t>
  </si>
  <si>
    <t>Slovenia</t>
  </si>
  <si>
    <t>Ivory Coast </t>
  </si>
  <si>
    <t>Jamaica</t>
  </si>
  <si>
    <t>Tropical Storm Nicole</t>
  </si>
  <si>
    <t>Jamaica </t>
  </si>
  <si>
    <t>Japan</t>
  </si>
  <si>
    <t>South Korea</t>
  </si>
  <si>
    <t>FL-2006-000102-JPN</t>
  </si>
  <si>
    <t>FL-2007-000094-JPN</t>
  </si>
  <si>
    <t>FL-2008-000104-NPL</t>
  </si>
  <si>
    <t>Tropical Cyclone, Etau</t>
  </si>
  <si>
    <t>TC-2009-000221-JPN</t>
  </si>
  <si>
    <t>Typhoon Melor</t>
  </si>
  <si>
    <t>FL-2012-000114-JPN</t>
  </si>
  <si>
    <t>FL-000139-JPN</t>
  </si>
  <si>
    <t>TC-2015-000124-JPN</t>
  </si>
  <si>
    <t>Tropical Storm Etau</t>
  </si>
  <si>
    <t>Tropical Storm Malakas</t>
  </si>
  <si>
    <t>Tropical Storm Talim</t>
  </si>
  <si>
    <t>Tropical Storm Praipiroon</t>
  </si>
  <si>
    <t>Tropical Storm Hagibis</t>
  </si>
  <si>
    <t>Typhoon 21</t>
  </si>
  <si>
    <t>Japan </t>
  </si>
  <si>
    <t>Kazahkstan</t>
  </si>
  <si>
    <t>Kazakhstan</t>
  </si>
  <si>
    <t>Uzbekistan</t>
  </si>
  <si>
    <t>FL-2008-000032-KAZ</t>
  </si>
  <si>
    <t>FL-2010-000051-KAZ</t>
  </si>
  <si>
    <t>Heavy Rain Snowmelt Dam B</t>
  </si>
  <si>
    <t>FL-2017-000040-KAZ</t>
  </si>
  <si>
    <t>Kenya</t>
  </si>
  <si>
    <t>Uganda</t>
  </si>
  <si>
    <t>FF-2006-000046-KEN</t>
  </si>
  <si>
    <t>FL-2006-000159-KEN</t>
  </si>
  <si>
    <t>FL-2006-000161-SOM</t>
  </si>
  <si>
    <t>FL-2007-000076-KEN</t>
  </si>
  <si>
    <t>FL-2007-000221-KEN</t>
  </si>
  <si>
    <t>FL-2008-000041-TZA</t>
  </si>
  <si>
    <t>FL-2008-000092-KEN</t>
  </si>
  <si>
    <t>FL-2008-000191-CRI</t>
  </si>
  <si>
    <t>FF-2009-000229-SOM</t>
  </si>
  <si>
    <t>FL-2010-000003-KEN</t>
  </si>
  <si>
    <t>Tanzania</t>
  </si>
  <si>
    <t>FL-2015-000049-KEN</t>
  </si>
  <si>
    <t>Tropical Storm Fantala</t>
  </si>
  <si>
    <t>Dam Release and Heavy Rain</t>
  </si>
  <si>
    <t>Kenya </t>
  </si>
  <si>
    <t>Kyrgyzstan</t>
  </si>
  <si>
    <t xml:space="preserve"> Uzbekistan</t>
  </si>
  <si>
    <t>FL-2009-000155-LAO</t>
  </si>
  <si>
    <t>Tropical Storm Haima</t>
  </si>
  <si>
    <t>Xe-Pian Xe-Namnoy Dam Break</t>
  </si>
  <si>
    <t>Latvia</t>
  </si>
  <si>
    <t>Lebanon</t>
  </si>
  <si>
    <t>Heavy Rain and Snow</t>
  </si>
  <si>
    <t>Lesotho</t>
  </si>
  <si>
    <t>FL-2011-000019-LSO</t>
  </si>
  <si>
    <t>Liberia</t>
  </si>
  <si>
    <t>FL-2007-000144-LBR</t>
  </si>
  <si>
    <t>FL-2010-000118-CIV,</t>
  </si>
  <si>
    <t>Libya</t>
  </si>
  <si>
    <t>Lithuania</t>
  </si>
  <si>
    <t>FF-2015-000115-MKD</t>
  </si>
  <si>
    <t>Madagascar</t>
  </si>
  <si>
    <t>TC-2007-000028-MDG</t>
  </si>
  <si>
    <t>TC-2008-000023-MDG</t>
  </si>
  <si>
    <t>Mozambique</t>
  </si>
  <si>
    <t>Tropical Storm Irina</t>
  </si>
  <si>
    <t>FL-2015-000004-MDG</t>
  </si>
  <si>
    <t>Tropical Storms Fundi and Chedza</t>
  </si>
  <si>
    <t>TC-2018-0000001-MDG</t>
  </si>
  <si>
    <t>Tropical Storm Ava</t>
  </si>
  <si>
    <t>Tropical Storm Eliakim</t>
  </si>
  <si>
    <t>Tropical Storm Belna</t>
  </si>
  <si>
    <t>Tropical Storm Herold</t>
  </si>
  <si>
    <t>Madagascar </t>
  </si>
  <si>
    <t>Madascar</t>
  </si>
  <si>
    <t>Malawi</t>
  </si>
  <si>
    <t>FL-2015-000006-MWI</t>
  </si>
  <si>
    <t>Heavy Rain, Tropical Storm Idai</t>
  </si>
  <si>
    <t>Malawi </t>
  </si>
  <si>
    <t>Malayasia</t>
  </si>
  <si>
    <t>FL-2006-000189-MYS</t>
  </si>
  <si>
    <t>FL-2007-000016-MYS</t>
  </si>
  <si>
    <t>FL-2007-000222-MYS</t>
  </si>
  <si>
    <t>Tropical Storm Charlotte; Monsoon r</t>
  </si>
  <si>
    <t>FL-2009-000247-MYS</t>
  </si>
  <si>
    <t>FL-2011-000021-MYS</t>
  </si>
  <si>
    <t>Brunei</t>
  </si>
  <si>
    <t>HeavyRain</t>
  </si>
  <si>
    <t>FL-2013-000148-MYS</t>
  </si>
  <si>
    <t>FL-2014-000168-MYS</t>
  </si>
  <si>
    <t>Malaysia  </t>
  </si>
  <si>
    <t>Malaysia </t>
  </si>
  <si>
    <t>FL-2015-000165-MDV</t>
  </si>
  <si>
    <t>Maldives</t>
  </si>
  <si>
    <t>heavy rain</t>
  </si>
  <si>
    <t>Malta</t>
  </si>
  <si>
    <t>Martinique</t>
  </si>
  <si>
    <t>Mauritania</t>
  </si>
  <si>
    <t>FL-2006-000106-MRT</t>
  </si>
  <si>
    <t>FL-2007-000127-MRT</t>
  </si>
  <si>
    <t>FL-2010-000176-MRT</t>
  </si>
  <si>
    <t>Heavy Ran</t>
  </si>
  <si>
    <t>Mauritius</t>
  </si>
  <si>
    <t>Reunion</t>
  </si>
  <si>
    <t>Tropical Storm Berguitta</t>
  </si>
  <si>
    <t>TC-2006-000132-MEX</t>
  </si>
  <si>
    <t>TC-2006-000138-MEX</t>
  </si>
  <si>
    <t>FL-2007-000200-MEX</t>
  </si>
  <si>
    <t>FL-2008-000111-MEX</t>
  </si>
  <si>
    <t>Tropical Cyclone "Dolly"</t>
  </si>
  <si>
    <t>2008-000178</t>
  </si>
  <si>
    <t>FL-2009-000135-MEX</t>
  </si>
  <si>
    <t>FL-2009-000192-MEX</t>
  </si>
  <si>
    <t>TC-2010-000123-MEX</t>
  </si>
  <si>
    <t>Tropical Cyclone Alex</t>
  </si>
  <si>
    <t>Tropical Storm Matthew</t>
  </si>
  <si>
    <t>Tropical Storm Arlene</t>
  </si>
  <si>
    <t>Gutamala</t>
  </si>
  <si>
    <t>Tropical storm Jova, Heavy Rain</t>
  </si>
  <si>
    <t>TC-2014-000071-MEX</t>
  </si>
  <si>
    <t>Tropical Storm Trudy</t>
  </si>
  <si>
    <t>TC-2015-000144-MEX</t>
  </si>
  <si>
    <t>Tropical Storm Patricia</t>
  </si>
  <si>
    <t>heavy Rain</t>
  </si>
  <si>
    <t>Tropical Storm Beatriz</t>
  </si>
  <si>
    <t>TC-2017-000105-MEX</t>
  </si>
  <si>
    <t>Tropical Storm Franklin</t>
  </si>
  <si>
    <t>News Reports</t>
  </si>
  <si>
    <t>Tropical Storm Willa</t>
  </si>
  <si>
    <t>Tropical Storm Narda</t>
  </si>
  <si>
    <t>Tropical Storm Hanna</t>
  </si>
  <si>
    <t>Mexico </t>
  </si>
  <si>
    <t>Moldava</t>
  </si>
  <si>
    <t>Moldova</t>
  </si>
  <si>
    <t>FL-2010-000130-MDA</t>
  </si>
  <si>
    <t>Mongolia</t>
  </si>
  <si>
    <t>FL-2009-000140-MNG</t>
  </si>
  <si>
    <t>FL-2009-000034-MAR</t>
  </si>
  <si>
    <t>FL-2014-000159-MAR</t>
  </si>
  <si>
    <t>Zimbawe</t>
  </si>
  <si>
    <t>FL-2007-000018-MWI</t>
  </si>
  <si>
    <t>FL-2010-000046-MOZ</t>
  </si>
  <si>
    <t>FL-2012-000017-MWI</t>
  </si>
  <si>
    <t>Tropical Storms Dando, Funso</t>
  </si>
  <si>
    <t>Zimbabwe</t>
  </si>
  <si>
    <t>FL-2017-000012-MOZ</t>
  </si>
  <si>
    <t>FloodLIst and GLIDE</t>
  </si>
  <si>
    <t>FL-2018-000018-MOZ</t>
  </si>
  <si>
    <t>Tropical Storm Kenneth</t>
  </si>
  <si>
    <t>Tropical Storm Eloise</t>
  </si>
  <si>
    <t>Mozambique </t>
  </si>
  <si>
    <t>Myanamar</t>
  </si>
  <si>
    <t>FL-2010-000115-MMR</t>
  </si>
  <si>
    <t>FL-2016-000058-MMR</t>
  </si>
  <si>
    <t>Zambia</t>
  </si>
  <si>
    <t>FL-2006-000029-NAM</t>
  </si>
  <si>
    <t>FL-2008-000004-NAM</t>
  </si>
  <si>
    <t>FL-2010-000077-NAM</t>
  </si>
  <si>
    <t>FL-2017-000027-NAM</t>
  </si>
  <si>
    <t>FL-2006-000127-NPL</t>
  </si>
  <si>
    <t>FF-2007-000081-NPL</t>
  </si>
  <si>
    <t>FF-2007-000117-NPL</t>
  </si>
  <si>
    <t>FL-2009-000219-NPL</t>
  </si>
  <si>
    <t>FL-2012-000071-NPL</t>
  </si>
  <si>
    <t>Avalance Breach</t>
  </si>
  <si>
    <t>FL-2015-000066-NPL</t>
  </si>
  <si>
    <t>FL-2016-000068-NPL</t>
  </si>
  <si>
    <t>FL-2017-000107-NPL</t>
  </si>
  <si>
    <t>Monoonal Rain</t>
  </si>
  <si>
    <t>Nepal </t>
  </si>
  <si>
    <t>New Caledonia</t>
  </si>
  <si>
    <t>Tropical Storm Wilma</t>
  </si>
  <si>
    <t>news</t>
  </si>
  <si>
    <t>Heavy Rain and HIgh Tides</t>
  </si>
  <si>
    <t>Tropical Storm Gita</t>
  </si>
  <si>
    <t>New Zealand </t>
  </si>
  <si>
    <t>Tidal surge</t>
  </si>
  <si>
    <t>FL-2008-000182-RWA</t>
  </si>
  <si>
    <t>TC-2017-000148-NIC</t>
  </si>
  <si>
    <t>Tropical Storm Nate</t>
  </si>
  <si>
    <t>FL-2017-000160-HND</t>
  </si>
  <si>
    <t>Tropical Storm Eta</t>
  </si>
  <si>
    <t>Tropical Storm Iota</t>
  </si>
  <si>
    <t>Nicaragua </t>
  </si>
  <si>
    <t>FL-2016-000091-NER</t>
  </si>
  <si>
    <t>Senegal</t>
  </si>
  <si>
    <t>FL-2017-000078-NER</t>
  </si>
  <si>
    <t>Niger </t>
  </si>
  <si>
    <t>FL-2007-000123-NGA</t>
  </si>
  <si>
    <t>Heavy Rain and Dam Break</t>
  </si>
  <si>
    <t>FL-2017-000126-NGA</t>
  </si>
  <si>
    <t>Nigeria </t>
  </si>
  <si>
    <t>North Korea</t>
  </si>
  <si>
    <t>FL-2007-000126-PRK</t>
  </si>
  <si>
    <t>TC-2012-000159-PRK</t>
  </si>
  <si>
    <t>Tropical Storms</t>
  </si>
  <si>
    <t>FL-2016-000097-PRK</t>
  </si>
  <si>
    <t>Tropical Storm Lionrock</t>
  </si>
  <si>
    <t xml:space="preserve"> Heavy Rain and Tropical Storm Soul</t>
  </si>
  <si>
    <t>North Korea </t>
  </si>
  <si>
    <t>Northern Ireland</t>
  </si>
  <si>
    <t>Norway</t>
  </si>
  <si>
    <t>Oman</t>
  </si>
  <si>
    <t>FL-2013-000141-SOM</t>
  </si>
  <si>
    <t>FL-2016-000037-SAU</t>
  </si>
  <si>
    <t>Saudi Arabia</t>
  </si>
  <si>
    <t>United Arab Emirates</t>
  </si>
  <si>
    <t>Tropical Storm Hikaa</t>
  </si>
  <si>
    <t>FF-2007-000082-PAK</t>
  </si>
  <si>
    <t>TC-2007-000085-PAK</t>
  </si>
  <si>
    <t>TC-2007-000084-PAK</t>
  </si>
  <si>
    <t>LS-2007-000098-PAK</t>
  </si>
  <si>
    <t>FL-2008-000123-PAK</t>
  </si>
  <si>
    <t>FL-2008-000131-LAO</t>
  </si>
  <si>
    <t>FL-2009-000139-PAK</t>
  </si>
  <si>
    <t>F-2009-000159-PAK</t>
  </si>
  <si>
    <t>TC-2010-000108-PAK</t>
  </si>
  <si>
    <t>Tropical Cyclone Phet</t>
  </si>
  <si>
    <t>FL-2010-000141-PAK</t>
  </si>
  <si>
    <t>FF-2012-000148-PAK</t>
  </si>
  <si>
    <t>Monsoon Rain, began with #4078</t>
  </si>
  <si>
    <t>FL-2016-000021-PAK</t>
  </si>
  <si>
    <t>Torrential Rain and Snowmelt</t>
  </si>
  <si>
    <t>Glacial Lake Outburst</t>
  </si>
  <si>
    <t>Pakistan </t>
  </si>
  <si>
    <t>Palestine</t>
  </si>
  <si>
    <t>FL-2006-000174-PAN</t>
  </si>
  <si>
    <t>Papua New Guinea</t>
  </si>
  <si>
    <t>FL-2006-000025-PNG</t>
  </si>
  <si>
    <t>see notes</t>
  </si>
  <si>
    <t>FL-2007-000209-PNG</t>
  </si>
  <si>
    <t>FL-2013-000017-PNG</t>
  </si>
  <si>
    <t>Papua New Guinea </t>
  </si>
  <si>
    <t>Papua New Gunea</t>
  </si>
  <si>
    <t>FL-2009-000226-PRY</t>
  </si>
  <si>
    <t>FL-2012-000056-PRY</t>
  </si>
  <si>
    <t>FL-2014-000030-PRY</t>
  </si>
  <si>
    <t>Heay Rain</t>
  </si>
  <si>
    <t>FL-2015-000171-PRY</t>
  </si>
  <si>
    <t>FL-2008-000031-PER</t>
  </si>
  <si>
    <t>FL-2009-000261-PER</t>
  </si>
  <si>
    <t>FL-2010-000023-ECU</t>
  </si>
  <si>
    <t>FL-2017-000018-PER</t>
  </si>
  <si>
    <t>Peru </t>
  </si>
  <si>
    <t>Philipines</t>
  </si>
  <si>
    <t>Philippine</t>
  </si>
  <si>
    <t>Philippines</t>
  </si>
  <si>
    <t>FL-2006-000098-PHI</t>
  </si>
  <si>
    <t>TC-2006-000105-CHN</t>
  </si>
  <si>
    <t>TC-2006-000116-CHN</t>
  </si>
  <si>
    <t>TC-2006-000144-PHL</t>
  </si>
  <si>
    <t>TC-2006-000153-PHL</t>
  </si>
  <si>
    <t>TC-2006-000175-PHL</t>
  </si>
  <si>
    <t>FL-2007-000003-PHL</t>
  </si>
  <si>
    <t>FL-2007-000210-PHL</t>
  </si>
  <si>
    <t>FL-2008-000024-PHL</t>
  </si>
  <si>
    <t>FF-2008-000063-PHL</t>
  </si>
  <si>
    <t>TC-2008-000065-PHL</t>
  </si>
  <si>
    <t>FL-2008-000093-PHL</t>
  </si>
  <si>
    <t>Typhoon Fenshen</t>
  </si>
  <si>
    <t>Tropical Storm "Fung-wong"</t>
  </si>
  <si>
    <t>High Tides</t>
  </si>
  <si>
    <t>TC-2009-00005-PHL</t>
  </si>
  <si>
    <t>TC-2009-000093-PH</t>
  </si>
  <si>
    <t>snowmelt</t>
  </si>
  <si>
    <t>TC-2009-000137-PHL</t>
  </si>
  <si>
    <t>Tropical Cyclone, Morakot</t>
  </si>
  <si>
    <t>TC-2009-000193-PHL</t>
  </si>
  <si>
    <t>TC-2009-000205-PHL</t>
  </si>
  <si>
    <t>Tropical storm Ketsana/On</t>
  </si>
  <si>
    <t>TC-2009-000214-PHL</t>
  </si>
  <si>
    <t>Typhoon Parma</t>
  </si>
  <si>
    <t>FL-2009-000234-PHL</t>
  </si>
  <si>
    <t>Tropical Storm Mirinae</t>
  </si>
  <si>
    <t>FL-2010-000107-PHL</t>
  </si>
  <si>
    <t>Tropical Storm "Basyang"</t>
  </si>
  <si>
    <t>FL-2010-000219-PHL</t>
  </si>
  <si>
    <t>Tropical Storm Aere</t>
  </si>
  <si>
    <t>Tropical stroms Pendring and Nalgae</t>
  </si>
  <si>
    <t>Tropical Storm Washi</t>
  </si>
  <si>
    <t>Tropical Storm Saola</t>
  </si>
  <si>
    <t>Tropical Storm Bopha</t>
  </si>
  <si>
    <t>Tropical Storm Auring</t>
  </si>
  <si>
    <t>Monsoonal Rain and Offshore Tropica</t>
  </si>
  <si>
    <t>Tropical Storm Nari</t>
  </si>
  <si>
    <t>Tropical Storm Haiyan/Yolanda</t>
  </si>
  <si>
    <t>Tropical Storm Jangmai</t>
  </si>
  <si>
    <t>TC-2015-000143-PHL</t>
  </si>
  <si>
    <t>Tropical Storm Koppu</t>
  </si>
  <si>
    <t>TC-2015-000170-PHL</t>
  </si>
  <si>
    <t>Tropical storms Melor, Onyok</t>
  </si>
  <si>
    <t>FL-2016-000084-PHL</t>
  </si>
  <si>
    <t>FL-2017-000010-PHL</t>
  </si>
  <si>
    <t>TC-2017-000180-PHL</t>
  </si>
  <si>
    <t>Tropical Storm Kai-Tak</t>
  </si>
  <si>
    <t>Tropical Storm  Usman</t>
  </si>
  <si>
    <t>Tropical Storm Ramon</t>
  </si>
  <si>
    <t>Tropical Storm Kammuri/Tisoy</t>
  </si>
  <si>
    <t>Tropical Storm Molave</t>
  </si>
  <si>
    <t>Tropical Storm Vamco</t>
  </si>
  <si>
    <t>Storm Vicky</t>
  </si>
  <si>
    <t>Tropical Storm Dijuan (Auring)</t>
  </si>
  <si>
    <t>Tropical Storm Dante</t>
  </si>
  <si>
    <t>Philippines </t>
  </si>
  <si>
    <t>Phillipines</t>
  </si>
  <si>
    <t>TC-2017-000182-PHL</t>
  </si>
  <si>
    <t>Tropical Storm Tembin</t>
  </si>
  <si>
    <t>FL-2007-000125-PHL</t>
  </si>
  <si>
    <t>Phillippines</t>
  </si>
  <si>
    <t>Poland</t>
  </si>
  <si>
    <t>Slovakia</t>
  </si>
  <si>
    <t>Poland </t>
  </si>
  <si>
    <t>Portugal </t>
  </si>
  <si>
    <t>Puerto Rico</t>
  </si>
  <si>
    <t>FL-2015-000162-QAT</t>
  </si>
  <si>
    <t>Qatar</t>
  </si>
  <si>
    <t>Republic of Congo</t>
  </si>
  <si>
    <t>FL-2006-000045-ROM</t>
  </si>
  <si>
    <t>FL-2006-000071-ROM</t>
  </si>
  <si>
    <t>FL-2007-000155-ROM</t>
  </si>
  <si>
    <t>FF-2014-000059-SRB</t>
  </si>
  <si>
    <t>FF-2007-000114-RUS</t>
  </si>
  <si>
    <t>FL-2012-000063-RUS</t>
  </si>
  <si>
    <t>FF-2012-000115-RUS</t>
  </si>
  <si>
    <t>Ice Jam and Ice Melt</t>
  </si>
  <si>
    <t>Snowmelt and Ice Jams</t>
  </si>
  <si>
    <t>DFO</t>
  </si>
  <si>
    <t>Snowmelt and Rain</t>
  </si>
  <si>
    <t>Snow melt and Ice jams</t>
  </si>
  <si>
    <t>Snowmelt and ice jams</t>
  </si>
  <si>
    <t>Russia </t>
  </si>
  <si>
    <t>FL-2007-000159-RWA</t>
  </si>
  <si>
    <t>Flood LIst</t>
  </si>
  <si>
    <t>Rwanda </t>
  </si>
  <si>
    <t>FL-2013-000159-LCA</t>
  </si>
  <si>
    <t>Saint Vincent</t>
  </si>
  <si>
    <t>St. Lucia</t>
  </si>
  <si>
    <t>FL-2009-000251-SAU</t>
  </si>
  <si>
    <t>FL-2011-000014-SAU</t>
  </si>
  <si>
    <t>Saudi Arabia </t>
  </si>
  <si>
    <t>Scotland</t>
  </si>
  <si>
    <t>FL-2007-000131-SEN</t>
  </si>
  <si>
    <t>FL-2009-000164-SEN</t>
  </si>
  <si>
    <t>Senegal </t>
  </si>
  <si>
    <t>FL-2006-000041-SRB</t>
  </si>
  <si>
    <t>FL-2010-000042-SRB</t>
  </si>
  <si>
    <t>FL-2010-000252-SRB</t>
  </si>
  <si>
    <t>FL-2007-000217-SRB</t>
  </si>
  <si>
    <t>Serbia and Montenegro</t>
  </si>
  <si>
    <t>FL-2006-000045-SRB</t>
  </si>
  <si>
    <t>Serbia-Montenegro</t>
  </si>
  <si>
    <t>FL-2013-000012-SYC</t>
  </si>
  <si>
    <t>Seychelles</t>
  </si>
  <si>
    <t>Siberia</t>
  </si>
  <si>
    <t>Sierra Leone</t>
  </si>
  <si>
    <t>LS-2009-000158-SLE</t>
  </si>
  <si>
    <t>MS-2017-000109-SLE</t>
  </si>
  <si>
    <t>Singapore</t>
  </si>
  <si>
    <t>FL-2006-000045-HUN</t>
  </si>
  <si>
    <t>FL-2009-000032-SLR</t>
  </si>
  <si>
    <t>FL-2014-000045-SLB</t>
  </si>
  <si>
    <t>FL-2015-000145-SOM</t>
  </si>
  <si>
    <t>Yemen</t>
  </si>
  <si>
    <t>Tropical Storm Sagar</t>
  </si>
  <si>
    <t>Tropical Storm Pawan</t>
  </si>
  <si>
    <t>Tropical Storm Gati</t>
  </si>
  <si>
    <t>Somalia </t>
  </si>
  <si>
    <t>FL-2008-000094-ZAF</t>
  </si>
  <si>
    <t>FL-2009-000133-ZAF</t>
  </si>
  <si>
    <t>FL-2011-000013-MOZ</t>
  </si>
  <si>
    <t>FL-2014-000038-ZAF</t>
  </si>
  <si>
    <t>FL-2017-000021-ZAF</t>
  </si>
  <si>
    <t>Cyclone Dineo and heavy rain</t>
  </si>
  <si>
    <t>South Africa </t>
  </si>
  <si>
    <t>FL-2006-000092-KOR</t>
  </si>
  <si>
    <t>Tropial Storm Chyba</t>
  </si>
  <si>
    <t>Tropical Storm Mitag</t>
  </si>
  <si>
    <t>South Korea  </t>
  </si>
  <si>
    <t>South Korea </t>
  </si>
  <si>
    <t>FL-2012-000150-SDN</t>
  </si>
  <si>
    <t>South Sudan</t>
  </si>
  <si>
    <t>Sudan</t>
  </si>
  <si>
    <t>Soviet Union</t>
  </si>
  <si>
    <t>Spain</t>
  </si>
  <si>
    <t>Storm Surge Gloria</t>
  </si>
  <si>
    <t>Spain </t>
  </si>
  <si>
    <t>FL-2006-000155-LKA</t>
  </si>
  <si>
    <t>FL-2006-000191-LKA</t>
  </si>
  <si>
    <t>FF-2007-000008-LKA</t>
  </si>
  <si>
    <t>FL-2007-000052-LKA</t>
  </si>
  <si>
    <t>FL-2007-000228-LKA</t>
  </si>
  <si>
    <t>FL-2008-000053-LKA</t>
  </si>
  <si>
    <t>FL-2008-000079-LKA</t>
  </si>
  <si>
    <t>FL-2008-000239-NIC</t>
  </si>
  <si>
    <t>FF-2009-000160-LKA</t>
  </si>
  <si>
    <t>FF-2009-000246-LKA</t>
  </si>
  <si>
    <t>FF-2009-000260-LKA</t>
  </si>
  <si>
    <t>FL-2010-000092-LKA</t>
  </si>
  <si>
    <t>FL-2010-000253-LKA</t>
  </si>
  <si>
    <t>FL-2011-000003-LKA</t>
  </si>
  <si>
    <t>2013-TC-000060-LKA</t>
  </si>
  <si>
    <t>FL-2014-000070-LKA</t>
  </si>
  <si>
    <t>Tropical Storm Boris</t>
  </si>
  <si>
    <t>TC-2017-000172-LKA</t>
  </si>
  <si>
    <t>Tropical Storm Ockhi</t>
  </si>
  <si>
    <t>Sri Lanka </t>
  </si>
  <si>
    <t>FL-2006-000123-SDN</t>
  </si>
  <si>
    <t>FL-2007-000093-SDN</t>
  </si>
  <si>
    <t>FL-2008-125000-SDN</t>
  </si>
  <si>
    <t>2008-000180</t>
  </si>
  <si>
    <t>FL-2009-000166-SDN</t>
  </si>
  <si>
    <t>FL-2016-000072-SDN</t>
  </si>
  <si>
    <t>Sudan and Eritrea</t>
  </si>
  <si>
    <t>Sudan </t>
  </si>
  <si>
    <t>FL-2006-000057-SUR</t>
  </si>
  <si>
    <t>FL-2008-000095-SUR</t>
  </si>
  <si>
    <t>Sweden</t>
  </si>
  <si>
    <t>Switzerland</t>
  </si>
  <si>
    <t>TC-2007-000179----</t>
  </si>
  <si>
    <t>Tropical Storm Kalmaegi</t>
  </si>
  <si>
    <t>Tropical Storm Sinlaku</t>
  </si>
  <si>
    <t>TC-2009-000150-TWN</t>
  </si>
  <si>
    <t>Tropical Storm Fanapi</t>
  </si>
  <si>
    <t>Taiwan </t>
  </si>
  <si>
    <t>Tajikistan</t>
  </si>
  <si>
    <t>FF-2007-000049-TJK</t>
  </si>
  <si>
    <t>FL-2007-000108-TJK</t>
  </si>
  <si>
    <t>FL-2009-000095-TJK</t>
  </si>
  <si>
    <t>FL-2010-000087-TJK</t>
  </si>
  <si>
    <t>FL-2014-000063-TJK</t>
  </si>
  <si>
    <t>FL-2015-000055-TJK</t>
  </si>
  <si>
    <t>Tajikistan </t>
  </si>
  <si>
    <t>FL-2006-000065-TZA</t>
  </si>
  <si>
    <t>FL-2006-000011-TZA</t>
  </si>
  <si>
    <t>Tanzania </t>
  </si>
  <si>
    <t>Tasmania</t>
  </si>
  <si>
    <t>Texas</t>
  </si>
  <si>
    <t>FL-2006-000062-THA</t>
  </si>
  <si>
    <t>FL-2006-000125-THA</t>
  </si>
  <si>
    <t>FL-2006-000147-THA</t>
  </si>
  <si>
    <t>FF-2007-000047-THA</t>
  </si>
  <si>
    <t>FL-2007-000199-THA</t>
  </si>
  <si>
    <t>Tropical Storm Kammuri; Heavy monso</t>
  </si>
  <si>
    <t>FF-2008-000173-VNM</t>
  </si>
  <si>
    <t>Tropical Storms, Monsoonal Rain</t>
  </si>
  <si>
    <t>FL-2013-000149-THA</t>
  </si>
  <si>
    <t>Monsoonal  Rain</t>
  </si>
  <si>
    <t>FL-2017-000004-THA</t>
  </si>
  <si>
    <t>FL-2017-000096-THA</t>
  </si>
  <si>
    <t>Tropical Storm Pabuk</t>
  </si>
  <si>
    <t>Tropical Storm Dianmu</t>
  </si>
  <si>
    <t>Thailand </t>
  </si>
  <si>
    <t>The Gambia</t>
  </si>
  <si>
    <t>Tibet</t>
  </si>
  <si>
    <t>Timor</t>
  </si>
  <si>
    <t>Tobago</t>
  </si>
  <si>
    <t>Trinidad</t>
  </si>
  <si>
    <t>Tunisia</t>
  </si>
  <si>
    <t>FF-2007-000185-TUN</t>
  </si>
  <si>
    <t>FL-2006-000156-TUR</t>
  </si>
  <si>
    <t>Turkey </t>
  </si>
  <si>
    <t>FL-2006-000124-UGA</t>
  </si>
  <si>
    <t>FL-2007-000161-UGA</t>
  </si>
  <si>
    <t>Uganda </t>
  </si>
  <si>
    <t>UK</t>
  </si>
  <si>
    <t>FL-2007-000111-GBR</t>
  </si>
  <si>
    <t>TC-2008-000132-DOM</t>
  </si>
  <si>
    <t>UK </t>
  </si>
  <si>
    <t>FL-2006-000085-UKR</t>
  </si>
  <si>
    <t>FL-2010-000129-UKR</t>
  </si>
  <si>
    <t>Ukraine </t>
  </si>
  <si>
    <t>Unitd Kingdom</t>
  </si>
  <si>
    <t>United Arab Emerates</t>
  </si>
  <si>
    <t>Storm Surge</t>
  </si>
  <si>
    <t>Heavy Rain Storm Dennis</t>
  </si>
  <si>
    <t>Storm Bella</t>
  </si>
  <si>
    <t>FL-2007-000057-URY</t>
  </si>
  <si>
    <t>FL-2009-000248-URY</t>
  </si>
  <si>
    <t>Uruguay </t>
  </si>
  <si>
    <t>Uruguay,</t>
  </si>
  <si>
    <t>Ice jam or ice break-up</t>
  </si>
  <si>
    <t>Rain and snow</t>
  </si>
  <si>
    <t>FL-2006-000093-USA</t>
  </si>
  <si>
    <t>Dam Failure</t>
  </si>
  <si>
    <t>FF-2008-000141-ETH</t>
  </si>
  <si>
    <t>Hurricane Gustav</t>
  </si>
  <si>
    <t>FF-2008-000227-ETH</t>
  </si>
  <si>
    <t xml:space="preserve"> Torrential Rain</t>
  </si>
  <si>
    <t>FL-2009-000203-USA</t>
  </si>
  <si>
    <t>Tropical Storm Ida</t>
  </si>
  <si>
    <t>Dam Failure, Heavy Rain</t>
  </si>
  <si>
    <t>Tropical Storm Hermine</t>
  </si>
  <si>
    <t>Heavy Rain,and Dam release</t>
  </si>
  <si>
    <t>Tropical Storm Irene</t>
  </si>
  <si>
    <t>Tropical Storm Debby</t>
  </si>
  <si>
    <t>Hurricane Isaac</t>
  </si>
  <si>
    <t>TC-2012-000180-CUB; TC-2012-000180-</t>
  </si>
  <si>
    <t>Tropical Storm Sandy</t>
  </si>
  <si>
    <t>SS-2014-000032-MHL</t>
  </si>
  <si>
    <t>Jökulhlaup</t>
  </si>
  <si>
    <t>FL-2015-000060-USA</t>
  </si>
  <si>
    <t>Heavy Rain, Tropical Storm Joaquin</t>
  </si>
  <si>
    <t>FL-2016-000056-USA</t>
  </si>
  <si>
    <t>Tropical Storm Harvey</t>
  </si>
  <si>
    <t>TC-2017-000132-CUB</t>
  </si>
  <si>
    <t>Tropical Storm Irma</t>
  </si>
  <si>
    <t>TC-2017-0000136-ATG</t>
  </si>
  <si>
    <t>Virgin Islands</t>
  </si>
  <si>
    <t>Tropical Storm Maria</t>
  </si>
  <si>
    <t>Tropical Storm Alberto</t>
  </si>
  <si>
    <t>Tropical Storm Lane</t>
  </si>
  <si>
    <t>Tropical Stom Florence</t>
  </si>
  <si>
    <t>Tropical Storm Michael</t>
  </si>
  <si>
    <t>River Gauging</t>
  </si>
  <si>
    <t>Snowmelt, Heavy Rain, Ice Jams</t>
  </si>
  <si>
    <t>Torrential Rain and Tropical Storm</t>
  </si>
  <si>
    <t>Tropical Storm Imelda</t>
  </si>
  <si>
    <t>Dam breaks and Heavy Rain</t>
  </si>
  <si>
    <t>Tropical Storm Sally</t>
  </si>
  <si>
    <t>USGS Gauging</t>
  </si>
  <si>
    <t>Tropical Storm Claudette</t>
  </si>
  <si>
    <t>GFMS Prediction</t>
  </si>
  <si>
    <t>USA </t>
  </si>
  <si>
    <t>USA.</t>
  </si>
  <si>
    <t>USSR</t>
  </si>
  <si>
    <t>USSR </t>
  </si>
  <si>
    <t>Dam break</t>
  </si>
  <si>
    <t>Vanuatu</t>
  </si>
  <si>
    <t>FL-2008-000234-BRA</t>
  </si>
  <si>
    <t>Venezuela </t>
  </si>
  <si>
    <t>Venezulea</t>
  </si>
  <si>
    <t>FL-2008-000128-VNM</t>
  </si>
  <si>
    <t>FL-2009-000207-VNM</t>
  </si>
  <si>
    <t>TC-2009-000205-VNM</t>
  </si>
  <si>
    <t>Tropical storm Ketsana</t>
  </si>
  <si>
    <t>FL-2010-000194-VNM</t>
  </si>
  <si>
    <t>FL-2010-000241-VNM</t>
  </si>
  <si>
    <t>TC-2012-000181-VNM;TC-2012-000179-P</t>
  </si>
  <si>
    <t>Tropical Storm Son-Tinh</t>
  </si>
  <si>
    <t>FL-2006-000136-VNM</t>
  </si>
  <si>
    <t>FL-2007-000122-VNM</t>
  </si>
  <si>
    <t>TC-2007-000178-VNM</t>
  </si>
  <si>
    <t>FL-2007-000201-VNM</t>
  </si>
  <si>
    <t>FL-2008-000166-GTM</t>
  </si>
  <si>
    <t>Tropical Storm Hagupit</t>
  </si>
  <si>
    <t>FL-2008-000191-Nic</t>
  </si>
  <si>
    <t>FF-2008-000233-PHL</t>
  </si>
  <si>
    <t>Tropical Storm Noul</t>
  </si>
  <si>
    <t>FL-2009-000124-VNM</t>
  </si>
  <si>
    <t>FL-2012-000161-VNM</t>
  </si>
  <si>
    <t>Tropical Storm Kujira</t>
  </si>
  <si>
    <t>FL-2015-000098-VNM</t>
  </si>
  <si>
    <t>FL-2016-000133-VNM</t>
  </si>
  <si>
    <t>FF-2017-000101-VNM</t>
  </si>
  <si>
    <t>TC-2017-000131-VNM</t>
  </si>
  <si>
    <t>Tropical Storm Doksuri</t>
  </si>
  <si>
    <t>TC-2017-000159-VNM</t>
  </si>
  <si>
    <t>Tropical Storm Damrey</t>
  </si>
  <si>
    <t>Tropical Depression</t>
  </si>
  <si>
    <t>Tropical Storm Usagi</t>
  </si>
  <si>
    <t>Vietnam </t>
  </si>
  <si>
    <t>West Germany</t>
  </si>
  <si>
    <t>Western Sahara</t>
  </si>
  <si>
    <t>Monsoon rain</t>
  </si>
  <si>
    <t>FF-2006-000039-YEM</t>
  </si>
  <si>
    <t>FL-2006-000074-YEM</t>
  </si>
  <si>
    <t>Tropical Storm Luban</t>
  </si>
  <si>
    <t>Yemen </t>
  </si>
  <si>
    <t>Yemen  </t>
  </si>
  <si>
    <t>Yugoslavia</t>
  </si>
  <si>
    <t>FL-2007-000030-NAM</t>
  </si>
  <si>
    <t>FL-2009-000068-ZMB</t>
  </si>
  <si>
    <t>FL-2010-000038-ZMB</t>
  </si>
  <si>
    <t>Zambia </t>
  </si>
  <si>
    <t>FL-2007-000227-ZWE</t>
  </si>
  <si>
    <t>Zimbabwe </t>
  </si>
  <si>
    <t>FL-2017-000020-ZWE</t>
  </si>
  <si>
    <t>Flood year</t>
  </si>
  <si>
    <t>Count of ID</t>
  </si>
  <si>
    <t>Sum of Area</t>
  </si>
  <si>
    <t>Grand Total</t>
  </si>
  <si>
    <t>Flood Annual</t>
  </si>
  <si>
    <t>Year</t>
  </si>
  <si>
    <t>Total Flood Area (km2)</t>
  </si>
  <si>
    <t>Flood Events</t>
  </si>
  <si>
    <t>Total Flooded Area (km2)</t>
  </si>
  <si>
    <t>Annual Rainfall (mm)</t>
  </si>
  <si>
    <t>Rainfall X</t>
  </si>
  <si>
    <t>Flooded Area 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</si>
</sst>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19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mbria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8" fillId="0" borderId="0" applyNumberFormat="0" applyFill="0" applyBorder="0" applyAlignment="0" applyProtection="0"/>
    <xf numFmtId="0" fontId="9" fillId="3" borderId="5" applyNumberFormat="0" applyAlignment="0" applyProtection="0"/>
    <xf numFmtId="0" fontId="10" fillId="4" borderId="6" applyNumberFormat="0" applyAlignment="0" applyProtection="0"/>
    <xf numFmtId="0" fontId="11" fillId="4" borderId="5" applyNumberFormat="0" applyAlignment="0" applyProtection="0"/>
    <xf numFmtId="0" fontId="12" fillId="5" borderId="7" applyNumberFormat="0" applyAlignment="0" applyProtection="0"/>
    <xf numFmtId="0" fontId="13" fillId="0" borderId="8" applyNumberFormat="0" applyFill="0" applyAlignment="0" applyProtection="0"/>
    <xf numFmtId="0" fontId="14" fillId="0" borderId="9" applyNumberFormat="0" applyFill="0" applyAlignment="0" applyProtection="0"/>
    <xf numFmtId="0" fontId="15" fillId="6" borderId="0" applyNumberFormat="0" applyBorder="0" applyAlignment="0" applyProtection="0"/>
    <xf numFmtId="0" fontId="16" fillId="7" borderId="0" applyNumberFormat="0" applyBorder="0" applyAlignment="0" applyProtection="0"/>
    <xf numFmtId="0" fontId="17" fillId="8" borderId="0" applyNumberFormat="0" applyBorder="0" applyAlignment="0" applyProtection="0"/>
    <xf numFmtId="0" fontId="18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18" fillId="32" borderId="0" applyNumberFormat="0" applyBorder="0" applyAlignment="0" applyProtection="0"/>
  </cellStyleXfs>
  <cellXfs count="2">
    <xf numFmtId="0" fontId="0" fillId="0" borderId="0" xfId="0"/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3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eetMetadata" Target="metadata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'Flood Annual Final'!$C$1</c:f>
              <c:strCache>
                <c:ptCount val="1"/>
                <c:pt idx="0">
                  <c:v>Total Flooded Area (km2)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anchor="ctr" anchorCtr="1"/>
                <a:lstStyle/>
                <a:p>
                  <a:pPr>
                    <a:defRPr lang="en-US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[2]Flood_Annual_Final!$D$2:$D$39</c:f>
              <c:numCache>
                <c:formatCode>General</c:formatCode>
                <c:ptCount val="0"/>
              </c:numCache>
            </c:numRef>
          </c:xVal>
          <c:yVal>
            <c:numRef>
              <c:f>(flood,annual,[3]Final!$C$2:$C$39)</c:f>
              <c:numCache>
                <c:formatCode>General</c:formatCode>
                <c:ptCount val="38"/>
                <c:pt idx="0">
                  <c:v>74615.9</c:v>
                </c:pt>
                <c:pt idx="1">
                  <c:v>0</c:v>
                </c:pt>
                <c:pt idx="2">
                  <c:v>0</c:v>
                </c:pt>
                <c:pt idx="3">
                  <c:v>147463.99</c:v>
                </c:pt>
                <c:pt idx="4">
                  <c:v>0</c:v>
                </c:pt>
                <c:pt idx="5">
                  <c:v>45061.73</c:v>
                </c:pt>
                <c:pt idx="6">
                  <c:v>22908.02</c:v>
                </c:pt>
                <c:pt idx="7">
                  <c:v>42369.21</c:v>
                </c:pt>
                <c:pt idx="8">
                  <c:v>0</c:v>
                </c:pt>
                <c:pt idx="9">
                  <c:v>317262.41</c:v>
                </c:pt>
                <c:pt idx="10">
                  <c:v>19768.44</c:v>
                </c:pt>
                <c:pt idx="11">
                  <c:v>0</c:v>
                </c:pt>
                <c:pt idx="12">
                  <c:v>17287.47</c:v>
                </c:pt>
                <c:pt idx="13">
                  <c:v>68804.11</c:v>
                </c:pt>
                <c:pt idx="14">
                  <c:v>1113252</c:v>
                </c:pt>
                <c:pt idx="15">
                  <c:v>7724.63</c:v>
                </c:pt>
                <c:pt idx="16">
                  <c:v>15352.34</c:v>
                </c:pt>
                <c:pt idx="17">
                  <c:v>1657.33</c:v>
                </c:pt>
                <c:pt idx="18">
                  <c:v>449965.884</c:v>
                </c:pt>
                <c:pt idx="19">
                  <c:v>35839.844</c:v>
                </c:pt>
                <c:pt idx="20">
                  <c:v>171050.48</c:v>
                </c:pt>
                <c:pt idx="21">
                  <c:v>3445.332</c:v>
                </c:pt>
                <c:pt idx="22">
                  <c:v>635389.03</c:v>
                </c:pt>
                <c:pt idx="23">
                  <c:v>0</c:v>
                </c:pt>
                <c:pt idx="24">
                  <c:v>117219.47</c:v>
                </c:pt>
                <c:pt idx="25">
                  <c:v>8694.6</c:v>
                </c:pt>
                <c:pt idx="26">
                  <c:v>123013.9</c:v>
                </c:pt>
                <c:pt idx="27">
                  <c:v>270674.49</c:v>
                </c:pt>
                <c:pt idx="28">
                  <c:v>178191.77</c:v>
                </c:pt>
                <c:pt idx="29">
                  <c:v>0</c:v>
                </c:pt>
                <c:pt idx="30">
                  <c:v>186816.02</c:v>
                </c:pt>
                <c:pt idx="31">
                  <c:v>0</c:v>
                </c:pt>
                <c:pt idx="32">
                  <c:v>111091.46</c:v>
                </c:pt>
                <c:pt idx="33">
                  <c:v>320377.82</c:v>
                </c:pt>
                <c:pt idx="34">
                  <c:v>1471789.48</c:v>
                </c:pt>
                <c:pt idx="35">
                  <c:v>449138.64</c:v>
                </c:pt>
                <c:pt idx="36">
                  <c:v>114959.47</c:v>
                </c:pt>
                <c:pt idx="37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9368438"/>
        <c:axId val="443340990"/>
      </c:scatterChart>
      <c:valAx>
        <c:axId val="73936843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3340990"/>
        <c:crosses val="autoZero"/>
        <c:crossBetween val="midCat"/>
      </c:valAx>
      <c:valAx>
        <c:axId val="44334099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9368438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adccc06-910f-4fc6-a9f5-7a6f9fb548e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1"/>
          <c:order val="0"/>
          <c:tx>
            <c:strRef>
              <c:f>'Flood Annual Final'!$I$1</c:f>
              <c:strCache>
                <c:ptCount val="1"/>
                <c:pt idx="0">
                  <c:v>Flooded Area 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anchor="ctr" anchorCtr="1"/>
                <a:lstStyle/>
                <a:p>
                  <a:pPr>
                    <a:defRPr lang="en-US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[2]Flood_Annual_Final!$H$2:$H$39</c:f>
              <c:numCache>
                <c:formatCode>General</c:formatCode>
                <c:ptCount val="0"/>
              </c:numCache>
            </c:numRef>
          </c:xVal>
          <c:yVal>
            <c:numRef>
              <c:f>[2]Flood_Annual_Final!$I$2:$I$39</c:f>
              <c:numCache>
                <c:formatCode>General</c:formatCode>
                <c:ptCount val="38"/>
                <c:pt idx="0">
                  <c:v>74615.9</c:v>
                </c:pt>
                <c:pt idx="1">
                  <c:v>0</c:v>
                </c:pt>
                <c:pt idx="2">
                  <c:v>0</c:v>
                </c:pt>
                <c:pt idx="3">
                  <c:v>147463.99</c:v>
                </c:pt>
                <c:pt idx="4">
                  <c:v>0</c:v>
                </c:pt>
                <c:pt idx="5">
                  <c:v>45061.73</c:v>
                </c:pt>
                <c:pt idx="6">
                  <c:v>22908.02</c:v>
                </c:pt>
                <c:pt idx="7">
                  <c:v>42369.21</c:v>
                </c:pt>
                <c:pt idx="8">
                  <c:v>0</c:v>
                </c:pt>
                <c:pt idx="9">
                  <c:v>317262.41</c:v>
                </c:pt>
                <c:pt idx="10">
                  <c:v>19768.44</c:v>
                </c:pt>
                <c:pt idx="11">
                  <c:v>0</c:v>
                </c:pt>
                <c:pt idx="12">
                  <c:v>17287.47</c:v>
                </c:pt>
                <c:pt idx="13">
                  <c:v>68804.11</c:v>
                </c:pt>
                <c:pt idx="14">
                  <c:v>1113252</c:v>
                </c:pt>
                <c:pt idx="15">
                  <c:v>7724.63</c:v>
                </c:pt>
                <c:pt idx="16">
                  <c:v>15352.34</c:v>
                </c:pt>
                <c:pt idx="17">
                  <c:v>1657.33</c:v>
                </c:pt>
                <c:pt idx="18">
                  <c:v>449965.884</c:v>
                </c:pt>
                <c:pt idx="19">
                  <c:v>35839.844</c:v>
                </c:pt>
                <c:pt idx="20">
                  <c:v>171050.48</c:v>
                </c:pt>
                <c:pt idx="21">
                  <c:v>3445.332</c:v>
                </c:pt>
                <c:pt idx="22">
                  <c:v>635389.03</c:v>
                </c:pt>
                <c:pt idx="23">
                  <c:v>0</c:v>
                </c:pt>
                <c:pt idx="24">
                  <c:v>117219.47</c:v>
                </c:pt>
                <c:pt idx="25">
                  <c:v>8694.6</c:v>
                </c:pt>
                <c:pt idx="26">
                  <c:v>123013.9</c:v>
                </c:pt>
                <c:pt idx="27">
                  <c:v>270674.49</c:v>
                </c:pt>
                <c:pt idx="28">
                  <c:v>178191.77</c:v>
                </c:pt>
                <c:pt idx="29">
                  <c:v>0</c:v>
                </c:pt>
                <c:pt idx="30">
                  <c:v>186816.02</c:v>
                </c:pt>
                <c:pt idx="31">
                  <c:v>0</c:v>
                </c:pt>
                <c:pt idx="32">
                  <c:v>111091.46</c:v>
                </c:pt>
                <c:pt idx="33">
                  <c:v>320377.82</c:v>
                </c:pt>
                <c:pt idx="34">
                  <c:v>1471789.48</c:v>
                </c:pt>
                <c:pt idx="35">
                  <c:v>449138.64</c:v>
                </c:pt>
                <c:pt idx="36">
                  <c:v>114959.47</c:v>
                </c:pt>
                <c:pt idx="37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3553064"/>
        <c:axId val="409531236"/>
      </c:scatterChart>
      <c:valAx>
        <c:axId val="223553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9531236"/>
        <c:crosses val="autoZero"/>
        <c:crossBetween val="midCat"/>
      </c:valAx>
      <c:valAx>
        <c:axId val="4095312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3553064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a615f97-7722-4b0f-a787-1cf04fa3a91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6350</xdr:colOff>
      <xdr:row>43</xdr:row>
      <xdr:rowOff>164465</xdr:rowOff>
    </xdr:from>
    <xdr:to>
      <xdr:col>4</xdr:col>
      <xdr:colOff>236855</xdr:colOff>
      <xdr:row>57</xdr:row>
      <xdr:rowOff>88900</xdr:rowOff>
    </xdr:to>
    <xdr:graphicFrame>
      <xdr:nvGraphicFramePr>
        <xdr:cNvPr id="2" name="Chart 1"/>
        <xdr:cNvGraphicFramePr/>
      </xdr:nvGraphicFramePr>
      <xdr:xfrm>
        <a:off x="6350" y="8082915"/>
        <a:ext cx="4459605" cy="25025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6350</xdr:colOff>
      <xdr:row>43</xdr:row>
      <xdr:rowOff>44450</xdr:rowOff>
    </xdr:from>
    <xdr:to>
      <xdr:col>3</xdr:col>
      <xdr:colOff>1042035</xdr:colOff>
      <xdr:row>56</xdr:row>
      <xdr:rowOff>101600</xdr:rowOff>
    </xdr:to>
    <xdr:graphicFrame>
      <xdr:nvGraphicFramePr>
        <xdr:cNvPr id="3" name="Chart 2"/>
        <xdr:cNvGraphicFramePr/>
      </xdr:nvGraphicFramePr>
      <xdr:xfrm>
        <a:off x="6350" y="7962900"/>
        <a:ext cx="4007485" cy="24511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nnual%20Rainfal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lood_Annual_Final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nal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ll"/>
      <sheetName val="Rainfall_Data"/>
      <sheetName val="Annual_Rainfall"/>
    </sheetNames>
    <sheetDataSet>
      <sheetData sheetId="0"/>
      <sheetData sheetId="1"/>
      <sheetData sheetId="2">
        <row r="2">
          <cell r="A2">
            <v>1901</v>
          </cell>
          <cell r="B2">
            <v>1334.04</v>
          </cell>
        </row>
        <row r="3">
          <cell r="A3">
            <v>1902</v>
          </cell>
          <cell r="B3">
            <v>1153.16</v>
          </cell>
        </row>
        <row r="4">
          <cell r="A4">
            <v>1903</v>
          </cell>
          <cell r="B4">
            <v>1218.23</v>
          </cell>
        </row>
        <row r="5">
          <cell r="A5">
            <v>1904</v>
          </cell>
          <cell r="B5">
            <v>1148.65</v>
          </cell>
        </row>
        <row r="6">
          <cell r="A6">
            <v>1905</v>
          </cell>
          <cell r="B6">
            <v>1260.45</v>
          </cell>
        </row>
        <row r="7">
          <cell r="A7">
            <v>1906</v>
          </cell>
          <cell r="B7">
            <v>1273.59</v>
          </cell>
        </row>
        <row r="8">
          <cell r="A8">
            <v>1907</v>
          </cell>
          <cell r="B8">
            <v>1053.01</v>
          </cell>
        </row>
        <row r="9">
          <cell r="A9">
            <v>1908</v>
          </cell>
          <cell r="B9">
            <v>1221.71</v>
          </cell>
        </row>
        <row r="10">
          <cell r="A10">
            <v>1909</v>
          </cell>
          <cell r="B10">
            <v>1392.56</v>
          </cell>
        </row>
        <row r="11">
          <cell r="A11">
            <v>1910</v>
          </cell>
          <cell r="B11">
            <v>1150.99</v>
          </cell>
        </row>
        <row r="12">
          <cell r="A12">
            <v>1911</v>
          </cell>
          <cell r="B12">
            <v>1311.93</v>
          </cell>
        </row>
        <row r="13">
          <cell r="A13">
            <v>1912</v>
          </cell>
          <cell r="B13">
            <v>1057.61</v>
          </cell>
        </row>
        <row r="14">
          <cell r="A14">
            <v>1913</v>
          </cell>
          <cell r="B14">
            <v>1095.33</v>
          </cell>
        </row>
        <row r="15">
          <cell r="A15">
            <v>1914</v>
          </cell>
          <cell r="B15">
            <v>969.83</v>
          </cell>
        </row>
        <row r="16">
          <cell r="A16">
            <v>1915</v>
          </cell>
          <cell r="B16">
            <v>1183.61</v>
          </cell>
        </row>
        <row r="17">
          <cell r="A17">
            <v>1916</v>
          </cell>
          <cell r="B17">
            <v>1320.67</v>
          </cell>
        </row>
        <row r="18">
          <cell r="A18">
            <v>1917</v>
          </cell>
          <cell r="B18">
            <v>1265.86</v>
          </cell>
        </row>
        <row r="19">
          <cell r="A19">
            <v>1918</v>
          </cell>
          <cell r="B19">
            <v>1258.1</v>
          </cell>
        </row>
        <row r="20">
          <cell r="A20">
            <v>1919</v>
          </cell>
          <cell r="B20">
            <v>1121.45</v>
          </cell>
        </row>
        <row r="21">
          <cell r="A21">
            <v>1920</v>
          </cell>
          <cell r="B21">
            <v>1230.08</v>
          </cell>
        </row>
        <row r="22">
          <cell r="A22">
            <v>1921</v>
          </cell>
          <cell r="B22">
            <v>1258.33</v>
          </cell>
        </row>
        <row r="23">
          <cell r="A23">
            <v>1922</v>
          </cell>
          <cell r="B23">
            <v>1177.05</v>
          </cell>
        </row>
        <row r="24">
          <cell r="A24">
            <v>1923</v>
          </cell>
          <cell r="B24">
            <v>1203.32</v>
          </cell>
        </row>
        <row r="25">
          <cell r="A25">
            <v>1924</v>
          </cell>
          <cell r="B25">
            <v>1289.62</v>
          </cell>
        </row>
        <row r="26">
          <cell r="A26">
            <v>1925</v>
          </cell>
          <cell r="B26">
            <v>1249.17</v>
          </cell>
        </row>
        <row r="27">
          <cell r="A27">
            <v>1926</v>
          </cell>
          <cell r="B27">
            <v>1165.63</v>
          </cell>
        </row>
        <row r="28">
          <cell r="A28">
            <v>1927</v>
          </cell>
          <cell r="B28">
            <v>1274.43</v>
          </cell>
        </row>
        <row r="29">
          <cell r="A29">
            <v>1928</v>
          </cell>
          <cell r="B29">
            <v>1261.52</v>
          </cell>
        </row>
        <row r="30">
          <cell r="A30">
            <v>1929</v>
          </cell>
          <cell r="B30">
            <v>1277.32</v>
          </cell>
        </row>
        <row r="31">
          <cell r="A31">
            <v>1930</v>
          </cell>
          <cell r="B31">
            <v>1302.27</v>
          </cell>
        </row>
        <row r="32">
          <cell r="A32">
            <v>1931</v>
          </cell>
          <cell r="B32">
            <v>1276.73</v>
          </cell>
        </row>
        <row r="33">
          <cell r="A33">
            <v>1932</v>
          </cell>
          <cell r="B33">
            <v>1144.76</v>
          </cell>
        </row>
        <row r="34">
          <cell r="A34">
            <v>1933</v>
          </cell>
          <cell r="B34">
            <v>1333.31</v>
          </cell>
        </row>
        <row r="35">
          <cell r="A35">
            <v>1934</v>
          </cell>
          <cell r="B35">
            <v>1252.56</v>
          </cell>
        </row>
        <row r="36">
          <cell r="A36">
            <v>1935</v>
          </cell>
          <cell r="B36">
            <v>1242.76</v>
          </cell>
        </row>
        <row r="37">
          <cell r="A37">
            <v>1936</v>
          </cell>
          <cell r="B37">
            <v>1237.62</v>
          </cell>
        </row>
        <row r="38">
          <cell r="A38">
            <v>1937</v>
          </cell>
          <cell r="B38">
            <v>1159.79</v>
          </cell>
        </row>
        <row r="39">
          <cell r="A39">
            <v>1938</v>
          </cell>
          <cell r="B39">
            <v>1181.63</v>
          </cell>
        </row>
        <row r="40">
          <cell r="A40">
            <v>1939</v>
          </cell>
          <cell r="B40">
            <v>1333.77</v>
          </cell>
        </row>
        <row r="41">
          <cell r="A41">
            <v>1940</v>
          </cell>
          <cell r="B41">
            <v>1228.27</v>
          </cell>
        </row>
        <row r="42">
          <cell r="A42">
            <v>1941</v>
          </cell>
          <cell r="B42">
            <v>1220.84</v>
          </cell>
        </row>
        <row r="43">
          <cell r="A43">
            <v>1942</v>
          </cell>
          <cell r="B43">
            <v>1106.24</v>
          </cell>
        </row>
        <row r="44">
          <cell r="A44">
            <v>1943</v>
          </cell>
          <cell r="B44">
            <v>1218.5</v>
          </cell>
        </row>
        <row r="45">
          <cell r="A45">
            <v>1944</v>
          </cell>
          <cell r="B45">
            <v>1108.96</v>
          </cell>
        </row>
        <row r="46">
          <cell r="A46">
            <v>1945</v>
          </cell>
          <cell r="B46">
            <v>1150.02</v>
          </cell>
        </row>
        <row r="47">
          <cell r="A47">
            <v>1946</v>
          </cell>
          <cell r="B47">
            <v>1183.49</v>
          </cell>
        </row>
        <row r="48">
          <cell r="A48">
            <v>1947</v>
          </cell>
          <cell r="B48">
            <v>1243.44</v>
          </cell>
        </row>
        <row r="49">
          <cell r="A49">
            <v>1948</v>
          </cell>
          <cell r="B49">
            <v>1188.75</v>
          </cell>
        </row>
        <row r="50">
          <cell r="A50">
            <v>1949</v>
          </cell>
          <cell r="B50">
            <v>1171.2</v>
          </cell>
        </row>
        <row r="51">
          <cell r="A51">
            <v>1950</v>
          </cell>
          <cell r="B51">
            <v>1142.91</v>
          </cell>
        </row>
        <row r="52">
          <cell r="A52">
            <v>1951</v>
          </cell>
          <cell r="B52">
            <v>1270.59</v>
          </cell>
        </row>
        <row r="53">
          <cell r="A53">
            <v>1952</v>
          </cell>
          <cell r="B53">
            <v>1295.11</v>
          </cell>
        </row>
        <row r="54">
          <cell r="A54">
            <v>1953</v>
          </cell>
          <cell r="B54">
            <v>1266.67</v>
          </cell>
        </row>
        <row r="55">
          <cell r="A55">
            <v>1954</v>
          </cell>
          <cell r="B55">
            <v>1415.31</v>
          </cell>
        </row>
        <row r="56">
          <cell r="A56">
            <v>1955</v>
          </cell>
          <cell r="B56">
            <v>1366.54</v>
          </cell>
        </row>
        <row r="57">
          <cell r="A57">
            <v>1956</v>
          </cell>
          <cell r="B57">
            <v>1138.71</v>
          </cell>
        </row>
        <row r="58">
          <cell r="A58">
            <v>1957</v>
          </cell>
          <cell r="B58">
            <v>1451.2</v>
          </cell>
        </row>
        <row r="59">
          <cell r="A59">
            <v>1958</v>
          </cell>
          <cell r="B59">
            <v>1121.08</v>
          </cell>
        </row>
        <row r="60">
          <cell r="A60">
            <v>1959</v>
          </cell>
          <cell r="B60">
            <v>1243.37</v>
          </cell>
        </row>
        <row r="61">
          <cell r="A61">
            <v>1960</v>
          </cell>
          <cell r="B61">
            <v>1305.52</v>
          </cell>
        </row>
        <row r="62">
          <cell r="A62">
            <v>1961</v>
          </cell>
          <cell r="B62">
            <v>1131.2</v>
          </cell>
        </row>
        <row r="63">
          <cell r="A63">
            <v>1962</v>
          </cell>
          <cell r="B63">
            <v>1357.48</v>
          </cell>
        </row>
        <row r="64">
          <cell r="A64">
            <v>1963</v>
          </cell>
          <cell r="B64">
            <v>1359.25</v>
          </cell>
        </row>
        <row r="65">
          <cell r="A65">
            <v>1964</v>
          </cell>
          <cell r="B65">
            <v>1243.36</v>
          </cell>
        </row>
        <row r="66">
          <cell r="A66">
            <v>1965</v>
          </cell>
          <cell r="B66">
            <v>1205.35</v>
          </cell>
        </row>
        <row r="67">
          <cell r="A67">
            <v>1966</v>
          </cell>
          <cell r="B67">
            <v>1257.24</v>
          </cell>
        </row>
        <row r="68">
          <cell r="A68">
            <v>1967</v>
          </cell>
          <cell r="B68">
            <v>1171.27</v>
          </cell>
        </row>
        <row r="69">
          <cell r="A69">
            <v>1968</v>
          </cell>
          <cell r="B69">
            <v>1306.02</v>
          </cell>
        </row>
        <row r="70">
          <cell r="A70">
            <v>1969</v>
          </cell>
          <cell r="B70">
            <v>1294.9</v>
          </cell>
        </row>
        <row r="71">
          <cell r="A71">
            <v>1970</v>
          </cell>
          <cell r="B71">
            <v>1144.82</v>
          </cell>
        </row>
        <row r="72">
          <cell r="A72">
            <v>1971</v>
          </cell>
          <cell r="B72">
            <v>1127.49</v>
          </cell>
        </row>
        <row r="73">
          <cell r="A73">
            <v>1972</v>
          </cell>
          <cell r="B73">
            <v>1089.3</v>
          </cell>
        </row>
        <row r="74">
          <cell r="A74">
            <v>1973</v>
          </cell>
          <cell r="B74">
            <v>993.47</v>
          </cell>
        </row>
        <row r="75">
          <cell r="A75">
            <v>1974</v>
          </cell>
          <cell r="B75">
            <v>1187.54</v>
          </cell>
        </row>
        <row r="76">
          <cell r="A76">
            <v>1975</v>
          </cell>
          <cell r="B76">
            <v>1200.45</v>
          </cell>
        </row>
        <row r="77">
          <cell r="A77">
            <v>1976</v>
          </cell>
          <cell r="B77">
            <v>1185.89</v>
          </cell>
        </row>
        <row r="78">
          <cell r="A78">
            <v>1977</v>
          </cell>
          <cell r="B78">
            <v>1030.77</v>
          </cell>
        </row>
        <row r="79">
          <cell r="A79">
            <v>1978</v>
          </cell>
          <cell r="B79">
            <v>1303.57</v>
          </cell>
        </row>
        <row r="80">
          <cell r="A80">
            <v>1979</v>
          </cell>
          <cell r="B80">
            <v>1232.87</v>
          </cell>
        </row>
        <row r="81">
          <cell r="A81">
            <v>1980</v>
          </cell>
          <cell r="B81">
            <v>1248.89</v>
          </cell>
        </row>
        <row r="82">
          <cell r="A82">
            <v>1981</v>
          </cell>
          <cell r="B82">
            <v>1130.22</v>
          </cell>
        </row>
        <row r="83">
          <cell r="A83">
            <v>1982</v>
          </cell>
          <cell r="B83">
            <v>1052.74</v>
          </cell>
        </row>
        <row r="84">
          <cell r="A84">
            <v>1983</v>
          </cell>
          <cell r="B84">
            <v>887.81</v>
          </cell>
        </row>
        <row r="85">
          <cell r="A85">
            <v>1984</v>
          </cell>
          <cell r="B85">
            <v>1065.34</v>
          </cell>
        </row>
        <row r="86">
          <cell r="A86">
            <v>1985</v>
          </cell>
          <cell r="B86">
            <v>1119.45</v>
          </cell>
        </row>
        <row r="87">
          <cell r="A87">
            <v>1986</v>
          </cell>
          <cell r="B87">
            <v>1073.18</v>
          </cell>
        </row>
        <row r="88">
          <cell r="A88">
            <v>1987</v>
          </cell>
          <cell r="B88">
            <v>1025.86</v>
          </cell>
        </row>
        <row r="89">
          <cell r="A89">
            <v>1988</v>
          </cell>
          <cell r="B89">
            <v>1195.07</v>
          </cell>
        </row>
        <row r="90">
          <cell r="A90">
            <v>1989</v>
          </cell>
          <cell r="B90">
            <v>1148.31</v>
          </cell>
        </row>
        <row r="91">
          <cell r="A91">
            <v>1990</v>
          </cell>
          <cell r="B91">
            <v>1097.4</v>
          </cell>
        </row>
        <row r="92">
          <cell r="A92">
            <v>1991</v>
          </cell>
          <cell r="B92">
            <v>1254.64</v>
          </cell>
        </row>
        <row r="93">
          <cell r="A93">
            <v>1992</v>
          </cell>
          <cell r="B93">
            <v>1119.42</v>
          </cell>
        </row>
        <row r="94">
          <cell r="A94">
            <v>1993</v>
          </cell>
          <cell r="B94">
            <v>1084.92</v>
          </cell>
        </row>
        <row r="95">
          <cell r="A95">
            <v>1994</v>
          </cell>
          <cell r="B95">
            <v>1236.95</v>
          </cell>
        </row>
        <row r="96">
          <cell r="A96">
            <v>1995</v>
          </cell>
          <cell r="B96">
            <v>1200.49</v>
          </cell>
        </row>
        <row r="97">
          <cell r="A97">
            <v>1996</v>
          </cell>
          <cell r="B97">
            <v>1245.22</v>
          </cell>
        </row>
        <row r="98">
          <cell r="A98">
            <v>1997</v>
          </cell>
          <cell r="B98">
            <v>1231.11</v>
          </cell>
        </row>
        <row r="99">
          <cell r="A99">
            <v>1998</v>
          </cell>
          <cell r="B99">
            <v>1167.51</v>
          </cell>
        </row>
        <row r="100">
          <cell r="A100">
            <v>1999</v>
          </cell>
          <cell r="B100">
            <v>1242.61</v>
          </cell>
        </row>
        <row r="101">
          <cell r="A101">
            <v>2000</v>
          </cell>
          <cell r="B101">
            <v>1139.23</v>
          </cell>
        </row>
        <row r="102">
          <cell r="A102">
            <v>2001</v>
          </cell>
          <cell r="B102">
            <v>1152.11</v>
          </cell>
        </row>
        <row r="103">
          <cell r="A103">
            <v>2002</v>
          </cell>
          <cell r="B103">
            <v>1166.44</v>
          </cell>
        </row>
        <row r="104">
          <cell r="A104">
            <v>2003</v>
          </cell>
          <cell r="B104">
            <v>1277.68</v>
          </cell>
        </row>
        <row r="105">
          <cell r="A105">
            <v>2004</v>
          </cell>
          <cell r="B105">
            <v>1148.15</v>
          </cell>
        </row>
        <row r="106">
          <cell r="A106">
            <v>2005</v>
          </cell>
          <cell r="B106">
            <v>1187.66</v>
          </cell>
        </row>
        <row r="107">
          <cell r="A107">
            <v>2006</v>
          </cell>
          <cell r="B107">
            <v>1182.62</v>
          </cell>
        </row>
        <row r="108">
          <cell r="A108">
            <v>2007</v>
          </cell>
          <cell r="B108">
            <v>1186.85</v>
          </cell>
        </row>
        <row r="109">
          <cell r="A109">
            <v>2008</v>
          </cell>
          <cell r="B109">
            <v>1205.15</v>
          </cell>
        </row>
        <row r="110">
          <cell r="A110">
            <v>2009</v>
          </cell>
          <cell r="B110">
            <v>1152.55</v>
          </cell>
        </row>
        <row r="111">
          <cell r="A111">
            <v>2010</v>
          </cell>
          <cell r="B111">
            <v>1236.44</v>
          </cell>
        </row>
        <row r="112">
          <cell r="A112">
            <v>2011</v>
          </cell>
          <cell r="B112">
            <v>1050.75</v>
          </cell>
        </row>
        <row r="113">
          <cell r="A113">
            <v>2012</v>
          </cell>
          <cell r="B113">
            <v>1240.11</v>
          </cell>
        </row>
        <row r="114">
          <cell r="A114">
            <v>2013</v>
          </cell>
          <cell r="B114">
            <v>1069.17</v>
          </cell>
        </row>
        <row r="115">
          <cell r="A115">
            <v>2014</v>
          </cell>
          <cell r="B115">
            <v>1144.34</v>
          </cell>
        </row>
        <row r="116">
          <cell r="A116">
            <v>2015</v>
          </cell>
          <cell r="B116">
            <v>1032.6</v>
          </cell>
        </row>
        <row r="117">
          <cell r="A117">
            <v>2016</v>
          </cell>
          <cell r="B117">
            <v>1202.33</v>
          </cell>
        </row>
        <row r="118">
          <cell r="A118">
            <v>2017</v>
          </cell>
          <cell r="B118">
            <v>1156.19</v>
          </cell>
        </row>
        <row r="119">
          <cell r="A119">
            <v>2018</v>
          </cell>
          <cell r="B119">
            <v>1259.86</v>
          </cell>
        </row>
        <row r="120">
          <cell r="A120">
            <v>2019</v>
          </cell>
          <cell r="B120">
            <v>1296.65</v>
          </cell>
        </row>
        <row r="121">
          <cell r="A121">
            <v>2020</v>
          </cell>
          <cell r="B121">
            <v>1255.3</v>
          </cell>
        </row>
        <row r="122">
          <cell r="A122">
            <v>2021</v>
          </cell>
          <cell r="B122">
            <v>1118.94</v>
          </cell>
        </row>
        <row r="123">
          <cell r="A123">
            <v>2022</v>
          </cell>
          <cell r="B123">
            <v>1226.07</v>
          </cell>
        </row>
        <row r="124">
          <cell r="A124">
            <v>2023</v>
          </cell>
          <cell r="B124">
            <v>1246.01</v>
          </cell>
        </row>
        <row r="125">
          <cell r="A125">
            <v>2024</v>
          </cell>
          <cell r="B125">
            <v>1293.21</v>
          </cell>
        </row>
        <row r="126">
          <cell r="A126">
            <v>2025</v>
          </cell>
          <cell r="B126">
            <v>1186.31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Flood_Annual_Final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Final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300.5596296296" refreshedBy="user" recordCount="68">
  <cacheSource type="worksheet">
    <worksheetSource ref="A1:O69" sheet="Flood_Data"/>
  </cacheSource>
  <cacheFields count="15">
    <cacheField name="ID" numFmtId="0">
      <sharedItems containsSemiMixedTypes="0" containsString="0" containsNumber="1" containsInteger="1" minValue="0" maxValue="5107" count="68">
        <n v="55"/>
        <n v="249"/>
        <n v="257"/>
        <n v="430"/>
        <n v="443"/>
        <n v="459"/>
        <n v="559"/>
        <n v="698"/>
        <n v="899"/>
        <n v="980"/>
        <n v="1219"/>
        <n v="1431"/>
        <n v="1454"/>
        <n v="1560"/>
        <n v="1563"/>
        <n v="2003"/>
        <n v="2247"/>
        <n v="2250"/>
        <n v="2290"/>
        <n v="2293"/>
        <n v="2294"/>
        <n v="2311"/>
        <n v="2314"/>
        <n v="2345"/>
        <n v="2361"/>
        <n v="2503"/>
        <n v="2509"/>
        <n v="2545"/>
        <n v="2546"/>
        <n v="2553"/>
        <n v="2721"/>
        <n v="2739"/>
        <n v="2925"/>
        <n v="2928"/>
        <n v="2967"/>
        <n v="3148"/>
        <n v="3151"/>
        <n v="3540"/>
        <n v="3555"/>
        <n v="3715"/>
        <n v="3839"/>
        <n v="3860"/>
        <n v="3901"/>
        <n v="3954"/>
        <n v="3964"/>
        <n v="3972"/>
        <n v="3976"/>
        <n v="3988"/>
        <n v="4088"/>
        <n v="4294"/>
        <n v="4492"/>
        <n v="4517"/>
        <n v="4649"/>
        <n v="4667"/>
        <n v="4782"/>
        <n v="4794"/>
        <n v="4805"/>
        <n v="4820"/>
        <n v="4960"/>
        <n v="4967"/>
        <n v="5107"/>
        <n v="195"/>
        <n v="225"/>
        <n v="230"/>
        <n v="263"/>
        <n v="1642"/>
        <n v="1768"/>
        <n v="1786"/>
      </sharedItems>
    </cacheField>
    <cacheField name="GlideNumber" numFmtId="0">
      <sharedItems containsBlank="1" containsNumber="1" containsInteger="1" containsMixedTypes="1" count="4">
        <n v="0"/>
        <s v="FL-2007-000123-NGA"/>
        <m/>
        <s v="FL-2017-000126-NGA"/>
      </sharedItems>
    </cacheField>
    <cacheField name="Country" numFmtId="0">
      <sharedItems count="2">
        <s v="Nigeria"/>
        <s v="Nigeria "/>
      </sharedItems>
    </cacheField>
    <cacheField name="OtherCountry" numFmtId="0">
      <sharedItems containsBlank="1" containsNumber="1" containsInteger="1" containsMixedTypes="1" count="6">
        <n v="0"/>
        <m/>
        <s v="Niger"/>
        <s v="Ghana"/>
        <s v="Camaroun"/>
        <s v="Bangladesh"/>
      </sharedItems>
    </cacheField>
    <cacheField name="long" numFmtId="0">
      <sharedItems containsSemiMixedTypes="0" containsString="0" containsNumber="1" minValue="0" maxValue="13.3184" count="68">
        <n v="6.50345"/>
        <n v="2.40705"/>
        <n v="7.10119"/>
        <n v="3.51739"/>
        <n v="8.3879"/>
        <n v="8.88898"/>
        <n v="8.52892"/>
        <n v="13.018"/>
        <n v="13.3184"/>
        <n v="8.96747"/>
        <n v="4.03785"/>
        <n v="8.9692"/>
        <n v="4.48983"/>
        <n v="5.9793"/>
        <n v="11.938"/>
        <n v="3.28106"/>
        <n v="9.78959"/>
        <n v="8.43421"/>
        <n v="8.94298"/>
        <n v="11.1736"/>
        <n v="9.13461"/>
        <n v="4.73527"/>
        <n v="10.0128"/>
        <n v="7.48686"/>
        <n v="11.9235"/>
        <n v="3.48641"/>
        <n v="9.72517"/>
        <n v="6.00639"/>
        <n v="12.7303"/>
        <n v="11.1989"/>
        <n v="10.9053"/>
        <n v="10.4374"/>
        <n v="6.3487"/>
        <n v="7.17056"/>
        <n v="5.34617"/>
        <n v="3.29858"/>
        <n v="11.7484"/>
        <n v="5.68204"/>
        <n v="6.5097"/>
        <n v="4.5"/>
        <n v="8.6417"/>
        <n v="4.47296"/>
        <n v="12.8074"/>
        <n v="8.0195"/>
        <n v="11.2812"/>
        <n v="4.12488"/>
        <n v="12.1089"/>
        <n v="6.33994"/>
        <n v="7.63747"/>
        <n v="11.5284"/>
        <n v="7.19827"/>
        <n v="9.44993"/>
        <n v="4.37751"/>
        <n v="8.2375"/>
        <n v="12.6418"/>
        <n v="9.42519"/>
        <n v="6.90135"/>
        <n v="7.51994"/>
        <n v="7.86635"/>
        <n v="6.25802"/>
        <n v="9.12827"/>
        <n v="3.45225"/>
        <n v="9.09773"/>
        <n v="7.08584"/>
        <n v="6.31012"/>
        <n v="3.21802"/>
        <n v="6.16667"/>
        <n v="8.69841"/>
      </sharedItems>
    </cacheField>
    <cacheField name="lat" numFmtId="0">
      <sharedItems containsSemiMixedTypes="0" containsString="0" containsNumber="1" minValue="0" maxValue="14.316" count="68">
        <n v="6.41486"/>
        <n v="9.50559"/>
        <n v="6.37902"/>
        <n v="6.53686"/>
        <n v="5.84049"/>
        <n v="7.50054"/>
        <n v="11.69"/>
        <n v="10.2805"/>
        <n v="12.0384"/>
        <n v="10.0459"/>
        <n v="7.46328"/>
        <n v="11.8968"/>
        <n v="8.84162"/>
        <n v="12.5634"/>
        <n v="6.60512"/>
        <n v="6.60559"/>
        <n v="12.4276"/>
        <n v="11.81"/>
        <n v="6.28577"/>
        <n v="10.1997"/>
        <n v="6.92886"/>
        <n v="12.3948"/>
        <n v="12.6343"/>
        <n v="10.5143"/>
        <n v="8.87752"/>
        <n v="6.4901"/>
        <n v="12.4118"/>
        <n v="5.5144"/>
        <n v="10.0552"/>
        <n v="10.4041"/>
        <n v="10.6656"/>
        <n v="12.5706"/>
        <n v="6.9447"/>
        <n v="9.08112"/>
        <n v="8.16231"/>
        <n v="6.958"/>
        <n v="10.2921"/>
        <n v="12.2596"/>
        <n v="5.54356"/>
        <n v="12.78"/>
        <n v="12.5947"/>
        <n v="8.73715"/>
        <n v="9.85967"/>
        <n v="10.5918"/>
        <n v="7.42738"/>
        <n v="14.316"/>
        <n v="9.30166"/>
        <n v="5.50441"/>
        <n v="10.5244"/>
        <n v="9.95267"/>
        <n v="10.079"/>
        <n v="8.16896"/>
        <n v="6.60889"/>
        <n v="10.4748"/>
        <n v="9.80315"/>
        <n v="12.7565"/>
        <n v="7.69921"/>
        <n v="7.92221"/>
        <n v="10.0672"/>
        <n v="7.77412"/>
        <n v="12.1102"/>
        <n v="6.58518"/>
        <n v="11.8707"/>
        <n v="4.54794"/>
        <n v="4.97124"/>
        <n v="6.74719"/>
        <n v="12.5291"/>
        <n v="11.7284"/>
      </sharedItems>
    </cacheField>
    <cacheField name="Area" numFmtId="0">
      <sharedItems containsSemiMixedTypes="0" containsString="0" containsNumber="1" minValue="0" maxValue="1048396.98" count="68">
        <n v="74615.9"/>
        <n v="71964.13"/>
        <n v="8884.3"/>
        <n v="3421.54"/>
        <n v="5516.12"/>
        <n v="36124.07"/>
        <n v="22908.02"/>
        <n v="42369.21"/>
        <n v="317262.41"/>
        <n v="19768.44"/>
        <n v="17287.47"/>
        <n v="39717.53"/>
        <n v="29086.58"/>
        <n v="861989.44"/>
        <n v="251262.56"/>
        <n v="1657.33"/>
        <n v="5709.91"/>
        <n v="785.174"/>
        <n v="8171.95"/>
        <n v="1524.21"/>
        <n v="2626.51"/>
        <n v="138852.9"/>
        <n v="19628.97"/>
        <n v="134916.26"/>
        <n v="137750"/>
        <n v="337.173"/>
        <n v="8716.04"/>
        <n v="517.871"/>
        <n v="5488.44"/>
        <n v="20780.32"/>
        <n v="159497.37"/>
        <n v="11553.11"/>
        <n v="724.352"/>
        <n v="1851.09"/>
        <n v="869.89"/>
        <n v="5268.18"/>
        <n v="630120.85"/>
        <n v="64200.98"/>
        <n v="53018.49"/>
        <n v="8694.6"/>
        <n v="103000.35"/>
        <n v="20013.55"/>
        <n v="50438.09"/>
        <n v="45292.27"/>
        <n v="16652.25"/>
        <n v="48922.93"/>
        <n v="96830.55"/>
        <n v="12538.4"/>
        <n v="178191.77"/>
        <n v="186816.02"/>
        <n v="24144.9"/>
        <n v="86946.56"/>
        <n v="62900.45"/>
        <n v="257477.37"/>
        <n v="106018.64"/>
        <n v="1048396.98"/>
        <n v="88014.67"/>
        <n v="229359.19"/>
        <n v="330402.23"/>
        <n v="118736.41"/>
        <n v="114959.47"/>
        <n v="1930.19"/>
        <n v="60618.09"/>
        <n v="1234.05"/>
        <n v="2833.23"/>
        <n v="7724.63"/>
        <n v="1064.62"/>
        <n v="14287.72"/>
      </sharedItems>
    </cacheField>
    <cacheField name="Began" numFmtId="58">
      <sharedItems containsSemiMixedTypes="0" containsString="0" containsNonDate="0" containsDate="1" minDate="1985-09-23T00:00:00" maxDate="2021-08-10T00:00:00" count="66">
        <d v="1985-09-23T00:00:00"/>
        <d v="1988-09-14T00:00:00"/>
        <d v="1988-09-21T00:00:00"/>
        <d v="1990-07-03T00:00:00"/>
        <d v="1990-08-02T00:00:00"/>
        <d v="1990-09-16T00:00:00"/>
        <d v="1991-08-04T00:00:00"/>
        <d v="1992-09-22T00:00:00"/>
        <d v="1994-09-11T00:00:00"/>
        <d v="1995-08-07T00:00:00"/>
        <d v="1997-04-30T00:00:00"/>
        <d v="1998-08-15T00:00:00"/>
        <d v="1998-10-12T00:00:00"/>
        <d v="1999-09-15T00:00:00"/>
        <d v="1999-10-26T00:00:00"/>
        <d v="2002-07-24T00:00:00"/>
        <d v="2003-06-07T00:00:00"/>
        <d v="2003-05-28T00:00:00"/>
        <d v="2003-07-23T00:00:00"/>
        <d v="2003-07-22T00:00:00"/>
        <d v="2003-07-27T00:00:00"/>
        <d v="2003-08-05T00:00:00"/>
        <d v="2003-09-05T00:00:00"/>
        <d v="2003-09-22T00:00:00"/>
        <d v="2004-06-17T00:00:00"/>
        <d v="2004-06-22T00:00:00"/>
        <d v="2004-08-08T00:00:00"/>
        <d v="2004-08-21T00:00:00"/>
        <d v="2005-08-07T00:00:00"/>
        <d v="2005-09-26T00:00:00"/>
        <d v="2006-07-15T00:00:00"/>
        <d v="2006-07-18T00:00:00"/>
        <d v="2006-09-12T00:00:00"/>
        <d v="2007-08-01T00:00:00"/>
        <d v="2007-08-04T00:00:00"/>
        <d v="2009-09-10T00:00:00"/>
        <d v="2009-10-20T00:00:00"/>
        <d v="2010-09-13T00:00:00"/>
        <d v="2011-07-15T00:00:00"/>
        <d v="2011-08-26T00:00:00"/>
        <d v="2012-02-20T00:00:00"/>
        <d v="2012-07-22T00:00:00"/>
        <d v="2012-08-02T00:00:00"/>
        <d v="2012-08-24T00:00:00"/>
        <d v="2012-08-25T00:00:00"/>
        <d v="2012-09-15T00:00:00"/>
        <d v="2013-09-10T00:00:00"/>
        <d v="2015-08-30T00:00:00"/>
        <d v="2017-07-08T00:00:00"/>
        <d v="2017-09-01T00:00:00"/>
        <d v="2018-07-13T00:00:00"/>
        <d v="2018-08-20T00:00:00"/>
        <d v="2019-08-01T00:00:00"/>
        <d v="2019-09-01T00:00:00"/>
        <d v="2019-09-25T00:00:00"/>
        <d v="2019-10-15T00:00:00"/>
        <d v="2020-08-05T00:00:00"/>
        <d v="2020-09-15T00:00:00"/>
        <d v="2021-08-10T00:00:00"/>
        <d v="1988-07-02T00:00:00"/>
        <d v="1988-08-07T00:00:00"/>
        <d v="1988-08-22T00:00:00"/>
        <d v="1988-10-27T00:00:00"/>
        <d v="2000-09-20T00:00:00"/>
        <d v="2001-07-22T00:00:00"/>
        <d v="2001-08-27T00:00:00"/>
      </sharedItems>
    </cacheField>
    <cacheField name="Ended" numFmtId="58">
      <sharedItems containsSemiMixedTypes="0" containsString="0" containsNonDate="0" containsDate="1" minDate="1985-09-25T00:00:00" maxDate="2021-08-17T00:00:00" count="67">
        <d v="1985-09-25T00:00:00"/>
        <d v="1988-09-26T00:00:00"/>
        <d v="1988-10-05T00:00:00"/>
        <d v="1990-07-04T00:00:00"/>
        <d v="1990-08-03T00:00:00"/>
        <d v="1990-09-21T00:00:00"/>
        <d v="1991-08-05T00:00:00"/>
        <d v="1992-09-23T00:00:00"/>
        <d v="1994-09-15T00:00:00"/>
        <d v="1995-08-10T00:00:00"/>
        <d v="1997-05-01T00:00:00"/>
        <d v="1998-08-16T00:00:00"/>
        <d v="1998-10-18T00:00:00"/>
        <d v="1999-10-11T00:00:00"/>
        <d v="1999-11-08T00:00:00"/>
        <d v="2002-07-26T00:00:00"/>
        <d v="2003-06-08T00:00:00"/>
        <d v="2003-05-29T00:00:00"/>
        <d v="2003-07-25T00:00:00"/>
        <d v="2003-07-24T00:00:00"/>
        <d v="2003-07-27T00:00:00"/>
        <d v="2003-10-12T00:00:00"/>
        <d v="2003-10-28T00:00:00"/>
        <d v="2003-10-10T00:00:00"/>
        <d v="2004-06-18T00:00:00"/>
        <d v="2004-06-25T00:00:00"/>
        <d v="2004-08-10T00:00:00"/>
        <d v="2004-08-12T00:00:00"/>
        <d v="2004-08-23T00:00:00"/>
        <d v="2005-09-16T00:00:00"/>
        <d v="2005-09-29T00:00:00"/>
        <d v="2006-07-17T00:00:00"/>
        <d v="2006-07-20T00:00:00"/>
        <d v="2006-09-13T00:00:00"/>
        <d v="2007-08-15T00:00:00"/>
        <d v="2007-10-21T00:00:00"/>
        <d v="2009-09-18T00:00:00"/>
        <d v="2009-10-26T00:00:00"/>
        <d v="2010-09-30T00:00:00"/>
        <d v="2011-07-22T00:00:00"/>
        <d v="2011-09-08T00:00:00"/>
        <d v="2012-02-27T00:00:00"/>
        <d v="2012-07-25T00:00:00"/>
        <d v="2012-08-06T00:00:00"/>
        <d v="2012-08-29T00:00:00"/>
        <d v="2012-09-26T00:00:00"/>
        <d v="2012-10-29T00:00:00"/>
        <d v="2013-09-16T00:00:00"/>
        <d v="2015-09-11T00:00:00"/>
        <d v="2017-07-15T00:00:00"/>
        <d v="2017-09-19T00:00:00"/>
        <d v="2018-07-17T00:00:00"/>
        <d v="2018-10-02T00:00:00"/>
        <d v="2019-08-09T00:00:00"/>
        <d v="2019-09-14T00:00:00"/>
        <d v="2019-10-15T00:00:00"/>
        <d v="2019-11-19T00:00:00"/>
        <d v="2020-08-27T00:00:00"/>
        <d v="2020-10-25T00:00:00"/>
        <d v="2021-08-17T00:00:00"/>
        <d v="1988-07-03T00:00:00"/>
        <d v="1988-08-20T00:00:00"/>
        <d v="1988-08-22T00:00:00"/>
        <d v="1988-10-28T00:00:00"/>
        <d v="2000-09-21T00:00:00"/>
        <d v="2001-07-22T00:00:00"/>
        <d v="2001-09-04T00:00:00"/>
      </sharedItems>
    </cacheField>
    <cacheField name="Validation" numFmtId="0">
      <sharedItems containsNumber="1" containsInteger="1" containsMixedTypes="1" count="3">
        <s v="News"/>
        <n v="0"/>
        <s v="FloodList"/>
      </sharedItems>
    </cacheField>
    <cacheField name="Dead" numFmtId="0">
      <sharedItems containsSemiMixedTypes="0" containsString="0" containsNumber="1" containsInteger="1" minValue="0" maxValue="200" count="35">
        <n v="0"/>
        <n v="7"/>
        <n v="5"/>
        <n v="100"/>
        <n v="4"/>
        <n v="9"/>
        <n v="142"/>
        <n v="30"/>
        <n v="15"/>
        <n v="85"/>
        <n v="50"/>
        <n v="2"/>
        <n v="1"/>
        <n v="16"/>
        <n v="28"/>
        <n v="65"/>
        <n v="25"/>
        <n v="3"/>
        <n v="20"/>
        <n v="6"/>
        <n v="101"/>
        <n v="40"/>
        <n v="13"/>
        <n v="10"/>
        <n v="127"/>
        <n v="148"/>
        <n v="8"/>
        <n v="48"/>
        <n v="108"/>
        <n v="57"/>
        <n v="18"/>
        <n v="155"/>
        <n v="21"/>
        <n v="53"/>
        <n v="200"/>
      </sharedItems>
    </cacheField>
    <cacheField name="Displaced" numFmtId="0">
      <sharedItems containsSemiMixedTypes="0" containsString="0" containsNumber="1" containsInteger="1" minValue="0" maxValue="396748" count="35">
        <n v="6000"/>
        <n v="136000"/>
        <n v="70000"/>
        <n v="3000"/>
        <n v="0"/>
        <n v="300000"/>
        <n v="10000"/>
        <n v="13000"/>
        <n v="180000"/>
        <n v="5000"/>
        <n v="110000"/>
        <n v="396748"/>
        <n v="2000"/>
        <n v="800"/>
        <n v="160"/>
        <n v="210000"/>
        <n v="1000"/>
        <n v="300"/>
        <n v="15000"/>
        <n v="2500"/>
        <n v="7"/>
        <n v="1500"/>
        <n v="40"/>
        <n v="140000"/>
        <n v="20000"/>
        <n v="64000"/>
        <n v="148000"/>
        <n v="50000"/>
        <n v="42000"/>
        <n v="25000"/>
        <n v="1600"/>
        <n v="500"/>
        <n v="12000"/>
        <n v="3802"/>
        <n v="80000"/>
      </sharedItems>
    </cacheField>
    <cacheField name="MainCause" numFmtId="0">
      <sharedItems count="5">
        <s v="Heavy Rain"/>
        <s v="Torrential rain"/>
        <s v="Dam/Levy, break or release"/>
        <s v="Brief torrential rain"/>
        <s v="Heavy Rain and Dam Break"/>
      </sharedItems>
    </cacheField>
    <cacheField name="Severity" numFmtId="0">
      <sharedItems containsSemiMixedTypes="0" containsString="0" containsNumber="1" minValue="0" maxValue="2" count="3">
        <n v="1"/>
        <n v="2"/>
        <n v="1.5"/>
      </sharedItems>
    </cacheField>
    <cacheField name="Flood year" numFmtId="0">
      <sharedItems containsSemiMixedTypes="0" containsString="0" containsNumber="1" containsInteger="1" minValue="0" maxValue="2021" count="29">
        <n v="1985"/>
        <n v="1988"/>
        <n v="1990"/>
        <n v="1991"/>
        <n v="1992"/>
        <n v="1994"/>
        <n v="1995"/>
        <n v="1997"/>
        <n v="1998"/>
        <n v="1999"/>
        <n v="2002"/>
        <n v="2003"/>
        <n v="2004"/>
        <n v="2005"/>
        <n v="2006"/>
        <n v="2007"/>
        <n v="2009"/>
        <n v="2010"/>
        <n v="2011"/>
        <n v="2012"/>
        <n v="2013"/>
        <n v="2015"/>
        <n v="2017"/>
        <n v="2018"/>
        <n v="2019"/>
        <n v="2020"/>
        <n v="2021"/>
        <n v="2000"/>
        <n v="2001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8">
  <r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0"/>
    <x v="1"/>
    <x v="1"/>
    <x v="1"/>
    <x v="1"/>
    <x v="1"/>
    <x v="1"/>
    <x v="0"/>
    <x v="1"/>
    <x v="1"/>
    <x v="1"/>
    <x v="0"/>
    <x v="1"/>
  </r>
  <r>
    <x v="2"/>
    <x v="0"/>
    <x v="0"/>
    <x v="0"/>
    <x v="2"/>
    <x v="2"/>
    <x v="2"/>
    <x v="2"/>
    <x v="2"/>
    <x v="0"/>
    <x v="0"/>
    <x v="2"/>
    <x v="2"/>
    <x v="0"/>
    <x v="1"/>
  </r>
  <r>
    <x v="3"/>
    <x v="0"/>
    <x v="0"/>
    <x v="0"/>
    <x v="3"/>
    <x v="3"/>
    <x v="3"/>
    <x v="3"/>
    <x v="3"/>
    <x v="0"/>
    <x v="2"/>
    <x v="3"/>
    <x v="0"/>
    <x v="0"/>
    <x v="2"/>
  </r>
  <r>
    <x v="4"/>
    <x v="0"/>
    <x v="0"/>
    <x v="0"/>
    <x v="4"/>
    <x v="4"/>
    <x v="4"/>
    <x v="4"/>
    <x v="4"/>
    <x v="0"/>
    <x v="3"/>
    <x v="4"/>
    <x v="0"/>
    <x v="0"/>
    <x v="2"/>
  </r>
  <r>
    <x v="5"/>
    <x v="0"/>
    <x v="0"/>
    <x v="0"/>
    <x v="5"/>
    <x v="5"/>
    <x v="5"/>
    <x v="5"/>
    <x v="5"/>
    <x v="0"/>
    <x v="0"/>
    <x v="5"/>
    <x v="0"/>
    <x v="0"/>
    <x v="2"/>
  </r>
  <r>
    <x v="6"/>
    <x v="0"/>
    <x v="0"/>
    <x v="0"/>
    <x v="6"/>
    <x v="6"/>
    <x v="6"/>
    <x v="6"/>
    <x v="6"/>
    <x v="0"/>
    <x v="4"/>
    <x v="6"/>
    <x v="0"/>
    <x v="0"/>
    <x v="3"/>
  </r>
  <r>
    <x v="7"/>
    <x v="0"/>
    <x v="0"/>
    <x v="0"/>
    <x v="7"/>
    <x v="7"/>
    <x v="7"/>
    <x v="7"/>
    <x v="7"/>
    <x v="0"/>
    <x v="5"/>
    <x v="7"/>
    <x v="0"/>
    <x v="0"/>
    <x v="4"/>
  </r>
  <r>
    <x v="8"/>
    <x v="0"/>
    <x v="0"/>
    <x v="2"/>
    <x v="8"/>
    <x v="8"/>
    <x v="8"/>
    <x v="8"/>
    <x v="8"/>
    <x v="0"/>
    <x v="6"/>
    <x v="8"/>
    <x v="0"/>
    <x v="0"/>
    <x v="5"/>
  </r>
  <r>
    <x v="9"/>
    <x v="0"/>
    <x v="0"/>
    <x v="0"/>
    <x v="9"/>
    <x v="9"/>
    <x v="9"/>
    <x v="9"/>
    <x v="9"/>
    <x v="0"/>
    <x v="7"/>
    <x v="4"/>
    <x v="0"/>
    <x v="0"/>
    <x v="6"/>
  </r>
  <r>
    <x v="10"/>
    <x v="0"/>
    <x v="0"/>
    <x v="0"/>
    <x v="10"/>
    <x v="10"/>
    <x v="10"/>
    <x v="10"/>
    <x v="10"/>
    <x v="0"/>
    <x v="2"/>
    <x v="4"/>
    <x v="0"/>
    <x v="0"/>
    <x v="7"/>
  </r>
  <r>
    <x v="11"/>
    <x v="0"/>
    <x v="0"/>
    <x v="0"/>
    <x v="11"/>
    <x v="11"/>
    <x v="11"/>
    <x v="11"/>
    <x v="11"/>
    <x v="0"/>
    <x v="8"/>
    <x v="9"/>
    <x v="0"/>
    <x v="0"/>
    <x v="8"/>
  </r>
  <r>
    <x v="12"/>
    <x v="0"/>
    <x v="0"/>
    <x v="0"/>
    <x v="12"/>
    <x v="12"/>
    <x v="12"/>
    <x v="12"/>
    <x v="12"/>
    <x v="0"/>
    <x v="0"/>
    <x v="10"/>
    <x v="0"/>
    <x v="0"/>
    <x v="8"/>
  </r>
  <r>
    <x v="13"/>
    <x v="0"/>
    <x v="0"/>
    <x v="3"/>
    <x v="13"/>
    <x v="13"/>
    <x v="13"/>
    <x v="13"/>
    <x v="13"/>
    <x v="0"/>
    <x v="9"/>
    <x v="11"/>
    <x v="0"/>
    <x v="1"/>
    <x v="9"/>
  </r>
  <r>
    <x v="14"/>
    <x v="0"/>
    <x v="0"/>
    <x v="0"/>
    <x v="14"/>
    <x v="14"/>
    <x v="14"/>
    <x v="14"/>
    <x v="14"/>
    <x v="0"/>
    <x v="10"/>
    <x v="4"/>
    <x v="0"/>
    <x v="1"/>
    <x v="9"/>
  </r>
  <r>
    <x v="15"/>
    <x v="0"/>
    <x v="0"/>
    <x v="0"/>
    <x v="15"/>
    <x v="15"/>
    <x v="15"/>
    <x v="15"/>
    <x v="15"/>
    <x v="0"/>
    <x v="11"/>
    <x v="4"/>
    <x v="0"/>
    <x v="0"/>
    <x v="10"/>
  </r>
  <r>
    <x v="16"/>
    <x v="0"/>
    <x v="0"/>
    <x v="0"/>
    <x v="16"/>
    <x v="16"/>
    <x v="16"/>
    <x v="16"/>
    <x v="16"/>
    <x v="0"/>
    <x v="0"/>
    <x v="12"/>
    <x v="0"/>
    <x v="0"/>
    <x v="11"/>
  </r>
  <r>
    <x v="17"/>
    <x v="0"/>
    <x v="0"/>
    <x v="0"/>
    <x v="17"/>
    <x v="17"/>
    <x v="17"/>
    <x v="17"/>
    <x v="17"/>
    <x v="0"/>
    <x v="12"/>
    <x v="13"/>
    <x v="3"/>
    <x v="0"/>
    <x v="11"/>
  </r>
  <r>
    <x v="18"/>
    <x v="0"/>
    <x v="0"/>
    <x v="0"/>
    <x v="18"/>
    <x v="18"/>
    <x v="18"/>
    <x v="18"/>
    <x v="18"/>
    <x v="0"/>
    <x v="2"/>
    <x v="4"/>
    <x v="0"/>
    <x v="0"/>
    <x v="11"/>
  </r>
  <r>
    <x v="19"/>
    <x v="0"/>
    <x v="0"/>
    <x v="0"/>
    <x v="19"/>
    <x v="19"/>
    <x v="19"/>
    <x v="19"/>
    <x v="19"/>
    <x v="0"/>
    <x v="0"/>
    <x v="14"/>
    <x v="0"/>
    <x v="0"/>
    <x v="11"/>
  </r>
  <r>
    <x v="20"/>
    <x v="0"/>
    <x v="0"/>
    <x v="0"/>
    <x v="20"/>
    <x v="20"/>
    <x v="20"/>
    <x v="20"/>
    <x v="20"/>
    <x v="0"/>
    <x v="11"/>
    <x v="3"/>
    <x v="0"/>
    <x v="0"/>
    <x v="11"/>
  </r>
  <r>
    <x v="21"/>
    <x v="0"/>
    <x v="0"/>
    <x v="0"/>
    <x v="21"/>
    <x v="21"/>
    <x v="21"/>
    <x v="21"/>
    <x v="21"/>
    <x v="0"/>
    <x v="1"/>
    <x v="6"/>
    <x v="0"/>
    <x v="0"/>
    <x v="11"/>
  </r>
  <r>
    <x v="22"/>
    <x v="0"/>
    <x v="0"/>
    <x v="0"/>
    <x v="22"/>
    <x v="22"/>
    <x v="22"/>
    <x v="21"/>
    <x v="21"/>
    <x v="0"/>
    <x v="1"/>
    <x v="6"/>
    <x v="0"/>
    <x v="0"/>
    <x v="11"/>
  </r>
  <r>
    <x v="23"/>
    <x v="0"/>
    <x v="0"/>
    <x v="0"/>
    <x v="23"/>
    <x v="23"/>
    <x v="23"/>
    <x v="22"/>
    <x v="22"/>
    <x v="0"/>
    <x v="13"/>
    <x v="15"/>
    <x v="0"/>
    <x v="0"/>
    <x v="11"/>
  </r>
  <r>
    <x v="24"/>
    <x v="0"/>
    <x v="0"/>
    <x v="0"/>
    <x v="24"/>
    <x v="24"/>
    <x v="24"/>
    <x v="23"/>
    <x v="23"/>
    <x v="0"/>
    <x v="14"/>
    <x v="16"/>
    <x v="0"/>
    <x v="0"/>
    <x v="11"/>
  </r>
  <r>
    <x v="25"/>
    <x v="0"/>
    <x v="0"/>
    <x v="0"/>
    <x v="25"/>
    <x v="25"/>
    <x v="25"/>
    <x v="24"/>
    <x v="24"/>
    <x v="0"/>
    <x v="0"/>
    <x v="4"/>
    <x v="0"/>
    <x v="0"/>
    <x v="12"/>
  </r>
  <r>
    <x v="26"/>
    <x v="0"/>
    <x v="0"/>
    <x v="0"/>
    <x v="26"/>
    <x v="26"/>
    <x v="26"/>
    <x v="25"/>
    <x v="25"/>
    <x v="0"/>
    <x v="0"/>
    <x v="17"/>
    <x v="0"/>
    <x v="0"/>
    <x v="12"/>
  </r>
  <r>
    <x v="27"/>
    <x v="0"/>
    <x v="0"/>
    <x v="0"/>
    <x v="27"/>
    <x v="27"/>
    <x v="27"/>
    <x v="26"/>
    <x v="26"/>
    <x v="0"/>
    <x v="0"/>
    <x v="18"/>
    <x v="0"/>
    <x v="0"/>
    <x v="12"/>
  </r>
  <r>
    <x v="28"/>
    <x v="0"/>
    <x v="0"/>
    <x v="0"/>
    <x v="28"/>
    <x v="28"/>
    <x v="28"/>
    <x v="26"/>
    <x v="27"/>
    <x v="0"/>
    <x v="15"/>
    <x v="19"/>
    <x v="0"/>
    <x v="0"/>
    <x v="12"/>
  </r>
  <r>
    <x v="29"/>
    <x v="0"/>
    <x v="0"/>
    <x v="0"/>
    <x v="29"/>
    <x v="29"/>
    <x v="29"/>
    <x v="27"/>
    <x v="28"/>
    <x v="0"/>
    <x v="16"/>
    <x v="3"/>
    <x v="0"/>
    <x v="0"/>
    <x v="12"/>
  </r>
  <r>
    <x v="30"/>
    <x v="0"/>
    <x v="0"/>
    <x v="0"/>
    <x v="30"/>
    <x v="30"/>
    <x v="30"/>
    <x v="28"/>
    <x v="29"/>
    <x v="0"/>
    <x v="17"/>
    <x v="20"/>
    <x v="0"/>
    <x v="0"/>
    <x v="13"/>
  </r>
  <r>
    <x v="31"/>
    <x v="0"/>
    <x v="0"/>
    <x v="0"/>
    <x v="31"/>
    <x v="31"/>
    <x v="31"/>
    <x v="29"/>
    <x v="30"/>
    <x v="0"/>
    <x v="0"/>
    <x v="21"/>
    <x v="0"/>
    <x v="0"/>
    <x v="13"/>
  </r>
  <r>
    <x v="32"/>
    <x v="0"/>
    <x v="0"/>
    <x v="0"/>
    <x v="32"/>
    <x v="32"/>
    <x v="32"/>
    <x v="30"/>
    <x v="31"/>
    <x v="0"/>
    <x v="0"/>
    <x v="12"/>
    <x v="0"/>
    <x v="0"/>
    <x v="14"/>
  </r>
  <r>
    <x v="33"/>
    <x v="0"/>
    <x v="0"/>
    <x v="0"/>
    <x v="33"/>
    <x v="33"/>
    <x v="33"/>
    <x v="31"/>
    <x v="32"/>
    <x v="0"/>
    <x v="4"/>
    <x v="22"/>
    <x v="0"/>
    <x v="0"/>
    <x v="14"/>
  </r>
  <r>
    <x v="34"/>
    <x v="0"/>
    <x v="0"/>
    <x v="0"/>
    <x v="34"/>
    <x v="34"/>
    <x v="34"/>
    <x v="32"/>
    <x v="33"/>
    <x v="0"/>
    <x v="18"/>
    <x v="4"/>
    <x v="3"/>
    <x v="0"/>
    <x v="14"/>
  </r>
  <r>
    <x v="35"/>
    <x v="1"/>
    <x v="0"/>
    <x v="0"/>
    <x v="35"/>
    <x v="35"/>
    <x v="35"/>
    <x v="33"/>
    <x v="34"/>
    <x v="0"/>
    <x v="19"/>
    <x v="9"/>
    <x v="0"/>
    <x v="0"/>
    <x v="15"/>
  </r>
  <r>
    <x v="36"/>
    <x v="1"/>
    <x v="0"/>
    <x v="0"/>
    <x v="36"/>
    <x v="36"/>
    <x v="36"/>
    <x v="34"/>
    <x v="35"/>
    <x v="0"/>
    <x v="20"/>
    <x v="23"/>
    <x v="0"/>
    <x v="0"/>
    <x v="15"/>
  </r>
  <r>
    <x v="37"/>
    <x v="0"/>
    <x v="0"/>
    <x v="0"/>
    <x v="37"/>
    <x v="37"/>
    <x v="37"/>
    <x v="35"/>
    <x v="36"/>
    <x v="1"/>
    <x v="0"/>
    <x v="3"/>
    <x v="0"/>
    <x v="1"/>
    <x v="16"/>
  </r>
  <r>
    <x v="38"/>
    <x v="0"/>
    <x v="0"/>
    <x v="0"/>
    <x v="38"/>
    <x v="38"/>
    <x v="38"/>
    <x v="36"/>
    <x v="37"/>
    <x v="1"/>
    <x v="0"/>
    <x v="9"/>
    <x v="0"/>
    <x v="0"/>
    <x v="16"/>
  </r>
  <r>
    <x v="39"/>
    <x v="0"/>
    <x v="0"/>
    <x v="0"/>
    <x v="39"/>
    <x v="39"/>
    <x v="39"/>
    <x v="37"/>
    <x v="38"/>
    <x v="0"/>
    <x v="21"/>
    <x v="6"/>
    <x v="4"/>
    <x v="2"/>
    <x v="17"/>
  </r>
  <r>
    <x v="40"/>
    <x v="2"/>
    <x v="0"/>
    <x v="1"/>
    <x v="40"/>
    <x v="40"/>
    <x v="40"/>
    <x v="38"/>
    <x v="39"/>
    <x v="0"/>
    <x v="22"/>
    <x v="16"/>
    <x v="0"/>
    <x v="2"/>
    <x v="18"/>
  </r>
  <r>
    <x v="41"/>
    <x v="2"/>
    <x v="0"/>
    <x v="1"/>
    <x v="41"/>
    <x v="41"/>
    <x v="41"/>
    <x v="39"/>
    <x v="40"/>
    <x v="0"/>
    <x v="18"/>
    <x v="3"/>
    <x v="1"/>
    <x v="2"/>
    <x v="18"/>
  </r>
  <r>
    <x v="42"/>
    <x v="2"/>
    <x v="0"/>
    <x v="4"/>
    <x v="42"/>
    <x v="42"/>
    <x v="42"/>
    <x v="40"/>
    <x v="41"/>
    <x v="0"/>
    <x v="2"/>
    <x v="17"/>
    <x v="0"/>
    <x v="0"/>
    <x v="19"/>
  </r>
  <r>
    <x v="43"/>
    <x v="2"/>
    <x v="0"/>
    <x v="1"/>
    <x v="43"/>
    <x v="43"/>
    <x v="43"/>
    <x v="41"/>
    <x v="42"/>
    <x v="0"/>
    <x v="10"/>
    <x v="12"/>
    <x v="0"/>
    <x v="2"/>
    <x v="19"/>
  </r>
  <r>
    <x v="44"/>
    <x v="2"/>
    <x v="0"/>
    <x v="1"/>
    <x v="44"/>
    <x v="44"/>
    <x v="44"/>
    <x v="42"/>
    <x v="43"/>
    <x v="0"/>
    <x v="0"/>
    <x v="3"/>
    <x v="1"/>
    <x v="2"/>
    <x v="19"/>
  </r>
  <r>
    <x v="45"/>
    <x v="2"/>
    <x v="0"/>
    <x v="1"/>
    <x v="45"/>
    <x v="45"/>
    <x v="45"/>
    <x v="43"/>
    <x v="44"/>
    <x v="0"/>
    <x v="23"/>
    <x v="24"/>
    <x v="1"/>
    <x v="2"/>
    <x v="19"/>
  </r>
  <r>
    <x v="46"/>
    <x v="2"/>
    <x v="0"/>
    <x v="4"/>
    <x v="46"/>
    <x v="46"/>
    <x v="46"/>
    <x v="44"/>
    <x v="45"/>
    <x v="0"/>
    <x v="24"/>
    <x v="24"/>
    <x v="0"/>
    <x v="2"/>
    <x v="19"/>
  </r>
  <r>
    <x v="47"/>
    <x v="2"/>
    <x v="0"/>
    <x v="1"/>
    <x v="47"/>
    <x v="47"/>
    <x v="47"/>
    <x v="45"/>
    <x v="46"/>
    <x v="0"/>
    <x v="25"/>
    <x v="25"/>
    <x v="0"/>
    <x v="1"/>
    <x v="19"/>
  </r>
  <r>
    <x v="48"/>
    <x v="2"/>
    <x v="0"/>
    <x v="1"/>
    <x v="48"/>
    <x v="48"/>
    <x v="48"/>
    <x v="46"/>
    <x v="47"/>
    <x v="0"/>
    <x v="0"/>
    <x v="17"/>
    <x v="1"/>
    <x v="2"/>
    <x v="20"/>
  </r>
  <r>
    <x v="49"/>
    <x v="2"/>
    <x v="0"/>
    <x v="1"/>
    <x v="49"/>
    <x v="49"/>
    <x v="49"/>
    <x v="47"/>
    <x v="48"/>
    <x v="0"/>
    <x v="7"/>
    <x v="12"/>
    <x v="0"/>
    <x v="2"/>
    <x v="21"/>
  </r>
  <r>
    <x v="50"/>
    <x v="2"/>
    <x v="0"/>
    <x v="1"/>
    <x v="50"/>
    <x v="50"/>
    <x v="50"/>
    <x v="48"/>
    <x v="49"/>
    <x v="0"/>
    <x v="26"/>
    <x v="4"/>
    <x v="1"/>
    <x v="2"/>
    <x v="22"/>
  </r>
  <r>
    <x v="51"/>
    <x v="3"/>
    <x v="0"/>
    <x v="1"/>
    <x v="51"/>
    <x v="51"/>
    <x v="51"/>
    <x v="49"/>
    <x v="50"/>
    <x v="0"/>
    <x v="0"/>
    <x v="6"/>
    <x v="0"/>
    <x v="0"/>
    <x v="22"/>
  </r>
  <r>
    <x v="52"/>
    <x v="2"/>
    <x v="0"/>
    <x v="1"/>
    <x v="52"/>
    <x v="52"/>
    <x v="52"/>
    <x v="50"/>
    <x v="51"/>
    <x v="2"/>
    <x v="27"/>
    <x v="4"/>
    <x v="1"/>
    <x v="1"/>
    <x v="23"/>
  </r>
  <r>
    <x v="53"/>
    <x v="2"/>
    <x v="0"/>
    <x v="1"/>
    <x v="53"/>
    <x v="53"/>
    <x v="53"/>
    <x v="51"/>
    <x v="52"/>
    <x v="2"/>
    <x v="28"/>
    <x v="26"/>
    <x v="0"/>
    <x v="1"/>
    <x v="23"/>
  </r>
  <r>
    <x v="54"/>
    <x v="2"/>
    <x v="0"/>
    <x v="1"/>
    <x v="54"/>
    <x v="54"/>
    <x v="54"/>
    <x v="52"/>
    <x v="53"/>
    <x v="2"/>
    <x v="1"/>
    <x v="0"/>
    <x v="0"/>
    <x v="2"/>
    <x v="24"/>
  </r>
  <r>
    <x v="55"/>
    <x v="2"/>
    <x v="0"/>
    <x v="2"/>
    <x v="55"/>
    <x v="55"/>
    <x v="55"/>
    <x v="53"/>
    <x v="54"/>
    <x v="2"/>
    <x v="29"/>
    <x v="27"/>
    <x v="0"/>
    <x v="2"/>
    <x v="24"/>
  </r>
  <r>
    <x v="56"/>
    <x v="2"/>
    <x v="0"/>
    <x v="1"/>
    <x v="56"/>
    <x v="56"/>
    <x v="56"/>
    <x v="54"/>
    <x v="55"/>
    <x v="2"/>
    <x v="11"/>
    <x v="24"/>
    <x v="0"/>
    <x v="2"/>
    <x v="24"/>
  </r>
  <r>
    <x v="57"/>
    <x v="2"/>
    <x v="0"/>
    <x v="1"/>
    <x v="57"/>
    <x v="57"/>
    <x v="57"/>
    <x v="55"/>
    <x v="56"/>
    <x v="2"/>
    <x v="30"/>
    <x v="28"/>
    <x v="0"/>
    <x v="1"/>
    <x v="24"/>
  </r>
  <r>
    <x v="58"/>
    <x v="2"/>
    <x v="0"/>
    <x v="1"/>
    <x v="58"/>
    <x v="58"/>
    <x v="58"/>
    <x v="56"/>
    <x v="57"/>
    <x v="2"/>
    <x v="17"/>
    <x v="18"/>
    <x v="0"/>
    <x v="2"/>
    <x v="25"/>
  </r>
  <r>
    <x v="59"/>
    <x v="2"/>
    <x v="0"/>
    <x v="1"/>
    <x v="59"/>
    <x v="59"/>
    <x v="59"/>
    <x v="57"/>
    <x v="58"/>
    <x v="2"/>
    <x v="31"/>
    <x v="29"/>
    <x v="0"/>
    <x v="2"/>
    <x v="25"/>
  </r>
  <r>
    <x v="60"/>
    <x v="2"/>
    <x v="0"/>
    <x v="1"/>
    <x v="60"/>
    <x v="60"/>
    <x v="60"/>
    <x v="58"/>
    <x v="59"/>
    <x v="2"/>
    <x v="32"/>
    <x v="30"/>
    <x v="0"/>
    <x v="0"/>
    <x v="26"/>
  </r>
  <r>
    <x v="61"/>
    <x v="0"/>
    <x v="1"/>
    <x v="0"/>
    <x v="61"/>
    <x v="61"/>
    <x v="61"/>
    <x v="59"/>
    <x v="60"/>
    <x v="0"/>
    <x v="0"/>
    <x v="31"/>
    <x v="0"/>
    <x v="0"/>
    <x v="1"/>
  </r>
  <r>
    <x v="62"/>
    <x v="0"/>
    <x v="1"/>
    <x v="0"/>
    <x v="62"/>
    <x v="62"/>
    <x v="62"/>
    <x v="60"/>
    <x v="61"/>
    <x v="0"/>
    <x v="33"/>
    <x v="4"/>
    <x v="0"/>
    <x v="1"/>
    <x v="1"/>
  </r>
  <r>
    <x v="63"/>
    <x v="0"/>
    <x v="1"/>
    <x v="0"/>
    <x v="63"/>
    <x v="63"/>
    <x v="63"/>
    <x v="61"/>
    <x v="62"/>
    <x v="0"/>
    <x v="0"/>
    <x v="6"/>
    <x v="0"/>
    <x v="0"/>
    <x v="1"/>
  </r>
  <r>
    <x v="64"/>
    <x v="0"/>
    <x v="1"/>
    <x v="0"/>
    <x v="64"/>
    <x v="64"/>
    <x v="64"/>
    <x v="62"/>
    <x v="63"/>
    <x v="0"/>
    <x v="23"/>
    <x v="32"/>
    <x v="0"/>
    <x v="0"/>
    <x v="1"/>
  </r>
  <r>
    <x v="65"/>
    <x v="0"/>
    <x v="1"/>
    <x v="5"/>
    <x v="65"/>
    <x v="65"/>
    <x v="65"/>
    <x v="63"/>
    <x v="64"/>
    <x v="0"/>
    <x v="0"/>
    <x v="4"/>
    <x v="3"/>
    <x v="0"/>
    <x v="27"/>
  </r>
  <r>
    <x v="66"/>
    <x v="0"/>
    <x v="1"/>
    <x v="0"/>
    <x v="66"/>
    <x v="66"/>
    <x v="66"/>
    <x v="64"/>
    <x v="65"/>
    <x v="0"/>
    <x v="0"/>
    <x v="33"/>
    <x v="0"/>
    <x v="0"/>
    <x v="28"/>
  </r>
  <r>
    <x v="67"/>
    <x v="0"/>
    <x v="1"/>
    <x v="0"/>
    <x v="67"/>
    <x v="67"/>
    <x v="67"/>
    <x v="65"/>
    <x v="66"/>
    <x v="0"/>
    <x v="34"/>
    <x v="34"/>
    <x v="2"/>
    <x v="1"/>
    <x v="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C33" firstHeaderRow="0" firstDataRow="1" firstDataCol="1"/>
  <pivotFields count="15">
    <pivotField dataField="1" compact="0" showAll="0">
      <items count="69">
        <item x="0"/>
        <item x="61"/>
        <item x="62"/>
        <item x="63"/>
        <item x="1"/>
        <item x="2"/>
        <item x="64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65"/>
        <item x="66"/>
        <item x="67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69">
        <item x="25"/>
        <item x="27"/>
        <item x="32"/>
        <item x="17"/>
        <item x="34"/>
        <item x="66"/>
        <item x="63"/>
        <item x="19"/>
        <item x="15"/>
        <item x="33"/>
        <item x="61"/>
        <item x="20"/>
        <item x="64"/>
        <item x="3"/>
        <item x="35"/>
        <item x="28"/>
        <item x="4"/>
        <item x="16"/>
        <item x="65"/>
        <item x="18"/>
        <item x="39"/>
        <item x="26"/>
        <item x="2"/>
        <item x="31"/>
        <item x="47"/>
        <item x="67"/>
        <item x="44"/>
        <item x="10"/>
        <item x="22"/>
        <item x="9"/>
        <item x="41"/>
        <item x="29"/>
        <item x="6"/>
        <item x="50"/>
        <item x="12"/>
        <item x="5"/>
        <item x="11"/>
        <item x="7"/>
        <item x="43"/>
        <item x="45"/>
        <item x="42"/>
        <item x="38"/>
        <item x="62"/>
        <item x="52"/>
        <item x="37"/>
        <item x="1"/>
        <item x="0"/>
        <item x="51"/>
        <item x="56"/>
        <item x="46"/>
        <item x="40"/>
        <item x="54"/>
        <item x="60"/>
        <item x="59"/>
        <item x="23"/>
        <item x="24"/>
        <item x="21"/>
        <item x="30"/>
        <item x="48"/>
        <item x="49"/>
        <item x="57"/>
        <item x="14"/>
        <item x="53"/>
        <item x="8"/>
        <item x="58"/>
        <item x="36"/>
        <item x="13"/>
        <item x="55"/>
        <item t="default"/>
      </items>
    </pivotField>
    <pivotField compact="0" numFmtId="58" showAll="0"/>
    <pivotField compact="0" numFmtId="58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</pivotFields>
  <rowFields count="1">
    <field x="14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ID" fld="0" subtotal="count" baseField="0" baseItem="0"/>
    <dataField name="Sum of Area" fld="6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N5131"/>
  <sheetViews>
    <sheetView workbookViewId="0">
      <selection activeCell="A1" sqref="A$1:N$1048576"/>
    </sheetView>
  </sheetViews>
  <sheetFormatPr defaultColWidth="9" defaultRowHeight="14.5"/>
  <cols>
    <col min="8" max="8" width="12.8181818181818" customWidth="1"/>
    <col min="9" max="9" width="13.454545454545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hidden="1" spans="1:14">
      <c r="A2">
        <v>1591</v>
      </c>
      <c r="B2">
        <v>0</v>
      </c>
      <c r="C2" t="s">
        <v>14</v>
      </c>
      <c r="D2">
        <v>0</v>
      </c>
      <c r="E2">
        <v>-64.9075</v>
      </c>
      <c r="F2">
        <v>-27.1696</v>
      </c>
      <c r="G2">
        <v>782982.74</v>
      </c>
      <c r="H2" s="1">
        <v>36594</v>
      </c>
      <c r="I2" s="1">
        <v>36602</v>
      </c>
      <c r="J2" t="s">
        <v>15</v>
      </c>
      <c r="K2">
        <v>7</v>
      </c>
      <c r="L2">
        <v>15000</v>
      </c>
      <c r="M2" t="s">
        <v>16</v>
      </c>
      <c r="N2">
        <v>1</v>
      </c>
    </row>
    <row r="3" hidden="1" spans="1:14">
      <c r="A3">
        <v>1618</v>
      </c>
      <c r="B3">
        <v>0</v>
      </c>
      <c r="C3" t="s">
        <v>17</v>
      </c>
      <c r="D3">
        <v>0</v>
      </c>
      <c r="E3">
        <v>-36.2564</v>
      </c>
      <c r="F3">
        <v>-9.17889</v>
      </c>
      <c r="G3">
        <v>47599.03</v>
      </c>
      <c r="H3" s="1">
        <v>36737</v>
      </c>
      <c r="I3" s="1">
        <v>36755</v>
      </c>
      <c r="J3" t="s">
        <v>15</v>
      </c>
      <c r="K3">
        <v>70</v>
      </c>
      <c r="L3">
        <v>120000</v>
      </c>
      <c r="M3" t="s">
        <v>18</v>
      </c>
      <c r="N3">
        <v>1</v>
      </c>
    </row>
    <row r="4" hidden="1" spans="1:14">
      <c r="A4">
        <v>1596</v>
      </c>
      <c r="B4">
        <v>0</v>
      </c>
      <c r="C4" t="s">
        <v>19</v>
      </c>
      <c r="D4">
        <v>0</v>
      </c>
      <c r="E4">
        <v>113.381</v>
      </c>
      <c r="F4">
        <v>22.5981</v>
      </c>
      <c r="G4">
        <v>21168.02</v>
      </c>
      <c r="H4" s="1">
        <v>36629</v>
      </c>
      <c r="I4" s="1">
        <v>36633</v>
      </c>
      <c r="J4" t="s">
        <v>15</v>
      </c>
      <c r="K4">
        <v>15</v>
      </c>
      <c r="L4">
        <v>0</v>
      </c>
      <c r="M4" t="s">
        <v>16</v>
      </c>
      <c r="N4">
        <v>1</v>
      </c>
    </row>
    <row r="5" hidden="1" spans="1:14">
      <c r="A5">
        <v>1624</v>
      </c>
      <c r="B5">
        <v>0</v>
      </c>
      <c r="C5" t="s">
        <v>20</v>
      </c>
      <c r="D5">
        <v>0</v>
      </c>
      <c r="E5">
        <v>40.6091</v>
      </c>
      <c r="F5">
        <v>10.5157</v>
      </c>
      <c r="G5">
        <v>57517.62</v>
      </c>
      <c r="H5" s="1">
        <v>36748</v>
      </c>
      <c r="I5" s="1">
        <v>36759</v>
      </c>
      <c r="J5" t="s">
        <v>15</v>
      </c>
      <c r="K5">
        <v>9</v>
      </c>
      <c r="L5">
        <v>30000</v>
      </c>
      <c r="M5" t="s">
        <v>16</v>
      </c>
      <c r="N5">
        <v>1</v>
      </c>
    </row>
    <row r="6" hidden="1" spans="1:14">
      <c r="A6">
        <v>1484</v>
      </c>
      <c r="B6">
        <v>0</v>
      </c>
      <c r="C6" t="s">
        <v>21</v>
      </c>
      <c r="E6">
        <v>179.037</v>
      </c>
      <c r="F6">
        <v>-18.0546</v>
      </c>
      <c r="G6">
        <v>6286.31</v>
      </c>
      <c r="H6" s="1">
        <v>36167</v>
      </c>
      <c r="I6" s="1">
        <v>36170</v>
      </c>
      <c r="J6" t="s">
        <v>15</v>
      </c>
      <c r="K6">
        <v>0</v>
      </c>
      <c r="L6">
        <v>0</v>
      </c>
      <c r="M6">
        <v>0</v>
      </c>
      <c r="N6">
        <v>1</v>
      </c>
    </row>
    <row r="7" hidden="1" spans="1:14">
      <c r="A7">
        <v>180</v>
      </c>
      <c r="B7">
        <v>0</v>
      </c>
      <c r="C7" t="s">
        <v>22</v>
      </c>
      <c r="E7">
        <v>92.0622</v>
      </c>
      <c r="F7">
        <v>26.4813</v>
      </c>
      <c r="G7">
        <v>42285.99</v>
      </c>
      <c r="H7" s="1">
        <v>32286</v>
      </c>
      <c r="I7" s="1">
        <v>32305</v>
      </c>
      <c r="J7" t="s">
        <v>15</v>
      </c>
      <c r="K7">
        <v>76</v>
      </c>
      <c r="L7">
        <v>43000</v>
      </c>
      <c r="M7" t="s">
        <v>23</v>
      </c>
      <c r="N7">
        <v>1</v>
      </c>
    </row>
    <row r="8" hidden="1" spans="1:14">
      <c r="A8">
        <v>1641</v>
      </c>
      <c r="B8">
        <v>0</v>
      </c>
      <c r="C8" t="s">
        <v>22</v>
      </c>
      <c r="D8">
        <v>0</v>
      </c>
      <c r="E8">
        <v>88.5453</v>
      </c>
      <c r="F8">
        <v>24.0841</v>
      </c>
      <c r="G8">
        <v>155000.88</v>
      </c>
      <c r="H8" s="1">
        <v>36787</v>
      </c>
      <c r="I8" s="1">
        <v>36820</v>
      </c>
      <c r="J8" t="s">
        <v>15</v>
      </c>
      <c r="K8">
        <v>1468</v>
      </c>
      <c r="L8">
        <v>24000000</v>
      </c>
      <c r="M8" t="s">
        <v>23</v>
      </c>
      <c r="N8">
        <v>2</v>
      </c>
    </row>
    <row r="9" hidden="1" spans="1:14">
      <c r="A9">
        <v>1615</v>
      </c>
      <c r="B9">
        <v>0</v>
      </c>
      <c r="C9" t="s">
        <v>22</v>
      </c>
      <c r="D9">
        <v>0</v>
      </c>
      <c r="E9">
        <v>74.5207</v>
      </c>
      <c r="F9">
        <v>15.811</v>
      </c>
      <c r="G9">
        <v>107052.9</v>
      </c>
      <c r="H9" s="1">
        <v>36724</v>
      </c>
      <c r="I9" s="1">
        <v>36737</v>
      </c>
      <c r="J9" t="s">
        <v>15</v>
      </c>
      <c r="K9">
        <v>140</v>
      </c>
      <c r="L9">
        <v>0</v>
      </c>
      <c r="M9" t="s">
        <v>23</v>
      </c>
      <c r="N9">
        <v>1</v>
      </c>
    </row>
    <row r="10" hidden="1" spans="1:14">
      <c r="A10">
        <v>2081</v>
      </c>
      <c r="B10">
        <v>0</v>
      </c>
      <c r="C10" t="s">
        <v>22</v>
      </c>
      <c r="D10">
        <v>0</v>
      </c>
      <c r="E10">
        <v>79.0643</v>
      </c>
      <c r="F10">
        <v>10.9485</v>
      </c>
      <c r="G10">
        <v>22713.01</v>
      </c>
      <c r="H10" s="1">
        <v>37560</v>
      </c>
      <c r="I10" s="1">
        <v>37564</v>
      </c>
      <c r="J10" t="s">
        <v>15</v>
      </c>
      <c r="K10">
        <v>20</v>
      </c>
      <c r="L10">
        <v>300</v>
      </c>
      <c r="M10" t="s">
        <v>16</v>
      </c>
      <c r="N10">
        <v>1</v>
      </c>
    </row>
    <row r="11" hidden="1" spans="1:14">
      <c r="A11">
        <v>1606</v>
      </c>
      <c r="B11">
        <v>0</v>
      </c>
      <c r="C11" t="s">
        <v>24</v>
      </c>
      <c r="D11">
        <v>0</v>
      </c>
      <c r="E11">
        <v>94.7981</v>
      </c>
      <c r="F11">
        <v>27.4268</v>
      </c>
      <c r="G11">
        <v>55286.73</v>
      </c>
      <c r="H11" s="1">
        <v>36687</v>
      </c>
      <c r="I11" s="1">
        <v>36693</v>
      </c>
      <c r="J11" t="s">
        <v>15</v>
      </c>
      <c r="K11">
        <v>30</v>
      </c>
      <c r="L11">
        <v>50000</v>
      </c>
      <c r="M11" t="s">
        <v>25</v>
      </c>
      <c r="N11">
        <v>2</v>
      </c>
    </row>
    <row r="12" hidden="1" spans="1:14">
      <c r="A12">
        <v>1616</v>
      </c>
      <c r="B12">
        <v>0</v>
      </c>
      <c r="C12" t="s">
        <v>24</v>
      </c>
      <c r="D12">
        <v>0</v>
      </c>
      <c r="E12">
        <v>77.6925</v>
      </c>
      <c r="F12">
        <v>31.806</v>
      </c>
      <c r="G12">
        <v>12415.81</v>
      </c>
      <c r="H12" s="1">
        <v>36738</v>
      </c>
      <c r="I12" s="1">
        <v>36742</v>
      </c>
      <c r="J12" t="s">
        <v>15</v>
      </c>
      <c r="K12">
        <v>140</v>
      </c>
      <c r="L12">
        <v>4000</v>
      </c>
      <c r="M12" t="s">
        <v>18</v>
      </c>
      <c r="N12">
        <v>1</v>
      </c>
    </row>
    <row r="13" hidden="1" spans="1:14">
      <c r="A13">
        <v>1623</v>
      </c>
      <c r="B13">
        <v>0</v>
      </c>
      <c r="C13" t="s">
        <v>24</v>
      </c>
      <c r="D13">
        <v>0</v>
      </c>
      <c r="E13">
        <v>79.2098</v>
      </c>
      <c r="F13">
        <v>17.1335</v>
      </c>
      <c r="G13">
        <v>129459.76</v>
      </c>
      <c r="H13" s="1">
        <v>36761</v>
      </c>
      <c r="I13" s="1">
        <v>36769</v>
      </c>
      <c r="J13" t="s">
        <v>15</v>
      </c>
      <c r="K13">
        <v>162</v>
      </c>
      <c r="L13">
        <v>3000000</v>
      </c>
      <c r="M13" t="s">
        <v>18</v>
      </c>
      <c r="N13">
        <v>2</v>
      </c>
    </row>
    <row r="14" hidden="1" spans="1:14">
      <c r="A14">
        <v>1626</v>
      </c>
      <c r="B14">
        <v>0</v>
      </c>
      <c r="C14" t="s">
        <v>24</v>
      </c>
      <c r="D14">
        <v>0</v>
      </c>
      <c r="E14">
        <v>80.4678</v>
      </c>
      <c r="F14">
        <v>26.9607</v>
      </c>
      <c r="G14">
        <v>223178.01</v>
      </c>
      <c r="H14" s="1">
        <v>36767</v>
      </c>
      <c r="I14" s="1">
        <v>36783</v>
      </c>
      <c r="J14" t="s">
        <v>15</v>
      </c>
      <c r="K14">
        <v>578</v>
      </c>
      <c r="L14">
        <v>0</v>
      </c>
      <c r="M14" t="s">
        <v>23</v>
      </c>
      <c r="N14">
        <v>1</v>
      </c>
    </row>
    <row r="15" hidden="1" spans="1:14">
      <c r="A15">
        <v>1737</v>
      </c>
      <c r="B15">
        <v>0</v>
      </c>
      <c r="C15" t="s">
        <v>24</v>
      </c>
      <c r="D15">
        <v>0</v>
      </c>
      <c r="E15">
        <v>71.2868</v>
      </c>
      <c r="F15">
        <v>22.8284</v>
      </c>
      <c r="G15">
        <v>38728.34</v>
      </c>
      <c r="H15" s="1">
        <v>37062</v>
      </c>
      <c r="I15" s="1">
        <v>37063</v>
      </c>
      <c r="J15" t="s">
        <v>15</v>
      </c>
      <c r="K15">
        <v>29</v>
      </c>
      <c r="L15">
        <v>0</v>
      </c>
      <c r="M15" t="s">
        <v>23</v>
      </c>
      <c r="N15">
        <v>1</v>
      </c>
    </row>
    <row r="16" hidden="1" spans="1:14">
      <c r="A16">
        <v>2002</v>
      </c>
      <c r="B16">
        <v>0</v>
      </c>
      <c r="C16" t="s">
        <v>26</v>
      </c>
      <c r="D16">
        <v>0</v>
      </c>
      <c r="E16">
        <v>48.0673</v>
      </c>
      <c r="F16">
        <v>37.6146</v>
      </c>
      <c r="G16">
        <v>993.753</v>
      </c>
      <c r="H16" s="1">
        <v>37460</v>
      </c>
      <c r="I16" s="1">
        <v>37463</v>
      </c>
      <c r="J16" t="s">
        <v>15</v>
      </c>
      <c r="K16">
        <v>6</v>
      </c>
      <c r="L16">
        <v>0</v>
      </c>
      <c r="M16" t="s">
        <v>16</v>
      </c>
      <c r="N16">
        <v>1</v>
      </c>
    </row>
    <row r="17" hidden="1" spans="1:14">
      <c r="A17">
        <v>2099</v>
      </c>
      <c r="B17">
        <v>0</v>
      </c>
      <c r="C17" t="s">
        <v>27</v>
      </c>
      <c r="D17">
        <v>0</v>
      </c>
      <c r="E17">
        <v>8.64237</v>
      </c>
      <c r="F17">
        <v>45.8293</v>
      </c>
      <c r="G17">
        <v>29901.95</v>
      </c>
      <c r="H17" s="1">
        <v>37582</v>
      </c>
      <c r="I17" s="1">
        <v>37593</v>
      </c>
      <c r="J17" t="s">
        <v>15</v>
      </c>
      <c r="K17">
        <v>0</v>
      </c>
      <c r="L17">
        <v>10000</v>
      </c>
      <c r="M17" t="s">
        <v>16</v>
      </c>
      <c r="N17">
        <v>1</v>
      </c>
    </row>
    <row r="18" hidden="1" spans="1:14">
      <c r="A18">
        <v>1640</v>
      </c>
      <c r="B18">
        <v>0</v>
      </c>
      <c r="C18" t="s">
        <v>28</v>
      </c>
      <c r="D18">
        <v>0</v>
      </c>
      <c r="E18">
        <v>-100.301</v>
      </c>
      <c r="F18">
        <v>17.2579</v>
      </c>
      <c r="G18">
        <v>12755.85</v>
      </c>
      <c r="H18" s="1">
        <v>36788</v>
      </c>
      <c r="I18" s="1">
        <v>36791</v>
      </c>
      <c r="J18" t="s">
        <v>15</v>
      </c>
      <c r="K18">
        <v>9</v>
      </c>
      <c r="L18">
        <v>0</v>
      </c>
      <c r="M18" t="s">
        <v>16</v>
      </c>
      <c r="N18">
        <v>1</v>
      </c>
    </row>
    <row r="19" hidden="1" spans="1:14">
      <c r="A19">
        <v>1739</v>
      </c>
      <c r="B19">
        <v>0</v>
      </c>
      <c r="C19" t="s">
        <v>29</v>
      </c>
      <c r="D19">
        <v>0</v>
      </c>
      <c r="E19">
        <v>84.82</v>
      </c>
      <c r="F19">
        <v>27.8773</v>
      </c>
      <c r="G19">
        <v>469.056</v>
      </c>
      <c r="H19" s="1">
        <v>37068</v>
      </c>
      <c r="I19" s="1">
        <v>37068</v>
      </c>
      <c r="J19" t="s">
        <v>15</v>
      </c>
      <c r="K19">
        <v>35</v>
      </c>
      <c r="L19">
        <v>0</v>
      </c>
      <c r="M19" t="s">
        <v>16</v>
      </c>
      <c r="N19">
        <v>1</v>
      </c>
    </row>
    <row r="20" hidden="1" spans="1:14">
      <c r="A20">
        <v>1673</v>
      </c>
      <c r="B20">
        <v>0</v>
      </c>
      <c r="C20" t="s">
        <v>30</v>
      </c>
      <c r="D20">
        <v>0</v>
      </c>
      <c r="E20">
        <v>125.231</v>
      </c>
      <c r="F20">
        <v>8.93576</v>
      </c>
      <c r="G20">
        <v>14310.98</v>
      </c>
      <c r="H20" s="1">
        <v>36860</v>
      </c>
      <c r="I20" s="1">
        <v>36863</v>
      </c>
      <c r="J20" t="s">
        <v>15</v>
      </c>
      <c r="K20">
        <v>12</v>
      </c>
      <c r="L20">
        <v>70000</v>
      </c>
      <c r="M20" t="s">
        <v>16</v>
      </c>
      <c r="N20">
        <v>1</v>
      </c>
    </row>
    <row r="21" hidden="1" spans="1:14">
      <c r="A21">
        <v>1651</v>
      </c>
      <c r="B21">
        <v>0</v>
      </c>
      <c r="C21" t="s">
        <v>31</v>
      </c>
      <c r="D21">
        <v>0</v>
      </c>
      <c r="E21">
        <v>-0.537843</v>
      </c>
      <c r="F21">
        <v>39.6859</v>
      </c>
      <c r="G21">
        <v>26693.08</v>
      </c>
      <c r="H21" s="1">
        <v>36819</v>
      </c>
      <c r="I21" s="1">
        <v>36825</v>
      </c>
      <c r="J21" t="s">
        <v>15</v>
      </c>
      <c r="K21">
        <v>8</v>
      </c>
      <c r="L21">
        <v>500</v>
      </c>
      <c r="M21" t="s">
        <v>18</v>
      </c>
      <c r="N21">
        <v>1</v>
      </c>
    </row>
    <row r="22" hidden="1" spans="1:14">
      <c r="A22">
        <v>1638</v>
      </c>
      <c r="B22">
        <v>0</v>
      </c>
      <c r="C22" t="s">
        <v>32</v>
      </c>
      <c r="D22">
        <v>0</v>
      </c>
      <c r="E22">
        <v>80.6155</v>
      </c>
      <c r="F22">
        <v>6.19576</v>
      </c>
      <c r="G22">
        <v>8043.09</v>
      </c>
      <c r="H22" s="1">
        <v>36787</v>
      </c>
      <c r="I22" s="1">
        <v>36791</v>
      </c>
      <c r="J22" t="s">
        <v>15</v>
      </c>
      <c r="K22">
        <v>2</v>
      </c>
      <c r="L22">
        <v>100000</v>
      </c>
      <c r="M22" t="s">
        <v>16</v>
      </c>
      <c r="N22">
        <v>1</v>
      </c>
    </row>
    <row r="23" hidden="1" spans="1:14">
      <c r="A23">
        <v>1720</v>
      </c>
      <c r="B23">
        <v>0</v>
      </c>
      <c r="C23" t="s">
        <v>33</v>
      </c>
      <c r="D23">
        <v>0</v>
      </c>
      <c r="E23">
        <v>99.0754</v>
      </c>
      <c r="F23">
        <v>17.965</v>
      </c>
      <c r="G23">
        <v>19752.41</v>
      </c>
      <c r="H23" s="1">
        <v>37015</v>
      </c>
      <c r="I23" s="1">
        <v>37016</v>
      </c>
      <c r="J23" t="s">
        <v>15</v>
      </c>
      <c r="K23">
        <v>30</v>
      </c>
      <c r="L23">
        <v>4000</v>
      </c>
      <c r="M23" t="s">
        <v>18</v>
      </c>
      <c r="N23">
        <v>1</v>
      </c>
    </row>
    <row r="24" hidden="1" spans="1:14">
      <c r="A24">
        <v>1722</v>
      </c>
      <c r="B24">
        <v>0</v>
      </c>
      <c r="C24" t="s">
        <v>34</v>
      </c>
      <c r="D24">
        <v>0</v>
      </c>
      <c r="E24">
        <v>36.2137</v>
      </c>
      <c r="F24">
        <v>36.1967</v>
      </c>
      <c r="G24">
        <v>1612.25</v>
      </c>
      <c r="H24" s="1">
        <v>37018</v>
      </c>
      <c r="I24" s="1">
        <v>37019</v>
      </c>
      <c r="J24" t="s">
        <v>15</v>
      </c>
      <c r="K24">
        <v>4</v>
      </c>
      <c r="L24">
        <v>0</v>
      </c>
      <c r="M24" t="s">
        <v>16</v>
      </c>
      <c r="N24">
        <v>1</v>
      </c>
    </row>
    <row r="25" hidden="1" spans="1:14">
      <c r="A25">
        <v>1494</v>
      </c>
      <c r="B25">
        <v>0</v>
      </c>
      <c r="C25" t="s">
        <v>35</v>
      </c>
      <c r="D25">
        <v>0</v>
      </c>
      <c r="E25">
        <v>-74.7936</v>
      </c>
      <c r="F25">
        <v>-5.50598</v>
      </c>
      <c r="G25">
        <v>107432.01</v>
      </c>
      <c r="H25" s="1">
        <v>36211</v>
      </c>
      <c r="I25" s="1">
        <v>36215</v>
      </c>
      <c r="J25" t="s">
        <v>15</v>
      </c>
      <c r="K25">
        <v>36</v>
      </c>
      <c r="L25">
        <v>40000</v>
      </c>
      <c r="M25" t="s">
        <v>16</v>
      </c>
      <c r="N25">
        <v>1</v>
      </c>
    </row>
    <row r="26" hidden="1" spans="1:14">
      <c r="A26">
        <v>1523</v>
      </c>
      <c r="B26">
        <v>0</v>
      </c>
      <c r="C26" t="s">
        <v>36</v>
      </c>
      <c r="D26">
        <v>0</v>
      </c>
      <c r="E26">
        <v>66.3342</v>
      </c>
      <c r="F26">
        <v>40.1935</v>
      </c>
      <c r="G26">
        <v>87355.4</v>
      </c>
      <c r="H26" s="1">
        <v>36348</v>
      </c>
      <c r="I26" s="1">
        <v>36353</v>
      </c>
      <c r="J26" t="s">
        <v>15</v>
      </c>
      <c r="K26">
        <v>25</v>
      </c>
      <c r="L26">
        <v>3003</v>
      </c>
      <c r="M26" t="s">
        <v>18</v>
      </c>
      <c r="N26">
        <v>1</v>
      </c>
    </row>
    <row r="27" hidden="1" spans="1:14">
      <c r="A27">
        <v>493</v>
      </c>
      <c r="B27">
        <v>0</v>
      </c>
      <c r="C27" t="s">
        <v>37</v>
      </c>
      <c r="D27">
        <v>0</v>
      </c>
      <c r="E27">
        <v>64.3678</v>
      </c>
      <c r="F27">
        <v>31.6519</v>
      </c>
      <c r="G27">
        <v>225169.42</v>
      </c>
      <c r="H27" s="1">
        <v>33266</v>
      </c>
      <c r="I27" s="1">
        <v>33286</v>
      </c>
      <c r="J27" t="s">
        <v>15</v>
      </c>
      <c r="K27">
        <v>380</v>
      </c>
      <c r="L27">
        <v>0</v>
      </c>
      <c r="M27" t="s">
        <v>16</v>
      </c>
      <c r="N27">
        <v>1</v>
      </c>
    </row>
    <row r="28" hidden="1" spans="1:14">
      <c r="A28">
        <v>516</v>
      </c>
      <c r="B28">
        <v>0</v>
      </c>
      <c r="C28" t="s">
        <v>37</v>
      </c>
      <c r="D28">
        <v>0</v>
      </c>
      <c r="E28">
        <v>66.1672</v>
      </c>
      <c r="F28">
        <v>36.1849</v>
      </c>
      <c r="G28">
        <v>24273.77</v>
      </c>
      <c r="H28" s="1">
        <v>33386</v>
      </c>
      <c r="I28" s="1">
        <v>33393</v>
      </c>
      <c r="J28" t="s">
        <v>15</v>
      </c>
      <c r="K28">
        <v>0</v>
      </c>
      <c r="L28">
        <v>1000</v>
      </c>
      <c r="M28" t="s">
        <v>16</v>
      </c>
      <c r="N28">
        <v>1</v>
      </c>
    </row>
    <row r="29" hidden="1" spans="1:14">
      <c r="A29">
        <v>646</v>
      </c>
      <c r="B29">
        <v>0</v>
      </c>
      <c r="C29" t="s">
        <v>37</v>
      </c>
      <c r="D29">
        <v>0</v>
      </c>
      <c r="E29">
        <v>62.1932</v>
      </c>
      <c r="F29">
        <v>30.6948</v>
      </c>
      <c r="G29">
        <v>48118.75</v>
      </c>
      <c r="H29" s="1">
        <v>33737</v>
      </c>
      <c r="I29" s="1">
        <v>33750</v>
      </c>
      <c r="J29" t="s">
        <v>15</v>
      </c>
      <c r="K29">
        <v>7</v>
      </c>
      <c r="L29">
        <v>100000</v>
      </c>
      <c r="M29" t="s">
        <v>16</v>
      </c>
      <c r="N29">
        <v>1</v>
      </c>
    </row>
    <row r="30" hidden="1" spans="1:14">
      <c r="A30">
        <v>690</v>
      </c>
      <c r="B30">
        <v>0</v>
      </c>
      <c r="C30" t="s">
        <v>37</v>
      </c>
      <c r="D30">
        <v>0</v>
      </c>
      <c r="E30">
        <v>69.8855</v>
      </c>
      <c r="F30">
        <v>35.0968</v>
      </c>
      <c r="G30">
        <v>47999</v>
      </c>
      <c r="H30" s="1">
        <v>33850</v>
      </c>
      <c r="I30" s="1">
        <v>33850</v>
      </c>
      <c r="J30" t="s">
        <v>15</v>
      </c>
      <c r="K30">
        <v>3000</v>
      </c>
      <c r="L30">
        <v>4000</v>
      </c>
      <c r="M30" t="s">
        <v>23</v>
      </c>
      <c r="N30">
        <v>1</v>
      </c>
    </row>
    <row r="31" hidden="1" spans="1:14">
      <c r="A31">
        <v>882</v>
      </c>
      <c r="B31">
        <v>0</v>
      </c>
      <c r="C31" t="s">
        <v>37</v>
      </c>
      <c r="D31">
        <v>0</v>
      </c>
      <c r="E31">
        <v>67.8618</v>
      </c>
      <c r="F31">
        <v>33.17</v>
      </c>
      <c r="G31">
        <v>19784.16</v>
      </c>
      <c r="H31" s="1">
        <v>34554</v>
      </c>
      <c r="I31" s="1">
        <v>34557</v>
      </c>
      <c r="J31" t="s">
        <v>15</v>
      </c>
      <c r="K31">
        <v>2</v>
      </c>
      <c r="L31">
        <v>0</v>
      </c>
      <c r="M31" t="s">
        <v>16</v>
      </c>
      <c r="N31">
        <v>1</v>
      </c>
    </row>
    <row r="32" hidden="1" spans="1:14">
      <c r="A32">
        <v>944</v>
      </c>
      <c r="B32">
        <v>0</v>
      </c>
      <c r="C32" t="s">
        <v>37</v>
      </c>
      <c r="D32">
        <v>0</v>
      </c>
      <c r="E32">
        <v>69.7177</v>
      </c>
      <c r="F32">
        <v>36.6338</v>
      </c>
      <c r="G32">
        <v>15369.85</v>
      </c>
      <c r="H32" s="1">
        <v>34808</v>
      </c>
      <c r="I32" s="1">
        <v>34810</v>
      </c>
      <c r="J32" t="s">
        <v>15</v>
      </c>
      <c r="K32">
        <v>10</v>
      </c>
      <c r="L32">
        <v>6000</v>
      </c>
      <c r="M32" t="s">
        <v>16</v>
      </c>
      <c r="N32">
        <v>1</v>
      </c>
    </row>
    <row r="33" hidden="1" spans="1:14">
      <c r="A33">
        <v>1065</v>
      </c>
      <c r="B33">
        <v>0</v>
      </c>
      <c r="C33" t="s">
        <v>37</v>
      </c>
      <c r="D33">
        <v>0</v>
      </c>
      <c r="E33">
        <v>63.6512</v>
      </c>
      <c r="F33">
        <v>33.5139</v>
      </c>
      <c r="G33">
        <v>226989.81</v>
      </c>
      <c r="H33" s="1">
        <v>35164</v>
      </c>
      <c r="I33" s="1">
        <v>35178</v>
      </c>
      <c r="J33" t="s">
        <v>15</v>
      </c>
      <c r="K33">
        <v>115</v>
      </c>
      <c r="L33">
        <v>120000</v>
      </c>
      <c r="M33" t="s">
        <v>16</v>
      </c>
      <c r="N33">
        <v>1</v>
      </c>
    </row>
    <row r="34" hidden="1" spans="1:14">
      <c r="A34">
        <v>1182</v>
      </c>
      <c r="B34">
        <v>0</v>
      </c>
      <c r="C34" t="s">
        <v>37</v>
      </c>
      <c r="D34">
        <v>0</v>
      </c>
      <c r="E34">
        <v>70.2244</v>
      </c>
      <c r="F34">
        <v>34.8425</v>
      </c>
      <c r="G34">
        <v>6428.1</v>
      </c>
      <c r="H34" s="1">
        <v>35680</v>
      </c>
      <c r="I34" s="1">
        <v>35681</v>
      </c>
      <c r="J34" t="s">
        <v>15</v>
      </c>
      <c r="K34">
        <v>30</v>
      </c>
      <c r="L34">
        <v>600</v>
      </c>
      <c r="M34" t="s">
        <v>16</v>
      </c>
      <c r="N34">
        <v>1</v>
      </c>
    </row>
    <row r="35" hidden="1" spans="1:14">
      <c r="A35">
        <v>1227</v>
      </c>
      <c r="B35">
        <v>0</v>
      </c>
      <c r="C35" t="s">
        <v>37</v>
      </c>
      <c r="D35">
        <v>0</v>
      </c>
      <c r="E35">
        <v>67.037</v>
      </c>
      <c r="F35">
        <v>36.2132</v>
      </c>
      <c r="G35">
        <v>121878.82</v>
      </c>
      <c r="H35" s="1">
        <v>35562</v>
      </c>
      <c r="I35" s="1">
        <v>35565</v>
      </c>
      <c r="J35" t="s">
        <v>15</v>
      </c>
      <c r="K35">
        <v>40</v>
      </c>
      <c r="L35">
        <v>0</v>
      </c>
      <c r="M35" t="s">
        <v>38</v>
      </c>
      <c r="N35">
        <v>1</v>
      </c>
    </row>
    <row r="36" hidden="1" spans="1:14">
      <c r="A36">
        <v>1307</v>
      </c>
      <c r="B36">
        <v>0</v>
      </c>
      <c r="C36" t="s">
        <v>37</v>
      </c>
      <c r="D36">
        <v>0</v>
      </c>
      <c r="E36">
        <v>61.9152</v>
      </c>
      <c r="F36">
        <v>32.1096</v>
      </c>
      <c r="G36">
        <v>75879.96</v>
      </c>
      <c r="H36" s="1">
        <v>35846</v>
      </c>
      <c r="I36" s="1">
        <v>35853</v>
      </c>
      <c r="J36" t="s">
        <v>15</v>
      </c>
      <c r="K36">
        <v>30</v>
      </c>
      <c r="L36">
        <v>3000</v>
      </c>
      <c r="M36" t="s">
        <v>16</v>
      </c>
      <c r="N36">
        <v>1</v>
      </c>
    </row>
    <row r="37" hidden="1" spans="1:14">
      <c r="A37">
        <v>1337</v>
      </c>
      <c r="B37">
        <v>0</v>
      </c>
      <c r="C37" t="s">
        <v>37</v>
      </c>
      <c r="D37">
        <v>0</v>
      </c>
      <c r="E37">
        <v>70.1197</v>
      </c>
      <c r="F37">
        <v>36.2104</v>
      </c>
      <c r="G37">
        <v>117672.86</v>
      </c>
      <c r="H37" s="1">
        <v>35891</v>
      </c>
      <c r="I37" s="1">
        <v>35895</v>
      </c>
      <c r="J37" t="s">
        <v>15</v>
      </c>
      <c r="K37">
        <v>30</v>
      </c>
      <c r="L37">
        <v>5000</v>
      </c>
      <c r="M37" t="s">
        <v>16</v>
      </c>
      <c r="N37">
        <v>1</v>
      </c>
    </row>
    <row r="38" hidden="1" spans="1:14">
      <c r="A38">
        <v>1338</v>
      </c>
      <c r="B38">
        <v>0</v>
      </c>
      <c r="C38" t="s">
        <v>37</v>
      </c>
      <c r="D38">
        <v>0</v>
      </c>
      <c r="E38">
        <v>63.8934</v>
      </c>
      <c r="F38">
        <v>30.4727</v>
      </c>
      <c r="G38">
        <v>35004.11</v>
      </c>
      <c r="H38" s="1">
        <v>35896</v>
      </c>
      <c r="I38" s="1">
        <v>35896</v>
      </c>
      <c r="J38" t="s">
        <v>15</v>
      </c>
      <c r="K38">
        <v>0</v>
      </c>
      <c r="L38">
        <v>0</v>
      </c>
      <c r="M38" t="s">
        <v>25</v>
      </c>
      <c r="N38">
        <v>1</v>
      </c>
    </row>
    <row r="39" hidden="1" spans="1:14">
      <c r="A39">
        <v>1347</v>
      </c>
      <c r="B39">
        <v>0</v>
      </c>
      <c r="C39" t="s">
        <v>37</v>
      </c>
      <c r="D39">
        <v>0</v>
      </c>
      <c r="E39">
        <v>67.6631</v>
      </c>
      <c r="F39">
        <v>34.4548</v>
      </c>
      <c r="G39">
        <v>106288.47</v>
      </c>
      <c r="H39" s="1">
        <v>35911</v>
      </c>
      <c r="I39" s="1">
        <v>35913</v>
      </c>
      <c r="J39" t="s">
        <v>15</v>
      </c>
      <c r="K39">
        <v>35</v>
      </c>
      <c r="L39">
        <v>0</v>
      </c>
      <c r="M39" t="s">
        <v>38</v>
      </c>
      <c r="N39">
        <v>1</v>
      </c>
    </row>
    <row r="40" hidden="1" spans="1:14">
      <c r="A40">
        <v>1376</v>
      </c>
      <c r="B40">
        <v>0</v>
      </c>
      <c r="C40" t="s">
        <v>37</v>
      </c>
      <c r="D40">
        <v>0</v>
      </c>
      <c r="E40">
        <v>66.0345</v>
      </c>
      <c r="F40">
        <v>36.8574</v>
      </c>
      <c r="G40">
        <v>48940.51</v>
      </c>
      <c r="H40" s="1">
        <v>35944</v>
      </c>
      <c r="I40" s="1">
        <v>35947</v>
      </c>
      <c r="J40" t="s">
        <v>15</v>
      </c>
      <c r="K40">
        <v>30</v>
      </c>
      <c r="L40">
        <v>100</v>
      </c>
      <c r="M40" t="s">
        <v>16</v>
      </c>
      <c r="N40">
        <v>1</v>
      </c>
    </row>
    <row r="41" hidden="1" spans="1:14">
      <c r="A41">
        <v>1387</v>
      </c>
      <c r="B41">
        <v>0</v>
      </c>
      <c r="C41" t="s">
        <v>37</v>
      </c>
      <c r="D41">
        <v>0</v>
      </c>
      <c r="E41">
        <v>70.1175</v>
      </c>
      <c r="F41">
        <v>34.4397</v>
      </c>
      <c r="G41">
        <v>11603.78</v>
      </c>
      <c r="H41" s="1">
        <v>35958</v>
      </c>
      <c r="I41" s="1">
        <v>35961</v>
      </c>
      <c r="J41" t="s">
        <v>15</v>
      </c>
      <c r="K41">
        <v>30</v>
      </c>
      <c r="L41">
        <v>100</v>
      </c>
      <c r="M41" t="s">
        <v>16</v>
      </c>
      <c r="N41">
        <v>1</v>
      </c>
    </row>
    <row r="42" hidden="1" spans="1:14">
      <c r="A42">
        <v>1889</v>
      </c>
      <c r="B42">
        <v>0</v>
      </c>
      <c r="C42" t="s">
        <v>37</v>
      </c>
      <c r="D42">
        <v>0</v>
      </c>
      <c r="E42">
        <v>67.8694</v>
      </c>
      <c r="F42">
        <v>36.0858</v>
      </c>
      <c r="G42">
        <v>1026.82</v>
      </c>
      <c r="H42" s="1">
        <v>37319</v>
      </c>
      <c r="I42" s="1">
        <v>37323</v>
      </c>
      <c r="J42" t="s">
        <v>15</v>
      </c>
      <c r="K42">
        <v>0</v>
      </c>
      <c r="L42">
        <v>0</v>
      </c>
      <c r="M42" t="s">
        <v>25</v>
      </c>
      <c r="N42">
        <v>1</v>
      </c>
    </row>
    <row r="43" hidden="1" spans="1:14">
      <c r="A43">
        <v>1901</v>
      </c>
      <c r="B43">
        <v>0</v>
      </c>
      <c r="C43" t="s">
        <v>37</v>
      </c>
      <c r="D43">
        <v>0</v>
      </c>
      <c r="E43">
        <v>64.8164</v>
      </c>
      <c r="F43">
        <v>35.8345</v>
      </c>
      <c r="G43">
        <v>1171.11</v>
      </c>
      <c r="H43" s="1">
        <v>37350</v>
      </c>
      <c r="I43" s="1">
        <v>37353</v>
      </c>
      <c r="J43" t="s">
        <v>15</v>
      </c>
      <c r="K43">
        <v>39</v>
      </c>
      <c r="L43">
        <v>2500</v>
      </c>
      <c r="M43" t="s">
        <v>16</v>
      </c>
      <c r="N43">
        <v>1</v>
      </c>
    </row>
    <row r="44" hidden="1" spans="1:14">
      <c r="A44">
        <v>1909</v>
      </c>
      <c r="B44">
        <v>0</v>
      </c>
      <c r="C44" t="s">
        <v>37</v>
      </c>
      <c r="D44">
        <v>0</v>
      </c>
      <c r="E44">
        <v>62.9712</v>
      </c>
      <c r="F44">
        <v>34.6133</v>
      </c>
      <c r="G44">
        <v>3655.95</v>
      </c>
      <c r="H44" s="1">
        <v>37369</v>
      </c>
      <c r="I44" s="1">
        <v>37372</v>
      </c>
      <c r="J44" t="s">
        <v>15</v>
      </c>
      <c r="K44">
        <v>2</v>
      </c>
      <c r="L44">
        <v>2000</v>
      </c>
      <c r="M44" t="s">
        <v>16</v>
      </c>
      <c r="N44">
        <v>1</v>
      </c>
    </row>
    <row r="45" hidden="1" spans="1:14">
      <c r="A45">
        <v>1926</v>
      </c>
      <c r="B45">
        <v>0</v>
      </c>
      <c r="C45" t="s">
        <v>37</v>
      </c>
      <c r="D45">
        <v>0</v>
      </c>
      <c r="E45">
        <v>67.0593</v>
      </c>
      <c r="F45">
        <v>34.2866</v>
      </c>
      <c r="G45">
        <v>5753.91</v>
      </c>
      <c r="H45" s="1">
        <v>37392</v>
      </c>
      <c r="I45" s="1">
        <v>37396</v>
      </c>
      <c r="J45" t="s">
        <v>15</v>
      </c>
      <c r="K45">
        <v>1</v>
      </c>
      <c r="L45">
        <v>0</v>
      </c>
      <c r="M45" t="s">
        <v>16</v>
      </c>
      <c r="N45">
        <v>1</v>
      </c>
    </row>
    <row r="46" hidden="1" spans="1:14">
      <c r="A46">
        <v>2008</v>
      </c>
      <c r="B46">
        <v>0</v>
      </c>
      <c r="C46" t="s">
        <v>37</v>
      </c>
      <c r="D46">
        <v>0</v>
      </c>
      <c r="E46">
        <v>65.9365</v>
      </c>
      <c r="F46">
        <v>36.3468</v>
      </c>
      <c r="G46">
        <v>3345.25</v>
      </c>
      <c r="H46" s="1">
        <v>37465</v>
      </c>
      <c r="I46" s="1">
        <v>37467</v>
      </c>
      <c r="J46" t="s">
        <v>15</v>
      </c>
      <c r="K46">
        <v>0</v>
      </c>
      <c r="L46">
        <v>0</v>
      </c>
      <c r="M46" t="s">
        <v>16</v>
      </c>
      <c r="N46">
        <v>2</v>
      </c>
    </row>
    <row r="47" hidden="1" spans="1:14">
      <c r="A47">
        <v>2128</v>
      </c>
      <c r="B47">
        <v>0</v>
      </c>
      <c r="C47" t="s">
        <v>37</v>
      </c>
      <c r="D47">
        <v>0</v>
      </c>
      <c r="E47">
        <v>67.1814</v>
      </c>
      <c r="F47">
        <v>37.282</v>
      </c>
      <c r="G47">
        <v>1672.7</v>
      </c>
      <c r="H47" s="1">
        <v>37635</v>
      </c>
      <c r="I47" s="1">
        <v>37641</v>
      </c>
      <c r="J47" t="s">
        <v>15</v>
      </c>
      <c r="K47">
        <v>0</v>
      </c>
      <c r="L47">
        <v>300</v>
      </c>
      <c r="M47" t="s">
        <v>16</v>
      </c>
      <c r="N47">
        <v>1</v>
      </c>
    </row>
    <row r="48" hidden="1" spans="1:14">
      <c r="A48">
        <v>2184</v>
      </c>
      <c r="B48">
        <v>0</v>
      </c>
      <c r="C48" t="s">
        <v>37</v>
      </c>
      <c r="D48">
        <v>0</v>
      </c>
      <c r="E48">
        <v>67.3621</v>
      </c>
      <c r="F48">
        <v>36.7476</v>
      </c>
      <c r="G48">
        <v>12949.64</v>
      </c>
      <c r="H48" s="1">
        <v>37697</v>
      </c>
      <c r="I48" s="1">
        <v>37708</v>
      </c>
      <c r="J48" t="s">
        <v>15</v>
      </c>
      <c r="K48">
        <v>14</v>
      </c>
      <c r="L48">
        <v>2000</v>
      </c>
      <c r="M48" t="s">
        <v>16</v>
      </c>
      <c r="N48">
        <v>1</v>
      </c>
    </row>
    <row r="49" hidden="1" spans="1:14">
      <c r="A49">
        <v>2201</v>
      </c>
      <c r="B49">
        <v>0</v>
      </c>
      <c r="C49" t="s">
        <v>37</v>
      </c>
      <c r="D49">
        <v>0</v>
      </c>
      <c r="E49">
        <v>61.7439</v>
      </c>
      <c r="F49">
        <v>35.1172</v>
      </c>
      <c r="G49">
        <v>2791.37</v>
      </c>
      <c r="H49" s="1">
        <v>37718</v>
      </c>
      <c r="I49" s="1">
        <v>37719</v>
      </c>
      <c r="J49" t="s">
        <v>15</v>
      </c>
      <c r="K49">
        <v>4</v>
      </c>
      <c r="L49">
        <v>400</v>
      </c>
      <c r="M49" t="s">
        <v>16</v>
      </c>
      <c r="N49">
        <v>1</v>
      </c>
    </row>
    <row r="50" hidden="1" spans="1:14">
      <c r="A50">
        <v>2210</v>
      </c>
      <c r="B50">
        <v>0</v>
      </c>
      <c r="C50" t="s">
        <v>37</v>
      </c>
      <c r="D50">
        <v>0</v>
      </c>
      <c r="E50">
        <v>65.0691</v>
      </c>
      <c r="F50">
        <v>33.069</v>
      </c>
      <c r="G50">
        <v>14987.88</v>
      </c>
      <c r="H50" s="1">
        <v>37729</v>
      </c>
      <c r="I50" s="1">
        <v>37732</v>
      </c>
      <c r="J50" t="s">
        <v>15</v>
      </c>
      <c r="K50">
        <v>5</v>
      </c>
      <c r="L50">
        <v>0</v>
      </c>
      <c r="M50" t="s">
        <v>16</v>
      </c>
      <c r="N50">
        <v>2</v>
      </c>
    </row>
    <row r="51" hidden="1" spans="1:14">
      <c r="A51">
        <v>2211</v>
      </c>
      <c r="B51">
        <v>0</v>
      </c>
      <c r="C51" t="s">
        <v>37</v>
      </c>
      <c r="D51">
        <v>0</v>
      </c>
      <c r="E51">
        <v>69.2724</v>
      </c>
      <c r="F51">
        <v>34.958</v>
      </c>
      <c r="G51">
        <v>1769.35</v>
      </c>
      <c r="H51" s="1">
        <v>37729</v>
      </c>
      <c r="I51" s="1">
        <v>37731</v>
      </c>
      <c r="J51" t="s">
        <v>15</v>
      </c>
      <c r="K51">
        <v>2</v>
      </c>
      <c r="L51">
        <v>800</v>
      </c>
      <c r="M51" t="s">
        <v>16</v>
      </c>
      <c r="N51">
        <v>1</v>
      </c>
    </row>
    <row r="52" hidden="1" spans="1:14">
      <c r="A52">
        <v>2212</v>
      </c>
      <c r="B52">
        <v>0</v>
      </c>
      <c r="C52" t="s">
        <v>37</v>
      </c>
      <c r="D52">
        <v>0</v>
      </c>
      <c r="E52">
        <v>69.2155</v>
      </c>
      <c r="F52">
        <v>36.7242</v>
      </c>
      <c r="G52">
        <v>1500.93</v>
      </c>
      <c r="H52" s="1">
        <v>37732</v>
      </c>
      <c r="I52" s="1">
        <v>37733</v>
      </c>
      <c r="J52" t="s">
        <v>15</v>
      </c>
      <c r="K52">
        <v>0</v>
      </c>
      <c r="L52">
        <v>0</v>
      </c>
      <c r="M52" t="s">
        <v>16</v>
      </c>
      <c r="N52">
        <v>1</v>
      </c>
    </row>
    <row r="53" hidden="1" spans="1:14">
      <c r="A53">
        <v>2215</v>
      </c>
      <c r="B53">
        <v>0</v>
      </c>
      <c r="C53" t="s">
        <v>37</v>
      </c>
      <c r="D53">
        <v>0</v>
      </c>
      <c r="E53">
        <v>68.8736</v>
      </c>
      <c r="F53">
        <v>33.9512</v>
      </c>
      <c r="G53">
        <v>1449.13</v>
      </c>
      <c r="H53" s="1">
        <v>37734</v>
      </c>
      <c r="I53" s="1">
        <v>37735</v>
      </c>
      <c r="J53" t="s">
        <v>15</v>
      </c>
      <c r="K53">
        <v>0</v>
      </c>
      <c r="L53">
        <v>2000</v>
      </c>
      <c r="M53" t="s">
        <v>16</v>
      </c>
      <c r="N53">
        <v>1</v>
      </c>
    </row>
    <row r="54" hidden="1" spans="1:14">
      <c r="A54">
        <v>2236</v>
      </c>
      <c r="B54">
        <v>0</v>
      </c>
      <c r="C54" t="s">
        <v>37</v>
      </c>
      <c r="D54">
        <v>0</v>
      </c>
      <c r="E54">
        <v>68.9147</v>
      </c>
      <c r="F54">
        <v>36.4378</v>
      </c>
      <c r="G54">
        <v>10284.86</v>
      </c>
      <c r="H54" s="1">
        <v>37767</v>
      </c>
      <c r="I54" s="1">
        <v>37778</v>
      </c>
      <c r="J54" t="s">
        <v>15</v>
      </c>
      <c r="K54">
        <v>0</v>
      </c>
      <c r="L54">
        <v>400</v>
      </c>
      <c r="M54" t="s">
        <v>16</v>
      </c>
      <c r="N54">
        <v>1</v>
      </c>
    </row>
    <row r="55" hidden="1" spans="1:14">
      <c r="A55">
        <v>2256</v>
      </c>
      <c r="B55">
        <v>0</v>
      </c>
      <c r="C55" t="s">
        <v>37</v>
      </c>
      <c r="D55">
        <v>0</v>
      </c>
      <c r="E55">
        <v>70.6147</v>
      </c>
      <c r="F55">
        <v>37.8703</v>
      </c>
      <c r="G55">
        <v>2647.5</v>
      </c>
      <c r="H55" s="1">
        <v>37788</v>
      </c>
      <c r="I55" s="1">
        <v>37793</v>
      </c>
      <c r="J55" t="s">
        <v>15</v>
      </c>
      <c r="K55">
        <v>13</v>
      </c>
      <c r="L55">
        <v>100</v>
      </c>
      <c r="M55" t="s">
        <v>16</v>
      </c>
      <c r="N55">
        <v>1</v>
      </c>
    </row>
    <row r="56" hidden="1" spans="1:14">
      <c r="A56">
        <v>2265</v>
      </c>
      <c r="B56">
        <v>0</v>
      </c>
      <c r="C56" t="s">
        <v>37</v>
      </c>
      <c r="D56">
        <v>0</v>
      </c>
      <c r="E56">
        <v>70.9404</v>
      </c>
      <c r="F56">
        <v>38.1986</v>
      </c>
      <c r="G56">
        <v>2785.01</v>
      </c>
      <c r="H56" s="1">
        <v>37797</v>
      </c>
      <c r="I56" s="1">
        <v>37798</v>
      </c>
      <c r="J56" t="s">
        <v>15</v>
      </c>
      <c r="K56">
        <v>0</v>
      </c>
      <c r="L56">
        <v>0</v>
      </c>
      <c r="M56" t="s">
        <v>16</v>
      </c>
      <c r="N56">
        <v>1</v>
      </c>
    </row>
    <row r="57" hidden="1" spans="1:14">
      <c r="A57">
        <v>2272</v>
      </c>
      <c r="B57">
        <v>0</v>
      </c>
      <c r="C57" t="s">
        <v>37</v>
      </c>
      <c r="D57">
        <v>0</v>
      </c>
      <c r="E57">
        <v>69.1603</v>
      </c>
      <c r="F57">
        <v>34.2175</v>
      </c>
      <c r="G57">
        <v>1496.24</v>
      </c>
      <c r="H57" s="1">
        <v>37807</v>
      </c>
      <c r="I57" s="1">
        <v>37808</v>
      </c>
      <c r="J57" t="s">
        <v>15</v>
      </c>
      <c r="K57">
        <v>2</v>
      </c>
      <c r="L57">
        <v>280</v>
      </c>
      <c r="M57" t="s">
        <v>18</v>
      </c>
      <c r="N57">
        <v>1</v>
      </c>
    </row>
    <row r="58" hidden="1" spans="1:14">
      <c r="A58">
        <v>2271</v>
      </c>
      <c r="B58">
        <v>0</v>
      </c>
      <c r="C58" t="s">
        <v>37</v>
      </c>
      <c r="D58">
        <v>0</v>
      </c>
      <c r="E58">
        <v>69.4291</v>
      </c>
      <c r="F58">
        <v>36.9277</v>
      </c>
      <c r="G58">
        <v>4099.76</v>
      </c>
      <c r="H58" s="1">
        <v>37804</v>
      </c>
      <c r="I58" s="1">
        <v>37807</v>
      </c>
      <c r="J58" t="s">
        <v>15</v>
      </c>
      <c r="K58">
        <v>0</v>
      </c>
      <c r="L58">
        <v>0</v>
      </c>
      <c r="M58" t="s">
        <v>16</v>
      </c>
      <c r="N58">
        <v>1</v>
      </c>
    </row>
    <row r="59" hidden="1" spans="1:14">
      <c r="A59">
        <v>2277</v>
      </c>
      <c r="B59">
        <v>0</v>
      </c>
      <c r="C59" t="s">
        <v>37</v>
      </c>
      <c r="D59">
        <v>0</v>
      </c>
      <c r="E59">
        <v>68.1237</v>
      </c>
      <c r="F59">
        <v>34.9054</v>
      </c>
      <c r="G59">
        <v>1443.81</v>
      </c>
      <c r="H59" s="1">
        <v>37811</v>
      </c>
      <c r="I59" s="1">
        <v>37813</v>
      </c>
      <c r="J59" t="s">
        <v>15</v>
      </c>
      <c r="K59">
        <v>9</v>
      </c>
      <c r="L59">
        <v>0</v>
      </c>
      <c r="M59" t="s">
        <v>18</v>
      </c>
      <c r="N59">
        <v>1</v>
      </c>
    </row>
    <row r="60" hidden="1" spans="1:14">
      <c r="A60">
        <v>2280</v>
      </c>
      <c r="B60">
        <v>0</v>
      </c>
      <c r="C60" t="s">
        <v>37</v>
      </c>
      <c r="D60">
        <v>0</v>
      </c>
      <c r="E60">
        <v>69.5093</v>
      </c>
      <c r="F60">
        <v>33.492</v>
      </c>
      <c r="G60">
        <v>33247.73</v>
      </c>
      <c r="H60" s="1">
        <v>37817</v>
      </c>
      <c r="I60" s="1">
        <v>37820</v>
      </c>
      <c r="J60" t="s">
        <v>15</v>
      </c>
      <c r="K60">
        <v>9</v>
      </c>
      <c r="L60">
        <v>0</v>
      </c>
      <c r="M60" t="s">
        <v>16</v>
      </c>
      <c r="N60">
        <v>1</v>
      </c>
    </row>
    <row r="61" hidden="1" spans="1:14">
      <c r="A61">
        <v>2300</v>
      </c>
      <c r="B61">
        <v>0</v>
      </c>
      <c r="C61" t="s">
        <v>37</v>
      </c>
      <c r="D61">
        <v>0</v>
      </c>
      <c r="E61">
        <v>70.588</v>
      </c>
      <c r="F61">
        <v>35.8421</v>
      </c>
      <c r="G61">
        <v>2576.57</v>
      </c>
      <c r="H61" s="1">
        <v>37831</v>
      </c>
      <c r="I61" s="1">
        <v>37832</v>
      </c>
      <c r="J61" t="s">
        <v>15</v>
      </c>
      <c r="K61">
        <v>30</v>
      </c>
      <c r="L61">
        <v>0</v>
      </c>
      <c r="M61" t="s">
        <v>16</v>
      </c>
      <c r="N61">
        <v>2</v>
      </c>
    </row>
    <row r="62" hidden="1" spans="1:14">
      <c r="A62">
        <v>2357</v>
      </c>
      <c r="B62">
        <v>0</v>
      </c>
      <c r="C62" t="s">
        <v>37</v>
      </c>
      <c r="D62">
        <v>0</v>
      </c>
      <c r="E62">
        <v>71.0404</v>
      </c>
      <c r="F62">
        <v>34.9865</v>
      </c>
      <c r="G62">
        <v>1785.32</v>
      </c>
      <c r="H62" s="1">
        <v>37883</v>
      </c>
      <c r="I62" s="1">
        <v>37886</v>
      </c>
      <c r="J62" t="s">
        <v>15</v>
      </c>
      <c r="K62">
        <v>3</v>
      </c>
      <c r="L62">
        <v>0</v>
      </c>
      <c r="M62" t="s">
        <v>16</v>
      </c>
      <c r="N62">
        <v>1</v>
      </c>
    </row>
    <row r="63" hidden="1" spans="1:14">
      <c r="A63">
        <v>2419</v>
      </c>
      <c r="B63">
        <v>0</v>
      </c>
      <c r="C63" t="s">
        <v>37</v>
      </c>
      <c r="D63">
        <v>0</v>
      </c>
      <c r="E63">
        <v>62.1535</v>
      </c>
      <c r="F63">
        <v>34.3173</v>
      </c>
      <c r="G63">
        <v>1927.13</v>
      </c>
      <c r="H63" s="1">
        <v>38001</v>
      </c>
      <c r="I63" s="1">
        <v>38003</v>
      </c>
      <c r="J63" t="s">
        <v>15</v>
      </c>
      <c r="K63">
        <v>0</v>
      </c>
      <c r="L63">
        <v>4000</v>
      </c>
      <c r="M63" t="s">
        <v>16</v>
      </c>
      <c r="N63">
        <v>1</v>
      </c>
    </row>
    <row r="64" hidden="1" spans="1:14">
      <c r="A64">
        <v>2526</v>
      </c>
      <c r="B64">
        <v>0</v>
      </c>
      <c r="C64" t="s">
        <v>37</v>
      </c>
      <c r="D64">
        <v>0</v>
      </c>
      <c r="E64">
        <v>69.2846</v>
      </c>
      <c r="F64">
        <v>36.4862</v>
      </c>
      <c r="G64">
        <v>78938.76</v>
      </c>
      <c r="H64" s="1">
        <v>38184</v>
      </c>
      <c r="I64" s="1">
        <v>38187</v>
      </c>
      <c r="J64" t="s">
        <v>15</v>
      </c>
      <c r="K64">
        <v>16</v>
      </c>
      <c r="L64">
        <v>300</v>
      </c>
      <c r="M64" t="s">
        <v>23</v>
      </c>
      <c r="N64">
        <v>1</v>
      </c>
    </row>
    <row r="65" hidden="1" spans="1:14">
      <c r="A65">
        <v>2632</v>
      </c>
      <c r="B65">
        <v>0</v>
      </c>
      <c r="C65" t="s">
        <v>37</v>
      </c>
      <c r="D65">
        <v>0</v>
      </c>
      <c r="E65">
        <v>61.8546</v>
      </c>
      <c r="F65">
        <v>30.7384</v>
      </c>
      <c r="G65">
        <v>275339.78</v>
      </c>
      <c r="H65" s="1">
        <v>38416</v>
      </c>
      <c r="I65" s="1">
        <v>38447</v>
      </c>
      <c r="J65" t="s">
        <v>15</v>
      </c>
      <c r="K65">
        <v>26</v>
      </c>
      <c r="L65">
        <v>5000</v>
      </c>
      <c r="M65" t="s">
        <v>16</v>
      </c>
      <c r="N65">
        <v>1</v>
      </c>
    </row>
    <row r="66" hidden="1" spans="1:14">
      <c r="A66">
        <v>2639</v>
      </c>
      <c r="B66">
        <v>0</v>
      </c>
      <c r="C66" t="s">
        <v>37</v>
      </c>
      <c r="D66">
        <v>0</v>
      </c>
      <c r="E66">
        <v>66.1149</v>
      </c>
      <c r="F66">
        <v>36.4835</v>
      </c>
      <c r="G66">
        <v>89539.22</v>
      </c>
      <c r="H66" s="1">
        <v>38426</v>
      </c>
      <c r="I66" s="1">
        <v>38429</v>
      </c>
      <c r="J66" t="s">
        <v>15</v>
      </c>
      <c r="K66">
        <v>2</v>
      </c>
      <c r="L66">
        <v>0</v>
      </c>
      <c r="M66" t="s">
        <v>16</v>
      </c>
      <c r="N66">
        <v>1</v>
      </c>
    </row>
    <row r="67" hidden="1" spans="1:14">
      <c r="A67">
        <v>2644</v>
      </c>
      <c r="B67">
        <v>0</v>
      </c>
      <c r="C67" t="s">
        <v>37</v>
      </c>
      <c r="D67">
        <v>0</v>
      </c>
      <c r="E67">
        <v>68.4509</v>
      </c>
      <c r="F67">
        <v>33.5306</v>
      </c>
      <c r="G67">
        <v>1437.55</v>
      </c>
      <c r="H67" s="1">
        <v>38440</v>
      </c>
      <c r="I67" s="1">
        <v>38441</v>
      </c>
      <c r="J67" t="s">
        <v>15</v>
      </c>
      <c r="K67">
        <v>6</v>
      </c>
      <c r="L67">
        <v>0</v>
      </c>
      <c r="M67" t="s">
        <v>16</v>
      </c>
      <c r="N67">
        <v>1</v>
      </c>
    </row>
    <row r="68" hidden="1" spans="1:14">
      <c r="A68">
        <v>2653</v>
      </c>
      <c r="B68">
        <v>0</v>
      </c>
      <c r="C68" t="s">
        <v>37</v>
      </c>
      <c r="D68">
        <v>0</v>
      </c>
      <c r="E68">
        <v>64.7671</v>
      </c>
      <c r="F68">
        <v>33.7082</v>
      </c>
      <c r="G68">
        <v>82363.91</v>
      </c>
      <c r="H68" s="1">
        <v>38476</v>
      </c>
      <c r="I68" s="1">
        <v>38480</v>
      </c>
      <c r="J68" t="s">
        <v>15</v>
      </c>
      <c r="K68">
        <v>14</v>
      </c>
      <c r="L68">
        <v>0</v>
      </c>
      <c r="M68" t="s">
        <v>39</v>
      </c>
      <c r="N68">
        <v>1</v>
      </c>
    </row>
    <row r="69" hidden="1" spans="1:14">
      <c r="A69">
        <v>2727</v>
      </c>
      <c r="B69">
        <v>0</v>
      </c>
      <c r="C69" t="s">
        <v>37</v>
      </c>
      <c r="D69">
        <v>0</v>
      </c>
      <c r="E69">
        <v>71.0849</v>
      </c>
      <c r="F69">
        <v>34.9305</v>
      </c>
      <c r="G69">
        <v>3208.66</v>
      </c>
      <c r="H69" s="1">
        <v>38606</v>
      </c>
      <c r="I69" s="1">
        <v>38607</v>
      </c>
      <c r="J69" t="s">
        <v>15</v>
      </c>
      <c r="K69">
        <v>12</v>
      </c>
      <c r="L69">
        <v>0</v>
      </c>
      <c r="M69" t="s">
        <v>16</v>
      </c>
      <c r="N69">
        <v>1</v>
      </c>
    </row>
    <row r="70" hidden="1" spans="1:14">
      <c r="A70">
        <v>2855</v>
      </c>
      <c r="B70" t="s">
        <v>40</v>
      </c>
      <c r="C70" t="s">
        <v>37</v>
      </c>
      <c r="D70">
        <v>0</v>
      </c>
      <c r="E70">
        <v>66.833</v>
      </c>
      <c r="F70">
        <v>35.6716</v>
      </c>
      <c r="G70">
        <v>58309.39</v>
      </c>
      <c r="H70" s="1">
        <v>38836</v>
      </c>
      <c r="I70" s="1">
        <v>38838</v>
      </c>
      <c r="J70" t="s">
        <v>15</v>
      </c>
      <c r="K70">
        <v>9</v>
      </c>
      <c r="L70">
        <v>400</v>
      </c>
      <c r="M70" t="s">
        <v>18</v>
      </c>
      <c r="N70">
        <v>1</v>
      </c>
    </row>
    <row r="71" hidden="1" spans="1:14">
      <c r="A71">
        <v>2866</v>
      </c>
      <c r="B71">
        <v>0</v>
      </c>
      <c r="C71" t="s">
        <v>37</v>
      </c>
      <c r="D71">
        <v>0</v>
      </c>
      <c r="E71">
        <v>65.5588</v>
      </c>
      <c r="F71">
        <v>34.5163</v>
      </c>
      <c r="G71">
        <v>21480.76</v>
      </c>
      <c r="H71" s="1">
        <v>38856</v>
      </c>
      <c r="I71" s="1">
        <v>38860</v>
      </c>
      <c r="J71" t="s">
        <v>15</v>
      </c>
      <c r="K71">
        <v>9</v>
      </c>
      <c r="L71">
        <v>800</v>
      </c>
      <c r="M71" t="s">
        <v>16</v>
      </c>
      <c r="N71">
        <v>1</v>
      </c>
    </row>
    <row r="72" hidden="1" spans="1:14">
      <c r="A72">
        <v>2907</v>
      </c>
      <c r="B72">
        <v>0</v>
      </c>
      <c r="C72" t="s">
        <v>37</v>
      </c>
      <c r="D72">
        <v>0</v>
      </c>
      <c r="E72">
        <v>69.1265</v>
      </c>
      <c r="F72">
        <v>35.9525</v>
      </c>
      <c r="G72">
        <v>1570.85</v>
      </c>
      <c r="H72" s="1">
        <v>38901</v>
      </c>
      <c r="I72" s="1">
        <v>38902</v>
      </c>
      <c r="J72" t="s">
        <v>15</v>
      </c>
      <c r="K72">
        <v>7</v>
      </c>
      <c r="L72">
        <v>0</v>
      </c>
      <c r="M72" t="s">
        <v>16</v>
      </c>
      <c r="N72">
        <v>1</v>
      </c>
    </row>
    <row r="73" hidden="1" spans="1:14">
      <c r="A73">
        <v>2936</v>
      </c>
      <c r="B73" t="s">
        <v>41</v>
      </c>
      <c r="C73" t="s">
        <v>37</v>
      </c>
      <c r="D73">
        <v>0</v>
      </c>
      <c r="E73">
        <v>69.7467</v>
      </c>
      <c r="F73">
        <v>34.0789</v>
      </c>
      <c r="G73">
        <v>63167.25</v>
      </c>
      <c r="H73" s="1">
        <v>38928</v>
      </c>
      <c r="I73" s="1">
        <v>38938</v>
      </c>
      <c r="J73" t="s">
        <v>15</v>
      </c>
      <c r="K73">
        <v>35</v>
      </c>
      <c r="L73">
        <v>0</v>
      </c>
      <c r="M73" t="s">
        <v>16</v>
      </c>
      <c r="N73">
        <v>1</v>
      </c>
    </row>
    <row r="74" hidden="1" spans="1:14">
      <c r="A74">
        <v>2992</v>
      </c>
      <c r="B74" t="s">
        <v>42</v>
      </c>
      <c r="C74" t="s">
        <v>37</v>
      </c>
      <c r="D74">
        <v>0</v>
      </c>
      <c r="E74">
        <v>70.7909</v>
      </c>
      <c r="F74">
        <v>34.2199</v>
      </c>
      <c r="G74">
        <v>1385.12</v>
      </c>
      <c r="H74" s="1">
        <v>39031</v>
      </c>
      <c r="I74" s="1">
        <v>39033</v>
      </c>
      <c r="J74" t="s">
        <v>15</v>
      </c>
      <c r="K74">
        <v>9</v>
      </c>
      <c r="L74">
        <v>0</v>
      </c>
      <c r="M74" t="s">
        <v>16</v>
      </c>
      <c r="N74">
        <v>1</v>
      </c>
    </row>
    <row r="75" hidden="1" spans="1:14">
      <c r="A75">
        <v>2994</v>
      </c>
      <c r="B75" t="s">
        <v>43</v>
      </c>
      <c r="C75" t="s">
        <v>37</v>
      </c>
      <c r="D75">
        <v>0</v>
      </c>
      <c r="E75">
        <v>63.544</v>
      </c>
      <c r="F75">
        <v>35.6213</v>
      </c>
      <c r="G75">
        <v>4953.7</v>
      </c>
      <c r="H75" s="1">
        <v>39037</v>
      </c>
      <c r="I75" s="1">
        <v>39041</v>
      </c>
      <c r="J75" t="s">
        <v>15</v>
      </c>
      <c r="K75">
        <v>66</v>
      </c>
      <c r="L75">
        <v>4500</v>
      </c>
      <c r="M75" t="s">
        <v>16</v>
      </c>
      <c r="N75">
        <v>1</v>
      </c>
    </row>
    <row r="76" hidden="1" spans="1:14">
      <c r="A76">
        <v>2995</v>
      </c>
      <c r="B76">
        <v>0</v>
      </c>
      <c r="C76" t="s">
        <v>37</v>
      </c>
      <c r="D76">
        <v>0</v>
      </c>
      <c r="E76">
        <v>66.1253</v>
      </c>
      <c r="F76">
        <v>32.7423</v>
      </c>
      <c r="G76">
        <v>21502.28</v>
      </c>
      <c r="H76" s="1">
        <v>39040</v>
      </c>
      <c r="I76" s="1">
        <v>39042</v>
      </c>
      <c r="J76" t="s">
        <v>15</v>
      </c>
      <c r="K76">
        <v>50</v>
      </c>
      <c r="L76">
        <v>0</v>
      </c>
      <c r="M76" t="s">
        <v>16</v>
      </c>
      <c r="N76">
        <v>1</v>
      </c>
    </row>
    <row r="77" hidden="1" spans="1:14">
      <c r="A77">
        <v>2996</v>
      </c>
      <c r="B77">
        <v>0</v>
      </c>
      <c r="C77" t="s">
        <v>37</v>
      </c>
      <c r="D77">
        <v>0</v>
      </c>
      <c r="E77">
        <v>63.8569</v>
      </c>
      <c r="F77">
        <v>33.1462</v>
      </c>
      <c r="G77">
        <v>565.035</v>
      </c>
      <c r="H77" s="1">
        <v>39040</v>
      </c>
      <c r="I77" s="1">
        <v>39042</v>
      </c>
      <c r="J77" t="s">
        <v>15</v>
      </c>
      <c r="K77">
        <v>18</v>
      </c>
      <c r="L77">
        <v>0</v>
      </c>
      <c r="M77" t="s">
        <v>16</v>
      </c>
      <c r="N77">
        <v>1</v>
      </c>
    </row>
    <row r="78" hidden="1" spans="1:14">
      <c r="A78">
        <v>3040</v>
      </c>
      <c r="B78" t="s">
        <v>44</v>
      </c>
      <c r="C78" t="s">
        <v>37</v>
      </c>
      <c r="D78">
        <v>0</v>
      </c>
      <c r="E78">
        <v>64.8947</v>
      </c>
      <c r="F78">
        <v>33.2456</v>
      </c>
      <c r="G78">
        <v>656435.88</v>
      </c>
      <c r="H78" s="1">
        <v>39159</v>
      </c>
      <c r="I78" s="1">
        <v>39177</v>
      </c>
      <c r="J78" t="s">
        <v>15</v>
      </c>
      <c r="K78">
        <v>104</v>
      </c>
      <c r="L78">
        <v>20000</v>
      </c>
      <c r="M78" t="s">
        <v>16</v>
      </c>
      <c r="N78">
        <v>1</v>
      </c>
    </row>
    <row r="79" hidden="1" spans="1:14">
      <c r="A79">
        <v>3055</v>
      </c>
      <c r="B79">
        <v>0</v>
      </c>
      <c r="C79" t="s">
        <v>37</v>
      </c>
      <c r="D79">
        <v>0</v>
      </c>
      <c r="E79">
        <v>69.6682</v>
      </c>
      <c r="F79">
        <v>35.2702</v>
      </c>
      <c r="G79">
        <v>40765.63</v>
      </c>
      <c r="H79" s="1">
        <v>39189</v>
      </c>
      <c r="I79" s="1">
        <v>39190</v>
      </c>
      <c r="J79" t="s">
        <v>15</v>
      </c>
      <c r="K79">
        <v>6</v>
      </c>
      <c r="L79">
        <v>0</v>
      </c>
      <c r="M79" t="s">
        <v>16</v>
      </c>
      <c r="N79">
        <v>1</v>
      </c>
    </row>
    <row r="80" hidden="1" spans="1:14">
      <c r="A80">
        <v>3061</v>
      </c>
      <c r="B80">
        <v>0</v>
      </c>
      <c r="C80" t="s">
        <v>37</v>
      </c>
      <c r="D80">
        <v>0</v>
      </c>
      <c r="E80">
        <v>70.7315</v>
      </c>
      <c r="F80">
        <v>37.0063</v>
      </c>
      <c r="G80">
        <v>27490.25</v>
      </c>
      <c r="H80" s="1">
        <v>39195</v>
      </c>
      <c r="I80" s="1">
        <v>39206</v>
      </c>
      <c r="J80" t="s">
        <v>15</v>
      </c>
      <c r="K80">
        <v>36</v>
      </c>
      <c r="L80">
        <v>0</v>
      </c>
      <c r="M80" t="s">
        <v>16</v>
      </c>
      <c r="N80">
        <v>1</v>
      </c>
    </row>
    <row r="81" hidden="1" spans="1:14">
      <c r="A81">
        <v>3069</v>
      </c>
      <c r="B81" t="s">
        <v>45</v>
      </c>
      <c r="C81" t="s">
        <v>37</v>
      </c>
      <c r="D81">
        <v>0</v>
      </c>
      <c r="E81">
        <v>68.8518</v>
      </c>
      <c r="F81">
        <v>36.2949</v>
      </c>
      <c r="G81">
        <v>25847.23</v>
      </c>
      <c r="H81" s="1">
        <v>39207</v>
      </c>
      <c r="I81" s="1">
        <v>39209</v>
      </c>
      <c r="J81" t="s">
        <v>15</v>
      </c>
      <c r="K81">
        <v>12</v>
      </c>
      <c r="L81">
        <v>0</v>
      </c>
      <c r="M81" t="s">
        <v>16</v>
      </c>
      <c r="N81">
        <v>1</v>
      </c>
    </row>
    <row r="82" hidden="1" spans="1:14">
      <c r="A82">
        <v>3077</v>
      </c>
      <c r="B82">
        <v>0</v>
      </c>
      <c r="C82" t="s">
        <v>37</v>
      </c>
      <c r="D82">
        <v>0</v>
      </c>
      <c r="E82">
        <v>70.6001</v>
      </c>
      <c r="F82">
        <v>36.5247</v>
      </c>
      <c r="G82">
        <v>15491.94</v>
      </c>
      <c r="H82" s="1">
        <v>39216</v>
      </c>
      <c r="I82" s="1">
        <v>39220</v>
      </c>
      <c r="J82" t="s">
        <v>15</v>
      </c>
      <c r="K82">
        <v>34</v>
      </c>
      <c r="L82">
        <v>0</v>
      </c>
      <c r="M82" t="s">
        <v>16</v>
      </c>
      <c r="N82">
        <v>1</v>
      </c>
    </row>
    <row r="83" hidden="1" spans="1:14">
      <c r="A83">
        <v>3109</v>
      </c>
      <c r="B83" t="s">
        <v>46</v>
      </c>
      <c r="C83" t="s">
        <v>37</v>
      </c>
      <c r="D83">
        <v>0</v>
      </c>
      <c r="E83">
        <v>71.1407</v>
      </c>
      <c r="F83">
        <v>35.2782</v>
      </c>
      <c r="G83">
        <v>62335.91</v>
      </c>
      <c r="H83" s="1">
        <v>39257</v>
      </c>
      <c r="I83" s="1">
        <v>39266</v>
      </c>
      <c r="J83" t="s">
        <v>15</v>
      </c>
      <c r="K83">
        <v>113</v>
      </c>
      <c r="L83">
        <v>4000</v>
      </c>
      <c r="M83" t="s">
        <v>16</v>
      </c>
      <c r="N83">
        <v>1</v>
      </c>
    </row>
    <row r="84" hidden="1" spans="1:14">
      <c r="A84">
        <v>3130</v>
      </c>
      <c r="B84">
        <v>0</v>
      </c>
      <c r="C84" t="s">
        <v>37</v>
      </c>
      <c r="D84">
        <v>0</v>
      </c>
      <c r="E84">
        <v>66.1314</v>
      </c>
      <c r="F84">
        <v>34.5303</v>
      </c>
      <c r="G84">
        <v>4112.52</v>
      </c>
      <c r="H84" s="1">
        <v>39278</v>
      </c>
      <c r="I84" s="1">
        <v>39280</v>
      </c>
      <c r="J84" t="s">
        <v>15</v>
      </c>
      <c r="K84">
        <v>9</v>
      </c>
      <c r="L84">
        <v>0</v>
      </c>
      <c r="M84" t="s">
        <v>16</v>
      </c>
      <c r="N84">
        <v>1</v>
      </c>
    </row>
    <row r="85" hidden="1" spans="1:14">
      <c r="A85">
        <v>3258</v>
      </c>
      <c r="B85">
        <v>0</v>
      </c>
      <c r="C85" t="s">
        <v>37</v>
      </c>
      <c r="D85">
        <v>0</v>
      </c>
      <c r="E85">
        <v>64.2796</v>
      </c>
      <c r="F85">
        <v>31.345</v>
      </c>
      <c r="G85">
        <v>18278.94</v>
      </c>
      <c r="H85" s="1">
        <v>39460</v>
      </c>
      <c r="I85" s="1">
        <v>39467</v>
      </c>
      <c r="J85" t="s">
        <v>15</v>
      </c>
      <c r="K85">
        <v>5</v>
      </c>
      <c r="L85">
        <v>300</v>
      </c>
      <c r="M85" t="s">
        <v>16</v>
      </c>
      <c r="N85">
        <v>1</v>
      </c>
    </row>
    <row r="86" hidden="1" spans="1:14">
      <c r="A86">
        <v>3471</v>
      </c>
      <c r="B86" t="s">
        <v>47</v>
      </c>
      <c r="C86" t="s">
        <v>37</v>
      </c>
      <c r="D86">
        <v>0</v>
      </c>
      <c r="E86">
        <v>63.5929</v>
      </c>
      <c r="F86">
        <v>33.0736</v>
      </c>
      <c r="G86">
        <v>88516.93</v>
      </c>
      <c r="H86" s="1">
        <v>39904</v>
      </c>
      <c r="I86" s="1">
        <v>39912</v>
      </c>
      <c r="J86" t="s">
        <v>15</v>
      </c>
      <c r="K86">
        <v>0</v>
      </c>
      <c r="L86">
        <v>200</v>
      </c>
      <c r="M86" t="s">
        <v>48</v>
      </c>
      <c r="N86">
        <v>1</v>
      </c>
    </row>
    <row r="87" hidden="1" spans="1:14">
      <c r="A87">
        <v>3479</v>
      </c>
      <c r="B87">
        <v>0</v>
      </c>
      <c r="C87" t="s">
        <v>37</v>
      </c>
      <c r="D87">
        <v>0</v>
      </c>
      <c r="E87">
        <v>64.3991</v>
      </c>
      <c r="F87">
        <v>34.88</v>
      </c>
      <c r="G87">
        <v>58894.07</v>
      </c>
      <c r="H87" s="1">
        <v>39936</v>
      </c>
      <c r="I87" s="1">
        <v>39943</v>
      </c>
      <c r="J87" t="s">
        <v>15</v>
      </c>
      <c r="K87">
        <v>0</v>
      </c>
      <c r="L87">
        <v>0</v>
      </c>
      <c r="M87" t="s">
        <v>49</v>
      </c>
      <c r="N87">
        <v>2</v>
      </c>
    </row>
    <row r="88" hidden="1" spans="1:14">
      <c r="A88">
        <v>3604</v>
      </c>
      <c r="B88" t="s">
        <v>50</v>
      </c>
      <c r="C88" t="s">
        <v>37</v>
      </c>
      <c r="D88">
        <v>0</v>
      </c>
      <c r="E88">
        <v>65.1089</v>
      </c>
      <c r="F88">
        <v>32.547</v>
      </c>
      <c r="G88">
        <v>105873.35</v>
      </c>
      <c r="H88" s="1">
        <v>40214</v>
      </c>
      <c r="I88" s="1">
        <v>40219</v>
      </c>
      <c r="J88">
        <v>0</v>
      </c>
      <c r="K88">
        <v>20</v>
      </c>
      <c r="L88">
        <v>200</v>
      </c>
      <c r="M88" t="s">
        <v>49</v>
      </c>
      <c r="N88">
        <v>2</v>
      </c>
    </row>
    <row r="89" hidden="1" spans="1:14">
      <c r="A89">
        <v>3643</v>
      </c>
      <c r="B89" t="s">
        <v>51</v>
      </c>
      <c r="C89" t="s">
        <v>37</v>
      </c>
      <c r="D89">
        <v>0</v>
      </c>
      <c r="E89">
        <v>62.2514</v>
      </c>
      <c r="F89">
        <v>34.3839</v>
      </c>
      <c r="G89">
        <v>65810.91</v>
      </c>
      <c r="H89" s="1">
        <v>40302</v>
      </c>
      <c r="I89" s="1">
        <v>40312</v>
      </c>
      <c r="J89">
        <v>0</v>
      </c>
      <c r="K89">
        <v>70</v>
      </c>
      <c r="L89">
        <v>40000</v>
      </c>
      <c r="M89" t="s">
        <v>52</v>
      </c>
      <c r="N89">
        <v>1</v>
      </c>
    </row>
    <row r="90" hidden="1" spans="1:14">
      <c r="A90">
        <v>3697</v>
      </c>
      <c r="B90">
        <v>0</v>
      </c>
      <c r="C90" t="s">
        <v>37</v>
      </c>
      <c r="D90">
        <v>0</v>
      </c>
      <c r="E90">
        <v>68.8594</v>
      </c>
      <c r="F90">
        <v>35.2106</v>
      </c>
      <c r="G90">
        <v>176799.06</v>
      </c>
      <c r="H90" s="1">
        <v>40386</v>
      </c>
      <c r="I90" s="1">
        <v>40393</v>
      </c>
      <c r="J90" t="s">
        <v>15</v>
      </c>
      <c r="K90">
        <v>65</v>
      </c>
      <c r="L90">
        <v>180</v>
      </c>
      <c r="M90" t="s">
        <v>52</v>
      </c>
      <c r="N90">
        <v>1</v>
      </c>
    </row>
    <row r="91" hidden="1" spans="1:14">
      <c r="A91">
        <v>3779</v>
      </c>
      <c r="B91" t="s">
        <v>53</v>
      </c>
      <c r="C91" t="s">
        <v>37</v>
      </c>
      <c r="E91">
        <v>63.9941</v>
      </c>
      <c r="F91">
        <v>35.0754</v>
      </c>
      <c r="G91">
        <v>63337.57</v>
      </c>
      <c r="H91" s="1">
        <v>40584</v>
      </c>
      <c r="I91" s="1">
        <v>40590</v>
      </c>
      <c r="J91" t="s">
        <v>15</v>
      </c>
      <c r="K91">
        <v>25</v>
      </c>
      <c r="L91">
        <v>3000</v>
      </c>
      <c r="M91" t="s">
        <v>39</v>
      </c>
      <c r="N91">
        <v>1</v>
      </c>
    </row>
    <row r="92" hidden="1" spans="1:14">
      <c r="A92">
        <v>3851</v>
      </c>
      <c r="C92" t="s">
        <v>37</v>
      </c>
      <c r="E92">
        <v>70.5453</v>
      </c>
      <c r="F92">
        <v>35.2213</v>
      </c>
      <c r="G92">
        <v>27920.61</v>
      </c>
      <c r="H92" s="1">
        <v>40760</v>
      </c>
      <c r="I92" s="1">
        <v>40764</v>
      </c>
      <c r="J92" t="s">
        <v>15</v>
      </c>
      <c r="K92">
        <v>6</v>
      </c>
      <c r="L92">
        <v>20</v>
      </c>
      <c r="M92" t="s">
        <v>54</v>
      </c>
      <c r="N92">
        <v>1</v>
      </c>
    </row>
    <row r="93" hidden="1" spans="1:14">
      <c r="A93">
        <v>3924</v>
      </c>
      <c r="C93" t="s">
        <v>37</v>
      </c>
      <c r="E93">
        <v>64.1872</v>
      </c>
      <c r="F93">
        <v>34.2696</v>
      </c>
      <c r="G93">
        <v>21754.66</v>
      </c>
      <c r="H93" s="1">
        <v>41030</v>
      </c>
      <c r="I93" s="1">
        <v>41036</v>
      </c>
      <c r="J93" t="s">
        <v>15</v>
      </c>
      <c r="K93">
        <v>26</v>
      </c>
      <c r="L93">
        <v>0</v>
      </c>
      <c r="M93" t="s">
        <v>52</v>
      </c>
      <c r="N93">
        <v>1.5</v>
      </c>
    </row>
    <row r="94" hidden="1" spans="1:14">
      <c r="A94">
        <v>3929</v>
      </c>
      <c r="C94" t="s">
        <v>37</v>
      </c>
      <c r="E94">
        <v>70.0048</v>
      </c>
      <c r="F94">
        <v>37.0528</v>
      </c>
      <c r="G94">
        <v>14162.67</v>
      </c>
      <c r="H94" s="1">
        <v>41041</v>
      </c>
      <c r="I94" s="1">
        <v>41045</v>
      </c>
      <c r="J94" t="s">
        <v>15</v>
      </c>
      <c r="K94">
        <v>20</v>
      </c>
      <c r="L94">
        <v>0</v>
      </c>
      <c r="M94" t="s">
        <v>52</v>
      </c>
      <c r="N94">
        <v>1</v>
      </c>
    </row>
    <row r="95" hidden="1" spans="1:14">
      <c r="A95">
        <v>3941</v>
      </c>
      <c r="C95" t="s">
        <v>37</v>
      </c>
      <c r="E95">
        <v>65.0555</v>
      </c>
      <c r="F95">
        <v>33.6249</v>
      </c>
      <c r="G95">
        <v>71504.75</v>
      </c>
      <c r="H95" s="1">
        <v>41083</v>
      </c>
      <c r="I95" s="1">
        <v>41086</v>
      </c>
      <c r="J95" t="s">
        <v>15</v>
      </c>
      <c r="K95">
        <v>0</v>
      </c>
      <c r="L95">
        <v>24</v>
      </c>
      <c r="M95" t="s">
        <v>52</v>
      </c>
      <c r="N95">
        <v>1.5</v>
      </c>
    </row>
    <row r="96" hidden="1" spans="1:14">
      <c r="A96">
        <v>4052</v>
      </c>
      <c r="C96" t="s">
        <v>37</v>
      </c>
      <c r="E96">
        <v>68.8486</v>
      </c>
      <c r="F96">
        <v>36.9291</v>
      </c>
      <c r="G96">
        <v>14653.47</v>
      </c>
      <c r="H96" s="1">
        <v>41387</v>
      </c>
      <c r="I96" s="1">
        <v>41393</v>
      </c>
      <c r="J96" t="s">
        <v>15</v>
      </c>
      <c r="K96">
        <v>13</v>
      </c>
      <c r="L96">
        <v>300</v>
      </c>
      <c r="M96" t="s">
        <v>52</v>
      </c>
      <c r="N96">
        <v>1</v>
      </c>
    </row>
    <row r="97" hidden="1" spans="1:14">
      <c r="A97">
        <v>4136</v>
      </c>
      <c r="B97" t="s">
        <v>55</v>
      </c>
      <c r="C97" t="s">
        <v>37</v>
      </c>
      <c r="E97">
        <v>66.4342</v>
      </c>
      <c r="F97">
        <v>35.834</v>
      </c>
      <c r="G97">
        <v>83722.34</v>
      </c>
      <c r="H97" s="1">
        <v>41749</v>
      </c>
      <c r="I97" s="1">
        <v>41775</v>
      </c>
      <c r="J97" t="s">
        <v>15</v>
      </c>
      <c r="K97">
        <v>123</v>
      </c>
      <c r="L97">
        <v>6000</v>
      </c>
      <c r="M97" t="s">
        <v>52</v>
      </c>
      <c r="N97">
        <v>1.5</v>
      </c>
    </row>
    <row r="98" hidden="1" spans="1:14">
      <c r="A98">
        <v>4144</v>
      </c>
      <c r="C98" t="s">
        <v>37</v>
      </c>
      <c r="E98">
        <v>68.0178</v>
      </c>
      <c r="F98">
        <v>35.6352</v>
      </c>
      <c r="G98">
        <v>44203.93</v>
      </c>
      <c r="H98" s="1">
        <v>41793</v>
      </c>
      <c r="I98" s="1">
        <v>41800</v>
      </c>
      <c r="J98" t="s">
        <v>15</v>
      </c>
      <c r="K98">
        <v>0</v>
      </c>
      <c r="L98">
        <v>300</v>
      </c>
      <c r="M98" t="s">
        <v>49</v>
      </c>
      <c r="N98">
        <v>1.5</v>
      </c>
    </row>
    <row r="99" hidden="1" spans="1:14">
      <c r="A99">
        <v>4621</v>
      </c>
      <c r="C99" t="s">
        <v>37</v>
      </c>
      <c r="E99">
        <v>68.2157</v>
      </c>
      <c r="F99">
        <v>34.9404</v>
      </c>
      <c r="G99">
        <v>184396.9</v>
      </c>
      <c r="H99" s="1">
        <v>43229</v>
      </c>
      <c r="I99" s="1">
        <v>43242</v>
      </c>
      <c r="J99" t="s">
        <v>56</v>
      </c>
      <c r="K99">
        <v>72</v>
      </c>
      <c r="L99">
        <v>4000</v>
      </c>
      <c r="M99" t="s">
        <v>52</v>
      </c>
      <c r="N99">
        <v>1.5</v>
      </c>
    </row>
    <row r="100" hidden="1" spans="1:14">
      <c r="A100">
        <v>4729</v>
      </c>
      <c r="C100" t="s">
        <v>37</v>
      </c>
      <c r="D100" t="s">
        <v>57</v>
      </c>
      <c r="E100">
        <v>67.0775</v>
      </c>
      <c r="F100">
        <v>31.9907</v>
      </c>
      <c r="G100">
        <v>441236.3</v>
      </c>
      <c r="H100" s="1">
        <v>43522</v>
      </c>
      <c r="I100" s="1">
        <v>43526</v>
      </c>
      <c r="J100" t="s">
        <v>58</v>
      </c>
      <c r="K100">
        <v>50</v>
      </c>
      <c r="L100">
        <v>2000</v>
      </c>
      <c r="M100" t="s">
        <v>52</v>
      </c>
      <c r="N100">
        <v>1.5</v>
      </c>
    </row>
    <row r="101" hidden="1" spans="1:14">
      <c r="A101">
        <v>4753</v>
      </c>
      <c r="C101" t="s">
        <v>37</v>
      </c>
      <c r="E101">
        <v>67.8941</v>
      </c>
      <c r="F101">
        <v>34.6678</v>
      </c>
      <c r="G101">
        <v>133359.74</v>
      </c>
      <c r="H101" s="1">
        <v>43607</v>
      </c>
      <c r="I101" s="1">
        <v>43611</v>
      </c>
      <c r="J101" t="s">
        <v>56</v>
      </c>
      <c r="K101">
        <v>24</v>
      </c>
      <c r="L101">
        <v>1500</v>
      </c>
      <c r="M101" t="s">
        <v>52</v>
      </c>
      <c r="N101">
        <v>1.5</v>
      </c>
    </row>
    <row r="102" hidden="1" spans="1:14">
      <c r="A102">
        <v>4894</v>
      </c>
      <c r="C102" t="s">
        <v>37</v>
      </c>
      <c r="E102">
        <v>65.6424</v>
      </c>
      <c r="F102">
        <v>33.826</v>
      </c>
      <c r="G102">
        <v>220551.72</v>
      </c>
      <c r="H102" s="1">
        <v>43911</v>
      </c>
      <c r="I102" s="1">
        <v>43924</v>
      </c>
      <c r="J102" t="s">
        <v>56</v>
      </c>
      <c r="K102">
        <v>11</v>
      </c>
      <c r="L102">
        <v>1200</v>
      </c>
      <c r="M102" t="s">
        <v>49</v>
      </c>
      <c r="N102">
        <v>1.5</v>
      </c>
    </row>
    <row r="103" hidden="1" spans="1:14">
      <c r="A103">
        <v>4952</v>
      </c>
      <c r="C103" t="s">
        <v>37</v>
      </c>
      <c r="E103">
        <v>67.7209</v>
      </c>
      <c r="F103">
        <v>34.916</v>
      </c>
      <c r="G103">
        <v>130814.57</v>
      </c>
      <c r="H103" s="1">
        <v>44068</v>
      </c>
      <c r="I103" s="1">
        <v>44070</v>
      </c>
      <c r="J103" t="s">
        <v>56</v>
      </c>
      <c r="K103">
        <v>35</v>
      </c>
      <c r="L103">
        <v>0</v>
      </c>
      <c r="M103" t="s">
        <v>52</v>
      </c>
      <c r="N103">
        <v>2</v>
      </c>
    </row>
    <row r="104" hidden="1" spans="1:14">
      <c r="A104">
        <v>5061</v>
      </c>
      <c r="C104" t="s">
        <v>37</v>
      </c>
      <c r="E104">
        <v>65.9888</v>
      </c>
      <c r="F104">
        <v>34.2478</v>
      </c>
      <c r="G104">
        <v>259774.14</v>
      </c>
      <c r="H104" s="1">
        <v>44318</v>
      </c>
      <c r="I104" s="1">
        <v>44321</v>
      </c>
      <c r="J104" t="s">
        <v>56</v>
      </c>
      <c r="K104">
        <v>16</v>
      </c>
      <c r="L104">
        <v>200</v>
      </c>
      <c r="M104" t="s">
        <v>49</v>
      </c>
      <c r="N104">
        <v>1.5</v>
      </c>
    </row>
    <row r="105" hidden="1" spans="1:14">
      <c r="A105">
        <v>5097</v>
      </c>
      <c r="C105" t="s">
        <v>37</v>
      </c>
      <c r="E105">
        <v>70.9375</v>
      </c>
      <c r="F105">
        <v>35.0881</v>
      </c>
      <c r="G105">
        <v>11286.4</v>
      </c>
      <c r="H105" s="1">
        <v>44405</v>
      </c>
      <c r="I105" s="1">
        <v>44406</v>
      </c>
      <c r="J105" t="s">
        <v>56</v>
      </c>
      <c r="K105">
        <v>100</v>
      </c>
      <c r="L105">
        <v>1000</v>
      </c>
      <c r="M105" t="s">
        <v>52</v>
      </c>
      <c r="N105">
        <v>2</v>
      </c>
    </row>
    <row r="106" hidden="1" spans="1:14">
      <c r="A106">
        <v>185</v>
      </c>
      <c r="B106">
        <v>0</v>
      </c>
      <c r="C106" t="s">
        <v>59</v>
      </c>
      <c r="D106">
        <v>0</v>
      </c>
      <c r="E106">
        <v>69.4328</v>
      </c>
      <c r="F106">
        <v>36.3288</v>
      </c>
      <c r="G106">
        <v>122607.82</v>
      </c>
      <c r="H106" s="1">
        <v>32307</v>
      </c>
      <c r="I106" s="1">
        <v>32322</v>
      </c>
      <c r="J106" t="s">
        <v>15</v>
      </c>
      <c r="K106">
        <v>0</v>
      </c>
      <c r="L106">
        <v>3000</v>
      </c>
      <c r="M106" t="s">
        <v>49</v>
      </c>
      <c r="N106">
        <v>1</v>
      </c>
    </row>
    <row r="107" hidden="1" spans="1:14">
      <c r="A107">
        <v>1774</v>
      </c>
      <c r="B107">
        <v>0</v>
      </c>
      <c r="C107" t="s">
        <v>59</v>
      </c>
      <c r="D107">
        <v>0</v>
      </c>
      <c r="E107">
        <v>69.1549</v>
      </c>
      <c r="F107">
        <v>34.6188</v>
      </c>
      <c r="G107">
        <v>1282.21</v>
      </c>
      <c r="H107" s="1">
        <v>37111</v>
      </c>
      <c r="I107" s="1">
        <v>37111</v>
      </c>
      <c r="J107" t="s">
        <v>15</v>
      </c>
      <c r="K107">
        <v>2</v>
      </c>
      <c r="L107">
        <v>0</v>
      </c>
      <c r="M107" t="s">
        <v>18</v>
      </c>
      <c r="N107">
        <v>1</v>
      </c>
    </row>
    <row r="108" hidden="1" spans="1:14">
      <c r="A108">
        <v>1917</v>
      </c>
      <c r="B108">
        <v>0</v>
      </c>
      <c r="C108" t="s">
        <v>60</v>
      </c>
      <c r="D108">
        <v>0</v>
      </c>
      <c r="E108">
        <v>33.5441</v>
      </c>
      <c r="F108">
        <v>-0.075707</v>
      </c>
      <c r="G108">
        <v>1111282.62</v>
      </c>
      <c r="H108" s="1">
        <v>37372</v>
      </c>
      <c r="I108" s="1">
        <v>37404</v>
      </c>
      <c r="J108" t="s">
        <v>15</v>
      </c>
      <c r="K108">
        <v>160</v>
      </c>
      <c r="L108">
        <v>168000</v>
      </c>
      <c r="M108" t="s">
        <v>16</v>
      </c>
      <c r="N108">
        <v>2</v>
      </c>
    </row>
    <row r="109" hidden="1" spans="1:14">
      <c r="A109">
        <v>2001</v>
      </c>
      <c r="B109">
        <v>0</v>
      </c>
      <c r="C109" t="s">
        <v>61</v>
      </c>
      <c r="D109">
        <v>0</v>
      </c>
      <c r="E109">
        <v>-135.3</v>
      </c>
      <c r="F109">
        <v>59.6028</v>
      </c>
      <c r="G109">
        <v>1149.17</v>
      </c>
      <c r="H109" s="1">
        <v>37460</v>
      </c>
      <c r="I109" s="1">
        <v>37461</v>
      </c>
      <c r="J109" t="s">
        <v>15</v>
      </c>
      <c r="K109">
        <v>25</v>
      </c>
      <c r="L109">
        <v>21</v>
      </c>
      <c r="M109" t="s">
        <v>16</v>
      </c>
      <c r="N109">
        <v>1</v>
      </c>
    </row>
    <row r="110" hidden="1" spans="1:14">
      <c r="A110">
        <v>110</v>
      </c>
      <c r="B110">
        <v>0</v>
      </c>
      <c r="C110" t="s">
        <v>62</v>
      </c>
      <c r="D110">
        <v>0</v>
      </c>
      <c r="E110">
        <v>-149.464</v>
      </c>
      <c r="F110">
        <v>61.7914</v>
      </c>
      <c r="G110">
        <v>43476.34</v>
      </c>
      <c r="H110" s="1">
        <v>31694</v>
      </c>
      <c r="I110" s="1">
        <v>31700</v>
      </c>
      <c r="J110" t="s">
        <v>15</v>
      </c>
      <c r="K110">
        <v>0</v>
      </c>
      <c r="L110">
        <v>1500</v>
      </c>
      <c r="M110" t="s">
        <v>16</v>
      </c>
      <c r="N110">
        <v>1</v>
      </c>
    </row>
    <row r="111" hidden="1" spans="1:14">
      <c r="A111">
        <v>713</v>
      </c>
      <c r="B111">
        <v>0</v>
      </c>
      <c r="C111" t="s">
        <v>63</v>
      </c>
      <c r="D111">
        <v>0</v>
      </c>
      <c r="E111">
        <v>19.5629</v>
      </c>
      <c r="F111">
        <v>42.0387</v>
      </c>
      <c r="G111">
        <v>5619.46</v>
      </c>
      <c r="H111" s="1">
        <v>33925</v>
      </c>
      <c r="I111" s="1">
        <v>33927</v>
      </c>
      <c r="J111" t="s">
        <v>15</v>
      </c>
      <c r="K111">
        <v>7</v>
      </c>
      <c r="L111">
        <v>2000</v>
      </c>
      <c r="M111" t="s">
        <v>64</v>
      </c>
      <c r="N111">
        <v>2</v>
      </c>
    </row>
    <row r="112" hidden="1" spans="1:14">
      <c r="A112">
        <v>985</v>
      </c>
      <c r="B112">
        <v>0</v>
      </c>
      <c r="C112" t="s">
        <v>63</v>
      </c>
      <c r="D112">
        <v>0</v>
      </c>
      <c r="E112">
        <v>19.9858</v>
      </c>
      <c r="F112">
        <v>41.8101</v>
      </c>
      <c r="G112">
        <v>11109.46</v>
      </c>
      <c r="H112" s="1">
        <v>34930</v>
      </c>
      <c r="I112" s="1">
        <v>34937</v>
      </c>
      <c r="J112" t="s">
        <v>15</v>
      </c>
      <c r="K112">
        <v>5</v>
      </c>
      <c r="L112">
        <v>0</v>
      </c>
      <c r="M112" t="s">
        <v>16</v>
      </c>
      <c r="N112">
        <v>1</v>
      </c>
    </row>
    <row r="113" hidden="1" spans="1:14">
      <c r="A113">
        <v>1001</v>
      </c>
      <c r="B113">
        <v>0</v>
      </c>
      <c r="C113" t="s">
        <v>63</v>
      </c>
      <c r="D113">
        <v>0</v>
      </c>
      <c r="E113">
        <v>19.9654</v>
      </c>
      <c r="F113">
        <v>41.6303</v>
      </c>
      <c r="G113">
        <v>17072.03</v>
      </c>
      <c r="H113" s="1">
        <v>34963</v>
      </c>
      <c r="I113" s="1">
        <v>34966</v>
      </c>
      <c r="J113" t="s">
        <v>15</v>
      </c>
      <c r="K113">
        <v>4</v>
      </c>
      <c r="L113">
        <v>0</v>
      </c>
      <c r="M113" t="s">
        <v>16</v>
      </c>
      <c r="N113">
        <v>1</v>
      </c>
    </row>
    <row r="114" hidden="1" spans="1:14">
      <c r="A114">
        <v>1134</v>
      </c>
      <c r="B114">
        <v>0</v>
      </c>
      <c r="C114" t="s">
        <v>63</v>
      </c>
      <c r="D114">
        <v>0</v>
      </c>
      <c r="E114">
        <v>19.7026</v>
      </c>
      <c r="F114">
        <v>41.7999</v>
      </c>
      <c r="G114">
        <v>1123.04</v>
      </c>
      <c r="H114" s="1">
        <v>35388</v>
      </c>
      <c r="I114" s="1">
        <v>35390</v>
      </c>
      <c r="J114" t="s">
        <v>15</v>
      </c>
      <c r="K114">
        <v>0</v>
      </c>
      <c r="L114">
        <v>50</v>
      </c>
      <c r="M114" t="s">
        <v>49</v>
      </c>
      <c r="N114">
        <v>1</v>
      </c>
    </row>
    <row r="115" hidden="1" spans="1:14">
      <c r="A115">
        <v>1200</v>
      </c>
      <c r="B115">
        <v>0</v>
      </c>
      <c r="C115" t="s">
        <v>63</v>
      </c>
      <c r="D115">
        <v>0</v>
      </c>
      <c r="E115">
        <v>19.7114</v>
      </c>
      <c r="F115">
        <v>41.8429</v>
      </c>
      <c r="G115">
        <v>1640.67</v>
      </c>
      <c r="H115" s="1">
        <v>35784</v>
      </c>
      <c r="I115" s="1">
        <v>35787</v>
      </c>
      <c r="J115" t="s">
        <v>15</v>
      </c>
      <c r="K115">
        <v>0</v>
      </c>
      <c r="L115">
        <v>400</v>
      </c>
      <c r="M115" t="s">
        <v>16</v>
      </c>
      <c r="N115">
        <v>1</v>
      </c>
    </row>
    <row r="116" hidden="1" spans="1:14">
      <c r="A116">
        <v>2060</v>
      </c>
      <c r="B116">
        <v>0</v>
      </c>
      <c r="C116" t="s">
        <v>63</v>
      </c>
      <c r="D116">
        <v>0</v>
      </c>
      <c r="E116">
        <v>19.7738</v>
      </c>
      <c r="F116">
        <v>41.3975</v>
      </c>
      <c r="G116">
        <v>11922.12</v>
      </c>
      <c r="H116" s="1">
        <v>37520</v>
      </c>
      <c r="I116" s="1">
        <v>37537</v>
      </c>
      <c r="J116" t="s">
        <v>15</v>
      </c>
      <c r="K116">
        <v>1</v>
      </c>
      <c r="L116">
        <v>9700</v>
      </c>
      <c r="M116" t="s">
        <v>16</v>
      </c>
      <c r="N116">
        <v>1</v>
      </c>
    </row>
    <row r="117" hidden="1" spans="1:14">
      <c r="A117">
        <v>2594</v>
      </c>
      <c r="B117">
        <v>0</v>
      </c>
      <c r="C117" t="s">
        <v>63</v>
      </c>
      <c r="D117">
        <v>0</v>
      </c>
      <c r="E117">
        <v>19.5485</v>
      </c>
      <c r="F117">
        <v>42.04</v>
      </c>
      <c r="G117">
        <v>426.448</v>
      </c>
      <c r="H117" s="1">
        <v>38325</v>
      </c>
      <c r="I117" s="1">
        <v>38329</v>
      </c>
      <c r="J117" t="s">
        <v>15</v>
      </c>
      <c r="K117">
        <v>0</v>
      </c>
      <c r="L117">
        <v>0</v>
      </c>
      <c r="M117" t="s">
        <v>16</v>
      </c>
      <c r="N117">
        <v>1</v>
      </c>
    </row>
    <row r="118" hidden="1" spans="1:14">
      <c r="A118">
        <v>2769</v>
      </c>
      <c r="B118">
        <v>0</v>
      </c>
      <c r="C118" t="s">
        <v>63</v>
      </c>
      <c r="D118">
        <v>0</v>
      </c>
      <c r="E118">
        <v>20.2064</v>
      </c>
      <c r="F118">
        <v>40.4745</v>
      </c>
      <c r="G118">
        <v>10408.03</v>
      </c>
      <c r="H118" s="1">
        <v>38686</v>
      </c>
      <c r="I118" s="1">
        <v>38689</v>
      </c>
      <c r="J118" t="s">
        <v>15</v>
      </c>
      <c r="K118">
        <v>3</v>
      </c>
      <c r="L118">
        <v>0</v>
      </c>
      <c r="M118" t="s">
        <v>16</v>
      </c>
      <c r="N118">
        <v>1</v>
      </c>
    </row>
    <row r="119" hidden="1" spans="1:14">
      <c r="A119">
        <v>3591</v>
      </c>
      <c r="B119">
        <v>0</v>
      </c>
      <c r="C119" t="s">
        <v>63</v>
      </c>
      <c r="E119">
        <v>20.0828</v>
      </c>
      <c r="F119">
        <v>41.4664</v>
      </c>
      <c r="G119">
        <v>60173.47</v>
      </c>
      <c r="H119" s="1">
        <v>40182</v>
      </c>
      <c r="I119" s="1">
        <v>40191</v>
      </c>
      <c r="J119">
        <v>0</v>
      </c>
      <c r="K119">
        <v>0</v>
      </c>
      <c r="L119">
        <v>1500</v>
      </c>
      <c r="M119" t="s">
        <v>49</v>
      </c>
      <c r="N119">
        <v>1.5</v>
      </c>
    </row>
    <row r="120" hidden="1" spans="1:14">
      <c r="A120">
        <v>4047</v>
      </c>
      <c r="C120" t="s">
        <v>63</v>
      </c>
      <c r="E120">
        <v>19.6182</v>
      </c>
      <c r="F120">
        <v>42.0043</v>
      </c>
      <c r="G120">
        <v>3304.87</v>
      </c>
      <c r="H120" s="1">
        <v>41348</v>
      </c>
      <c r="I120" s="1">
        <v>41376</v>
      </c>
      <c r="J120" t="s">
        <v>15</v>
      </c>
      <c r="K120">
        <v>0</v>
      </c>
      <c r="L120">
        <v>2800</v>
      </c>
      <c r="M120" t="s">
        <v>49</v>
      </c>
      <c r="N120">
        <v>1</v>
      </c>
    </row>
    <row r="121" hidden="1" spans="1:14">
      <c r="A121">
        <v>4313</v>
      </c>
      <c r="C121" t="s">
        <v>63</v>
      </c>
      <c r="E121">
        <v>19.9659</v>
      </c>
      <c r="F121">
        <v>41.2871</v>
      </c>
      <c r="G121">
        <v>11409.69</v>
      </c>
      <c r="H121" s="1">
        <v>42329</v>
      </c>
      <c r="I121" s="1">
        <v>42342</v>
      </c>
      <c r="J121" t="s">
        <v>15</v>
      </c>
      <c r="K121">
        <v>1</v>
      </c>
      <c r="L121">
        <v>300</v>
      </c>
      <c r="M121" t="s">
        <v>49</v>
      </c>
      <c r="N121">
        <v>1</v>
      </c>
    </row>
    <row r="122" hidden="1" spans="1:14">
      <c r="A122">
        <v>4417</v>
      </c>
      <c r="C122" t="s">
        <v>63</v>
      </c>
      <c r="D122" t="s">
        <v>65</v>
      </c>
      <c r="E122">
        <v>19.4463</v>
      </c>
      <c r="F122">
        <v>42.2541</v>
      </c>
      <c r="G122">
        <v>16543.1</v>
      </c>
      <c r="H122" s="1">
        <v>42681</v>
      </c>
      <c r="I122" s="1">
        <v>42684</v>
      </c>
      <c r="J122" t="s">
        <v>15</v>
      </c>
      <c r="K122">
        <v>2</v>
      </c>
      <c r="L122">
        <v>300</v>
      </c>
      <c r="M122" t="s">
        <v>49</v>
      </c>
      <c r="N122">
        <v>1.5</v>
      </c>
    </row>
    <row r="123" hidden="1" spans="1:14">
      <c r="A123">
        <v>4548</v>
      </c>
      <c r="B123" t="s">
        <v>66</v>
      </c>
      <c r="C123" t="s">
        <v>63</v>
      </c>
      <c r="E123">
        <v>15.2152</v>
      </c>
      <c r="F123">
        <v>44.8847</v>
      </c>
      <c r="G123">
        <v>10463.39</v>
      </c>
      <c r="H123" s="1">
        <v>43069</v>
      </c>
      <c r="I123" s="1">
        <v>43073</v>
      </c>
      <c r="J123" t="s">
        <v>15</v>
      </c>
      <c r="K123">
        <v>1</v>
      </c>
      <c r="L123">
        <v>4000</v>
      </c>
      <c r="M123" t="s">
        <v>52</v>
      </c>
      <c r="N123">
        <v>1.5</v>
      </c>
    </row>
    <row r="124" hidden="1" spans="1:14">
      <c r="A124">
        <v>4580</v>
      </c>
      <c r="C124" t="s">
        <v>63</v>
      </c>
      <c r="E124">
        <v>19.9412</v>
      </c>
      <c r="F124">
        <v>40.8656</v>
      </c>
      <c r="G124">
        <v>10316.95</v>
      </c>
      <c r="H124" s="1">
        <v>43166</v>
      </c>
      <c r="I124" s="1">
        <v>43173</v>
      </c>
      <c r="J124" t="s">
        <v>56</v>
      </c>
      <c r="K124">
        <v>0</v>
      </c>
      <c r="L124">
        <v>800</v>
      </c>
      <c r="M124" t="s">
        <v>67</v>
      </c>
      <c r="N124">
        <v>1</v>
      </c>
    </row>
    <row r="125" hidden="1" spans="1:14">
      <c r="A125">
        <v>5025</v>
      </c>
      <c r="C125" t="s">
        <v>63</v>
      </c>
      <c r="E125">
        <v>19.8175</v>
      </c>
      <c r="F125">
        <v>42.031</v>
      </c>
      <c r="G125">
        <v>6550.71</v>
      </c>
      <c r="H125" s="1">
        <v>44228</v>
      </c>
      <c r="I125" s="1">
        <v>44241</v>
      </c>
      <c r="J125" t="s">
        <v>56</v>
      </c>
      <c r="K125">
        <v>0</v>
      </c>
      <c r="L125">
        <v>35</v>
      </c>
      <c r="M125" t="s">
        <v>49</v>
      </c>
      <c r="N125">
        <v>1</v>
      </c>
    </row>
    <row r="126" hidden="1" spans="1:14">
      <c r="A126">
        <v>1</v>
      </c>
      <c r="B126">
        <v>0</v>
      </c>
      <c r="C126" t="s">
        <v>68</v>
      </c>
      <c r="D126">
        <v>0</v>
      </c>
      <c r="E126">
        <v>5.23026</v>
      </c>
      <c r="F126">
        <v>35.8142</v>
      </c>
      <c r="G126">
        <v>92615.67</v>
      </c>
      <c r="H126" s="1">
        <v>31048</v>
      </c>
      <c r="I126" s="1">
        <v>31052</v>
      </c>
      <c r="J126" t="s">
        <v>15</v>
      </c>
      <c r="K126">
        <v>26</v>
      </c>
      <c r="L126">
        <v>3000</v>
      </c>
      <c r="M126" t="s">
        <v>16</v>
      </c>
      <c r="N126">
        <v>1</v>
      </c>
    </row>
    <row r="127" hidden="1" spans="1:14">
      <c r="A127">
        <v>517</v>
      </c>
      <c r="B127">
        <v>0</v>
      </c>
      <c r="C127" t="s">
        <v>68</v>
      </c>
      <c r="D127">
        <v>0</v>
      </c>
      <c r="E127">
        <v>7.88945</v>
      </c>
      <c r="F127">
        <v>35.1589</v>
      </c>
      <c r="G127">
        <v>32284.54</v>
      </c>
      <c r="H127" s="1">
        <v>33390</v>
      </c>
      <c r="I127" s="1">
        <v>33393</v>
      </c>
      <c r="J127" t="s">
        <v>15</v>
      </c>
      <c r="K127">
        <v>17</v>
      </c>
      <c r="L127">
        <v>1000</v>
      </c>
      <c r="M127" t="s">
        <v>16</v>
      </c>
      <c r="N127">
        <v>1</v>
      </c>
    </row>
    <row r="128" hidden="1" spans="1:14">
      <c r="A128">
        <v>619</v>
      </c>
      <c r="B128">
        <v>0</v>
      </c>
      <c r="C128" t="s">
        <v>68</v>
      </c>
      <c r="D128">
        <v>0</v>
      </c>
      <c r="E128">
        <v>2.75934</v>
      </c>
      <c r="F128">
        <v>36.3763</v>
      </c>
      <c r="G128">
        <v>12836.35</v>
      </c>
      <c r="H128" s="1">
        <v>33624</v>
      </c>
      <c r="I128" s="1">
        <v>33632</v>
      </c>
      <c r="J128" t="s">
        <v>15</v>
      </c>
      <c r="K128">
        <v>18</v>
      </c>
      <c r="L128">
        <v>500</v>
      </c>
      <c r="M128" t="s">
        <v>16</v>
      </c>
      <c r="N128">
        <v>1</v>
      </c>
    </row>
    <row r="129" hidden="1" spans="1:14">
      <c r="A129">
        <v>792</v>
      </c>
      <c r="B129">
        <v>0</v>
      </c>
      <c r="C129" t="s">
        <v>68</v>
      </c>
      <c r="D129">
        <v>0</v>
      </c>
      <c r="E129">
        <v>1.81853</v>
      </c>
      <c r="F129">
        <v>35.8439</v>
      </c>
      <c r="G129">
        <v>39704.59</v>
      </c>
      <c r="H129" s="1">
        <v>34261</v>
      </c>
      <c r="I129" s="1">
        <v>34262</v>
      </c>
      <c r="J129" t="s">
        <v>15</v>
      </c>
      <c r="K129">
        <v>22</v>
      </c>
      <c r="L129">
        <v>0</v>
      </c>
      <c r="M129" t="s">
        <v>16</v>
      </c>
      <c r="N129">
        <v>1</v>
      </c>
    </row>
    <row r="130" hidden="1" spans="1:14">
      <c r="A130">
        <v>903</v>
      </c>
      <c r="B130">
        <v>0</v>
      </c>
      <c r="C130" t="s">
        <v>68</v>
      </c>
      <c r="D130">
        <v>0</v>
      </c>
      <c r="E130">
        <v>2.09318</v>
      </c>
      <c r="F130">
        <v>34.4889</v>
      </c>
      <c r="G130">
        <v>108181.19</v>
      </c>
      <c r="H130" s="1">
        <v>34598</v>
      </c>
      <c r="I130" s="1">
        <v>34603</v>
      </c>
      <c r="J130" t="s">
        <v>15</v>
      </c>
      <c r="K130">
        <v>32</v>
      </c>
      <c r="L130">
        <v>1200</v>
      </c>
      <c r="M130" t="s">
        <v>16</v>
      </c>
      <c r="N130">
        <v>1</v>
      </c>
    </row>
    <row r="131" hidden="1" spans="1:14">
      <c r="A131">
        <v>1004</v>
      </c>
      <c r="B131">
        <v>0</v>
      </c>
      <c r="C131" t="s">
        <v>68</v>
      </c>
      <c r="D131">
        <v>0</v>
      </c>
      <c r="E131">
        <v>6.58158</v>
      </c>
      <c r="F131">
        <v>35.3388</v>
      </c>
      <c r="G131">
        <v>62914.74</v>
      </c>
      <c r="H131" s="1">
        <v>34964</v>
      </c>
      <c r="I131" s="1">
        <v>34966</v>
      </c>
      <c r="J131" t="s">
        <v>15</v>
      </c>
      <c r="K131">
        <v>5</v>
      </c>
      <c r="L131">
        <v>0</v>
      </c>
      <c r="M131" t="s">
        <v>18</v>
      </c>
      <c r="N131">
        <v>1</v>
      </c>
    </row>
    <row r="132" hidden="1" spans="1:14">
      <c r="A132">
        <v>1067</v>
      </c>
      <c r="B132">
        <v>0</v>
      </c>
      <c r="C132" t="s">
        <v>68</v>
      </c>
      <c r="D132">
        <v>0</v>
      </c>
      <c r="E132">
        <v>6.9867</v>
      </c>
      <c r="F132">
        <v>35.0342</v>
      </c>
      <c r="G132">
        <v>101896.52</v>
      </c>
      <c r="H132" s="1">
        <v>35178</v>
      </c>
      <c r="I132" s="1">
        <v>35185</v>
      </c>
      <c r="J132" t="s">
        <v>15</v>
      </c>
      <c r="K132">
        <v>5</v>
      </c>
      <c r="L132">
        <v>0</v>
      </c>
      <c r="M132" t="s">
        <v>16</v>
      </c>
      <c r="N132">
        <v>1</v>
      </c>
    </row>
    <row r="133" hidden="1" spans="1:14">
      <c r="A133">
        <v>1453</v>
      </c>
      <c r="B133">
        <v>0</v>
      </c>
      <c r="C133" t="s">
        <v>68</v>
      </c>
      <c r="D133">
        <v>0</v>
      </c>
      <c r="E133">
        <v>4.12995</v>
      </c>
      <c r="F133">
        <v>35.8403</v>
      </c>
      <c r="G133">
        <v>15756.75</v>
      </c>
      <c r="H133" s="1">
        <v>36061</v>
      </c>
      <c r="I133" s="1">
        <v>36062</v>
      </c>
      <c r="J133" t="s">
        <v>15</v>
      </c>
      <c r="K133">
        <v>1</v>
      </c>
      <c r="L133">
        <v>700</v>
      </c>
      <c r="M133" t="s">
        <v>18</v>
      </c>
      <c r="N133">
        <v>1</v>
      </c>
    </row>
    <row r="134" hidden="1" spans="1:14">
      <c r="A134">
        <v>1653</v>
      </c>
      <c r="B134">
        <v>0</v>
      </c>
      <c r="C134" t="s">
        <v>68</v>
      </c>
      <c r="D134" t="s">
        <v>69</v>
      </c>
      <c r="E134">
        <v>-0.678384</v>
      </c>
      <c r="F134">
        <v>34.2249</v>
      </c>
      <c r="G134">
        <v>101502</v>
      </c>
      <c r="H134" s="1">
        <v>36821</v>
      </c>
      <c r="I134" s="1">
        <v>36824</v>
      </c>
      <c r="J134" t="s">
        <v>15</v>
      </c>
      <c r="K134">
        <v>28</v>
      </c>
      <c r="L134">
        <v>400</v>
      </c>
      <c r="M134" t="s">
        <v>18</v>
      </c>
      <c r="N134">
        <v>1</v>
      </c>
    </row>
    <row r="135" hidden="1" spans="1:14">
      <c r="A135">
        <v>2038</v>
      </c>
      <c r="B135">
        <v>0</v>
      </c>
      <c r="C135" t="s">
        <v>68</v>
      </c>
      <c r="D135">
        <v>0</v>
      </c>
      <c r="E135">
        <v>7.15889</v>
      </c>
      <c r="F135">
        <v>35.8591</v>
      </c>
      <c r="G135">
        <v>25336.07</v>
      </c>
      <c r="H135" s="1">
        <v>37485</v>
      </c>
      <c r="I135" s="1">
        <v>37496</v>
      </c>
      <c r="J135" t="s">
        <v>15</v>
      </c>
      <c r="K135">
        <v>28</v>
      </c>
      <c r="L135">
        <v>500</v>
      </c>
      <c r="M135" t="s">
        <v>16</v>
      </c>
      <c r="N135">
        <v>1</v>
      </c>
    </row>
    <row r="136" hidden="1" spans="1:14">
      <c r="A136">
        <v>2065</v>
      </c>
      <c r="B136">
        <v>0</v>
      </c>
      <c r="C136" t="s">
        <v>68</v>
      </c>
      <c r="D136">
        <v>0</v>
      </c>
      <c r="E136">
        <v>6.53339</v>
      </c>
      <c r="F136">
        <v>35.7714</v>
      </c>
      <c r="G136">
        <v>23941.66</v>
      </c>
      <c r="H136" s="1">
        <v>37538</v>
      </c>
      <c r="I136" s="1">
        <v>37541</v>
      </c>
      <c r="J136" t="s">
        <v>15</v>
      </c>
      <c r="K136">
        <v>13</v>
      </c>
      <c r="L136">
        <v>0</v>
      </c>
      <c r="M136" t="s">
        <v>16</v>
      </c>
      <c r="N136">
        <v>1</v>
      </c>
    </row>
    <row r="137" hidden="1" spans="1:14">
      <c r="A137">
        <v>2315</v>
      </c>
      <c r="B137">
        <v>0</v>
      </c>
      <c r="C137" t="s">
        <v>68</v>
      </c>
      <c r="E137">
        <v>0.785585</v>
      </c>
      <c r="F137">
        <v>26.3794</v>
      </c>
      <c r="G137">
        <v>78728.11</v>
      </c>
      <c r="H137" s="1">
        <v>37842</v>
      </c>
      <c r="I137" s="1">
        <v>37844</v>
      </c>
      <c r="J137" t="s">
        <v>15</v>
      </c>
      <c r="K137">
        <v>13</v>
      </c>
      <c r="L137">
        <v>5300</v>
      </c>
      <c r="M137" t="s">
        <v>52</v>
      </c>
      <c r="N137">
        <v>1</v>
      </c>
    </row>
    <row r="138" hidden="1" spans="1:14">
      <c r="A138">
        <v>2367</v>
      </c>
      <c r="B138">
        <v>0</v>
      </c>
      <c r="C138" t="s">
        <v>68</v>
      </c>
      <c r="D138">
        <v>0</v>
      </c>
      <c r="E138">
        <v>0.110269</v>
      </c>
      <c r="F138">
        <v>34.9894</v>
      </c>
      <c r="G138">
        <v>51769.75</v>
      </c>
      <c r="H138" s="1">
        <v>37909</v>
      </c>
      <c r="I138" s="1">
        <v>37912</v>
      </c>
      <c r="J138" t="s">
        <v>15</v>
      </c>
      <c r="K138">
        <v>13</v>
      </c>
      <c r="L138">
        <v>0</v>
      </c>
      <c r="M138" t="s">
        <v>16</v>
      </c>
      <c r="N138">
        <v>1</v>
      </c>
    </row>
    <row r="139" hidden="1" spans="1:14">
      <c r="A139">
        <v>2634</v>
      </c>
      <c r="B139">
        <v>0</v>
      </c>
      <c r="C139" t="s">
        <v>68</v>
      </c>
      <c r="D139">
        <v>0</v>
      </c>
      <c r="E139">
        <v>3.95344</v>
      </c>
      <c r="F139">
        <v>24.212</v>
      </c>
      <c r="G139">
        <v>436815.44</v>
      </c>
      <c r="H139" s="1">
        <v>38417</v>
      </c>
      <c r="I139" s="1">
        <v>38420</v>
      </c>
      <c r="J139" t="s">
        <v>15</v>
      </c>
      <c r="K139">
        <v>3</v>
      </c>
      <c r="L139">
        <v>0</v>
      </c>
      <c r="M139" t="s">
        <v>16</v>
      </c>
      <c r="N139">
        <v>1</v>
      </c>
    </row>
    <row r="140" hidden="1" spans="1:14">
      <c r="A140">
        <v>2799</v>
      </c>
      <c r="B140" t="s">
        <v>70</v>
      </c>
      <c r="C140" t="s">
        <v>68</v>
      </c>
      <c r="D140">
        <v>0</v>
      </c>
      <c r="E140">
        <v>-5.907</v>
      </c>
      <c r="F140">
        <v>27.6696</v>
      </c>
      <c r="G140">
        <v>180478.52</v>
      </c>
      <c r="H140" s="1">
        <v>38758</v>
      </c>
      <c r="I140" s="1">
        <v>38763</v>
      </c>
      <c r="J140" t="s">
        <v>15</v>
      </c>
      <c r="K140">
        <v>1</v>
      </c>
      <c r="L140">
        <v>60000</v>
      </c>
      <c r="M140" t="s">
        <v>16</v>
      </c>
      <c r="N140">
        <v>1</v>
      </c>
    </row>
    <row r="141" hidden="1" spans="1:14">
      <c r="A141">
        <v>2856</v>
      </c>
      <c r="B141">
        <v>0</v>
      </c>
      <c r="C141" t="s">
        <v>68</v>
      </c>
      <c r="D141">
        <v>0</v>
      </c>
      <c r="E141">
        <v>3.07187</v>
      </c>
      <c r="F141">
        <v>36.0879</v>
      </c>
      <c r="G141">
        <v>55687.42</v>
      </c>
      <c r="H141" s="1">
        <v>38840</v>
      </c>
      <c r="I141" s="1">
        <v>38845</v>
      </c>
      <c r="J141" t="s">
        <v>15</v>
      </c>
      <c r="K141">
        <v>6</v>
      </c>
      <c r="L141">
        <v>0</v>
      </c>
      <c r="M141" t="s">
        <v>16</v>
      </c>
      <c r="N141">
        <v>1</v>
      </c>
    </row>
    <row r="142" hidden="1" spans="1:14">
      <c r="A142">
        <v>3035</v>
      </c>
      <c r="B142">
        <v>0</v>
      </c>
      <c r="C142" t="s">
        <v>68</v>
      </c>
      <c r="D142">
        <v>0</v>
      </c>
      <c r="E142">
        <v>3.37805</v>
      </c>
      <c r="F142">
        <v>35.1559</v>
      </c>
      <c r="G142">
        <v>53227.22</v>
      </c>
      <c r="H142" s="1">
        <v>39148</v>
      </c>
      <c r="I142" s="1">
        <v>39152</v>
      </c>
      <c r="J142" t="s">
        <v>15</v>
      </c>
      <c r="K142">
        <v>3</v>
      </c>
      <c r="L142">
        <v>0</v>
      </c>
      <c r="M142" t="s">
        <v>16</v>
      </c>
      <c r="N142">
        <v>1</v>
      </c>
    </row>
    <row r="143" hidden="1" spans="1:14">
      <c r="A143">
        <v>3049</v>
      </c>
      <c r="B143" t="s">
        <v>71</v>
      </c>
      <c r="C143" t="s">
        <v>68</v>
      </c>
      <c r="D143">
        <v>0</v>
      </c>
      <c r="E143">
        <v>4.2037</v>
      </c>
      <c r="F143">
        <v>35.6376</v>
      </c>
      <c r="G143">
        <v>7109.82</v>
      </c>
      <c r="H143" s="1">
        <v>39185</v>
      </c>
      <c r="I143" s="1">
        <v>39187</v>
      </c>
      <c r="J143" t="s">
        <v>15</v>
      </c>
      <c r="K143">
        <v>15</v>
      </c>
      <c r="L143">
        <v>0</v>
      </c>
      <c r="M143" t="s">
        <v>16</v>
      </c>
      <c r="N143">
        <v>1</v>
      </c>
    </row>
    <row r="144" hidden="1" spans="1:14">
      <c r="A144">
        <v>3197</v>
      </c>
      <c r="B144">
        <v>0</v>
      </c>
      <c r="C144" t="s">
        <v>68</v>
      </c>
      <c r="D144">
        <v>0</v>
      </c>
      <c r="E144">
        <v>5.78849</v>
      </c>
      <c r="F144">
        <v>34.9455</v>
      </c>
      <c r="G144">
        <v>78593.54</v>
      </c>
      <c r="H144" s="1">
        <v>39346</v>
      </c>
      <c r="I144" s="1">
        <v>39349</v>
      </c>
      <c r="J144" t="s">
        <v>15</v>
      </c>
      <c r="K144">
        <v>18</v>
      </c>
      <c r="L144">
        <v>0</v>
      </c>
      <c r="M144" t="s">
        <v>16</v>
      </c>
      <c r="N144">
        <v>1</v>
      </c>
    </row>
    <row r="145" hidden="1" spans="1:14">
      <c r="A145">
        <v>3201</v>
      </c>
      <c r="B145">
        <v>0</v>
      </c>
      <c r="C145" t="s">
        <v>68</v>
      </c>
      <c r="D145">
        <v>0</v>
      </c>
      <c r="E145">
        <v>2.29447</v>
      </c>
      <c r="F145">
        <v>28.8398</v>
      </c>
      <c r="G145">
        <v>360162.61</v>
      </c>
      <c r="H145" s="1">
        <v>39358</v>
      </c>
      <c r="I145" s="1">
        <v>39359</v>
      </c>
      <c r="J145" t="s">
        <v>15</v>
      </c>
      <c r="K145">
        <v>5</v>
      </c>
      <c r="L145">
        <v>0</v>
      </c>
      <c r="M145" t="s">
        <v>16</v>
      </c>
      <c r="N145">
        <v>1</v>
      </c>
    </row>
    <row r="146" hidden="1" spans="1:14">
      <c r="A146">
        <v>3221</v>
      </c>
      <c r="B146">
        <v>0</v>
      </c>
      <c r="C146" t="s">
        <v>68</v>
      </c>
      <c r="D146">
        <v>0</v>
      </c>
      <c r="E146">
        <v>3.24194</v>
      </c>
      <c r="F146">
        <v>34.8234</v>
      </c>
      <c r="G146">
        <v>102132.16</v>
      </c>
      <c r="H146" s="1">
        <v>39385</v>
      </c>
      <c r="I146" s="1">
        <v>39388</v>
      </c>
      <c r="J146" t="s">
        <v>15</v>
      </c>
      <c r="K146">
        <v>4</v>
      </c>
      <c r="L146">
        <v>0</v>
      </c>
      <c r="M146" t="s">
        <v>16</v>
      </c>
      <c r="N146">
        <v>1</v>
      </c>
    </row>
    <row r="147" hidden="1" spans="1:14">
      <c r="A147">
        <v>3233</v>
      </c>
      <c r="B147">
        <v>0</v>
      </c>
      <c r="C147" t="s">
        <v>68</v>
      </c>
      <c r="D147">
        <v>0</v>
      </c>
      <c r="E147">
        <v>2.95984</v>
      </c>
      <c r="F147">
        <v>36.7468</v>
      </c>
      <c r="G147">
        <v>21397.07</v>
      </c>
      <c r="H147" s="1">
        <v>39410</v>
      </c>
      <c r="I147" s="1">
        <v>39418</v>
      </c>
      <c r="J147" t="s">
        <v>15</v>
      </c>
      <c r="K147">
        <v>15</v>
      </c>
      <c r="L147">
        <v>1200</v>
      </c>
      <c r="M147" t="s">
        <v>16</v>
      </c>
      <c r="N147">
        <v>1</v>
      </c>
    </row>
    <row r="148" hidden="1" spans="1:14">
      <c r="A148">
        <v>3303</v>
      </c>
      <c r="B148">
        <v>0</v>
      </c>
      <c r="C148" t="s">
        <v>68</v>
      </c>
      <c r="D148">
        <v>0</v>
      </c>
      <c r="E148">
        <v>5.75245</v>
      </c>
      <c r="F148">
        <v>35.8099</v>
      </c>
      <c r="G148">
        <v>20668.51</v>
      </c>
      <c r="H148" s="1">
        <v>39578</v>
      </c>
      <c r="I148" s="1">
        <v>39580</v>
      </c>
      <c r="J148" t="s">
        <v>15</v>
      </c>
      <c r="K148">
        <v>7</v>
      </c>
      <c r="L148">
        <v>0</v>
      </c>
      <c r="M148" t="s">
        <v>16</v>
      </c>
      <c r="N148">
        <v>1</v>
      </c>
    </row>
    <row r="149" hidden="1" spans="1:14">
      <c r="A149">
        <v>3331</v>
      </c>
      <c r="B149">
        <v>0</v>
      </c>
      <c r="C149" t="s">
        <v>68</v>
      </c>
      <c r="D149">
        <v>0</v>
      </c>
      <c r="E149">
        <v>6.15</v>
      </c>
      <c r="F149">
        <v>35.5</v>
      </c>
      <c r="G149">
        <v>76327.64</v>
      </c>
      <c r="H149" s="1">
        <v>39635</v>
      </c>
      <c r="I149" s="1">
        <v>39640</v>
      </c>
      <c r="J149" t="s">
        <v>15</v>
      </c>
      <c r="K149">
        <v>12</v>
      </c>
      <c r="L149">
        <v>0</v>
      </c>
      <c r="M149" t="s">
        <v>49</v>
      </c>
      <c r="N149">
        <v>1.5</v>
      </c>
    </row>
    <row r="150" hidden="1" spans="1:14">
      <c r="A150">
        <v>3389</v>
      </c>
      <c r="B150">
        <v>0</v>
      </c>
      <c r="C150" t="s">
        <v>68</v>
      </c>
      <c r="D150">
        <v>0</v>
      </c>
      <c r="E150">
        <v>3.48</v>
      </c>
      <c r="F150">
        <v>32.24</v>
      </c>
      <c r="G150">
        <v>34761.7</v>
      </c>
      <c r="H150" s="1">
        <v>39722</v>
      </c>
      <c r="I150" s="1">
        <v>39738</v>
      </c>
      <c r="J150" t="s">
        <v>15</v>
      </c>
      <c r="K150">
        <v>65</v>
      </c>
      <c r="L150">
        <v>0</v>
      </c>
      <c r="M150" t="s">
        <v>52</v>
      </c>
      <c r="N150">
        <v>2</v>
      </c>
    </row>
    <row r="151" hidden="1" spans="1:14">
      <c r="A151">
        <v>3440</v>
      </c>
      <c r="B151">
        <v>0</v>
      </c>
      <c r="C151" t="s">
        <v>68</v>
      </c>
      <c r="D151">
        <v>0</v>
      </c>
      <c r="E151">
        <v>0.706865</v>
      </c>
      <c r="F151">
        <v>29.6139</v>
      </c>
      <c r="G151">
        <v>132806.58</v>
      </c>
      <c r="H151" s="1">
        <v>39839</v>
      </c>
      <c r="I151" s="1">
        <v>39871</v>
      </c>
      <c r="J151" t="s">
        <v>15</v>
      </c>
      <c r="K151">
        <v>0</v>
      </c>
      <c r="L151">
        <v>400</v>
      </c>
      <c r="M151" t="s">
        <v>72</v>
      </c>
      <c r="N151">
        <v>2</v>
      </c>
    </row>
    <row r="152" hidden="1" spans="1:14">
      <c r="A152">
        <v>3818</v>
      </c>
      <c r="C152" t="s">
        <v>68</v>
      </c>
      <c r="E152">
        <v>2.8095</v>
      </c>
      <c r="F152">
        <v>32.7048</v>
      </c>
      <c r="G152">
        <v>191002.27</v>
      </c>
      <c r="H152" s="1">
        <v>40697</v>
      </c>
      <c r="I152" s="1">
        <v>40700</v>
      </c>
      <c r="J152" t="s">
        <v>15</v>
      </c>
      <c r="K152">
        <v>4</v>
      </c>
      <c r="L152">
        <v>0</v>
      </c>
      <c r="M152" t="s">
        <v>49</v>
      </c>
      <c r="N152">
        <v>1</v>
      </c>
    </row>
    <row r="153" hidden="1" spans="1:14">
      <c r="A153">
        <v>3869</v>
      </c>
      <c r="C153" t="s">
        <v>68</v>
      </c>
      <c r="E153">
        <v>1.70027</v>
      </c>
      <c r="F153">
        <v>29.5654</v>
      </c>
      <c r="G153">
        <v>288785.08</v>
      </c>
      <c r="H153" s="1">
        <v>40817</v>
      </c>
      <c r="I153" s="1">
        <v>40818</v>
      </c>
      <c r="J153" t="s">
        <v>15</v>
      </c>
      <c r="K153">
        <v>10</v>
      </c>
      <c r="L153">
        <v>200</v>
      </c>
      <c r="M153" t="s">
        <v>49</v>
      </c>
      <c r="N153">
        <v>1</v>
      </c>
    </row>
    <row r="154" hidden="1" spans="1:14">
      <c r="A154">
        <v>4303</v>
      </c>
      <c r="B154" t="s">
        <v>73</v>
      </c>
      <c r="C154" t="s">
        <v>68</v>
      </c>
      <c r="E154">
        <v>-6.95501</v>
      </c>
      <c r="F154">
        <v>28.3337</v>
      </c>
      <c r="G154">
        <v>92984.74</v>
      </c>
      <c r="H154" s="1">
        <v>42293</v>
      </c>
      <c r="I154" s="1">
        <v>42305</v>
      </c>
      <c r="J154" t="s">
        <v>15</v>
      </c>
      <c r="K154">
        <v>0</v>
      </c>
      <c r="L154">
        <v>3000</v>
      </c>
      <c r="M154" t="s">
        <v>52</v>
      </c>
      <c r="N154">
        <v>1</v>
      </c>
    </row>
    <row r="155" hidden="1" spans="1:14">
      <c r="A155">
        <v>4604</v>
      </c>
      <c r="C155" t="s">
        <v>68</v>
      </c>
      <c r="E155">
        <v>3.21457</v>
      </c>
      <c r="F155">
        <v>33.9069</v>
      </c>
      <c r="G155">
        <v>132888.7</v>
      </c>
      <c r="H155" s="1">
        <v>43214</v>
      </c>
      <c r="I155" s="1">
        <v>43218</v>
      </c>
      <c r="J155" t="s">
        <v>56</v>
      </c>
      <c r="K155">
        <v>6</v>
      </c>
      <c r="L155">
        <v>200</v>
      </c>
      <c r="M155" t="s">
        <v>52</v>
      </c>
      <c r="N155">
        <v>1.5</v>
      </c>
    </row>
    <row r="156" hidden="1" spans="1:14">
      <c r="A156">
        <v>4660</v>
      </c>
      <c r="C156" t="s">
        <v>68</v>
      </c>
      <c r="E156">
        <v>6.40648</v>
      </c>
      <c r="F156">
        <v>22.972</v>
      </c>
      <c r="G156">
        <v>349302.36</v>
      </c>
      <c r="H156" s="1">
        <v>43314</v>
      </c>
      <c r="I156" s="1">
        <v>43321</v>
      </c>
      <c r="J156" t="s">
        <v>56</v>
      </c>
      <c r="K156">
        <v>5</v>
      </c>
      <c r="L156">
        <v>0</v>
      </c>
      <c r="M156" t="s">
        <v>49</v>
      </c>
      <c r="N156">
        <v>1.5</v>
      </c>
    </row>
    <row r="157" hidden="1" spans="1:14">
      <c r="A157">
        <v>4791</v>
      </c>
      <c r="C157" t="s">
        <v>68</v>
      </c>
      <c r="E157">
        <v>7.82923</v>
      </c>
      <c r="F157">
        <v>36.8552</v>
      </c>
      <c r="G157">
        <v>1566.33</v>
      </c>
      <c r="H157" s="1">
        <v>43709</v>
      </c>
      <c r="I157" s="1">
        <v>43710</v>
      </c>
      <c r="J157" t="s">
        <v>56</v>
      </c>
      <c r="K157">
        <v>0</v>
      </c>
      <c r="L157">
        <v>40</v>
      </c>
      <c r="M157" t="s">
        <v>52</v>
      </c>
      <c r="N157">
        <v>1</v>
      </c>
    </row>
    <row r="158" hidden="1" spans="1:14">
      <c r="A158">
        <v>4917</v>
      </c>
      <c r="C158" t="s">
        <v>68</v>
      </c>
      <c r="E158">
        <v>12.6666</v>
      </c>
      <c r="F158">
        <v>31.6837</v>
      </c>
      <c r="G158">
        <v>91355.8</v>
      </c>
      <c r="H158" s="1">
        <v>43967</v>
      </c>
      <c r="I158" s="1">
        <v>43969</v>
      </c>
      <c r="J158" t="s">
        <v>58</v>
      </c>
      <c r="K158">
        <v>1</v>
      </c>
      <c r="L158">
        <v>0</v>
      </c>
      <c r="M158" t="s">
        <v>49</v>
      </c>
      <c r="N158">
        <v>1</v>
      </c>
    </row>
    <row r="159" hidden="1" spans="1:14">
      <c r="A159">
        <v>5001</v>
      </c>
      <c r="C159" t="s">
        <v>68</v>
      </c>
      <c r="E159">
        <v>5.84975</v>
      </c>
      <c r="F159">
        <v>36.6641</v>
      </c>
      <c r="G159">
        <v>3413.08</v>
      </c>
      <c r="H159" s="1">
        <v>44186</v>
      </c>
      <c r="I159" s="1">
        <v>44189</v>
      </c>
      <c r="J159" t="s">
        <v>56</v>
      </c>
      <c r="K159">
        <v>0</v>
      </c>
      <c r="L159">
        <v>0</v>
      </c>
      <c r="M159" t="s">
        <v>52</v>
      </c>
      <c r="N159">
        <v>1</v>
      </c>
    </row>
    <row r="160" hidden="1" spans="1:14">
      <c r="A160">
        <v>5039</v>
      </c>
      <c r="C160" t="s">
        <v>68</v>
      </c>
      <c r="E160">
        <v>1.64336</v>
      </c>
      <c r="F160">
        <v>35.3023</v>
      </c>
      <c r="G160">
        <v>87378.85</v>
      </c>
      <c r="H160" s="1">
        <v>44261</v>
      </c>
      <c r="I160" s="1">
        <v>44262</v>
      </c>
      <c r="J160" t="s">
        <v>56</v>
      </c>
      <c r="K160">
        <v>10</v>
      </c>
      <c r="L160">
        <v>0</v>
      </c>
      <c r="M160" t="s">
        <v>52</v>
      </c>
      <c r="N160">
        <v>1.5</v>
      </c>
    </row>
    <row r="161" hidden="1" spans="1:14">
      <c r="A161">
        <v>5070</v>
      </c>
      <c r="C161" t="s">
        <v>68</v>
      </c>
      <c r="E161">
        <v>5.78789</v>
      </c>
      <c r="F161">
        <v>35.7154</v>
      </c>
      <c r="G161">
        <v>35276.97</v>
      </c>
      <c r="H161" s="1">
        <v>44326</v>
      </c>
      <c r="I161" s="1">
        <v>44330</v>
      </c>
      <c r="J161" t="s">
        <v>74</v>
      </c>
      <c r="K161">
        <v>0</v>
      </c>
      <c r="L161">
        <v>0</v>
      </c>
      <c r="M161" t="s">
        <v>49</v>
      </c>
      <c r="N161">
        <v>1</v>
      </c>
    </row>
    <row r="162" hidden="1" spans="1:14">
      <c r="A162">
        <v>1824</v>
      </c>
      <c r="B162">
        <v>0</v>
      </c>
      <c r="C162" t="s">
        <v>75</v>
      </c>
      <c r="D162">
        <v>0</v>
      </c>
      <c r="E162">
        <v>3.06793</v>
      </c>
      <c r="F162">
        <v>36.6831</v>
      </c>
      <c r="G162">
        <v>977.076</v>
      </c>
      <c r="H162" s="1">
        <v>37205</v>
      </c>
      <c r="I162" s="1">
        <v>37209</v>
      </c>
      <c r="J162" t="s">
        <v>15</v>
      </c>
      <c r="K162">
        <v>711</v>
      </c>
      <c r="L162">
        <v>24000</v>
      </c>
      <c r="M162" t="s">
        <v>16</v>
      </c>
      <c r="N162">
        <v>2</v>
      </c>
    </row>
    <row r="163" hidden="1" spans="1:14">
      <c r="A163">
        <v>2233</v>
      </c>
      <c r="B163">
        <v>0</v>
      </c>
      <c r="C163" t="s">
        <v>76</v>
      </c>
      <c r="D163">
        <v>0</v>
      </c>
      <c r="E163">
        <v>-170.682</v>
      </c>
      <c r="F163">
        <v>-14.3155</v>
      </c>
      <c r="G163">
        <v>174.444</v>
      </c>
      <c r="H163" s="1">
        <v>37759</v>
      </c>
      <c r="I163" s="1">
        <v>37760</v>
      </c>
      <c r="J163" t="s">
        <v>15</v>
      </c>
      <c r="K163">
        <v>4</v>
      </c>
      <c r="L163">
        <v>0</v>
      </c>
      <c r="M163" t="s">
        <v>16</v>
      </c>
      <c r="N163">
        <v>1</v>
      </c>
    </row>
    <row r="164" hidden="1" spans="1:14">
      <c r="A164">
        <v>3549</v>
      </c>
      <c r="B164" t="s">
        <v>77</v>
      </c>
      <c r="C164" t="s">
        <v>76</v>
      </c>
      <c r="E164">
        <v>-173.454</v>
      </c>
      <c r="F164">
        <v>-13.8358</v>
      </c>
      <c r="G164">
        <v>207343.45</v>
      </c>
      <c r="H164" s="1">
        <v>40085</v>
      </c>
      <c r="I164" s="1">
        <v>40085</v>
      </c>
      <c r="J164">
        <v>0</v>
      </c>
      <c r="K164">
        <v>100</v>
      </c>
      <c r="L164">
        <v>0</v>
      </c>
      <c r="M164" t="s">
        <v>78</v>
      </c>
      <c r="N164">
        <v>2</v>
      </c>
    </row>
    <row r="165" hidden="1" spans="1:14">
      <c r="A165">
        <v>1582</v>
      </c>
      <c r="B165">
        <v>0</v>
      </c>
      <c r="C165" t="s">
        <v>79</v>
      </c>
      <c r="D165">
        <v>0</v>
      </c>
      <c r="E165">
        <v>13.2462</v>
      </c>
      <c r="F165">
        <v>-14.1452</v>
      </c>
      <c r="G165">
        <v>47260.45</v>
      </c>
      <c r="H165" s="1">
        <v>36533</v>
      </c>
      <c r="I165" s="1">
        <v>36540</v>
      </c>
      <c r="J165" t="s">
        <v>15</v>
      </c>
      <c r="K165">
        <v>31</v>
      </c>
      <c r="L165">
        <v>70000</v>
      </c>
      <c r="M165" t="s">
        <v>16</v>
      </c>
      <c r="N165">
        <v>1</v>
      </c>
    </row>
    <row r="166" hidden="1" spans="1:14">
      <c r="A166">
        <v>2110</v>
      </c>
      <c r="B166">
        <v>0</v>
      </c>
      <c r="C166" t="s">
        <v>79</v>
      </c>
      <c r="D166">
        <v>0</v>
      </c>
      <c r="E166">
        <v>13.3141</v>
      </c>
      <c r="F166">
        <v>-8.95956</v>
      </c>
      <c r="G166">
        <v>2796.27</v>
      </c>
      <c r="H166" s="1">
        <v>37613</v>
      </c>
      <c r="I166" s="1">
        <v>37615</v>
      </c>
      <c r="J166" t="s">
        <v>15</v>
      </c>
      <c r="K166">
        <v>4</v>
      </c>
      <c r="L166">
        <v>40</v>
      </c>
      <c r="M166" t="s">
        <v>16</v>
      </c>
      <c r="N166">
        <v>1</v>
      </c>
    </row>
    <row r="167" hidden="1" spans="1:14">
      <c r="A167">
        <v>2162</v>
      </c>
      <c r="B167">
        <v>0</v>
      </c>
      <c r="C167" t="s">
        <v>79</v>
      </c>
      <c r="D167">
        <v>0</v>
      </c>
      <c r="E167">
        <v>18.0146</v>
      </c>
      <c r="F167">
        <v>-10.4392</v>
      </c>
      <c r="G167">
        <v>115312.47</v>
      </c>
      <c r="H167" s="1">
        <v>37658</v>
      </c>
      <c r="I167" s="1">
        <v>37672</v>
      </c>
      <c r="J167" t="s">
        <v>15</v>
      </c>
      <c r="K167">
        <v>0</v>
      </c>
      <c r="L167">
        <v>0</v>
      </c>
      <c r="M167" t="s">
        <v>16</v>
      </c>
      <c r="N167">
        <v>1</v>
      </c>
    </row>
    <row r="168" hidden="1" spans="1:14">
      <c r="A168">
        <v>2425</v>
      </c>
      <c r="B168">
        <v>0</v>
      </c>
      <c r="C168" t="s">
        <v>79</v>
      </c>
      <c r="D168" t="s">
        <v>80</v>
      </c>
      <c r="E168">
        <v>15.2262</v>
      </c>
      <c r="F168">
        <v>-16.048</v>
      </c>
      <c r="G168">
        <v>75082.68</v>
      </c>
      <c r="H168" s="1">
        <v>38013</v>
      </c>
      <c r="I168" s="1">
        <v>38047</v>
      </c>
      <c r="J168" t="s">
        <v>15</v>
      </c>
      <c r="K168">
        <v>0</v>
      </c>
      <c r="L168">
        <v>0</v>
      </c>
      <c r="M168" t="s">
        <v>16</v>
      </c>
      <c r="N168">
        <v>1</v>
      </c>
    </row>
    <row r="169" hidden="1" spans="1:14">
      <c r="A169">
        <v>2602</v>
      </c>
      <c r="B169">
        <v>0</v>
      </c>
      <c r="C169" t="s">
        <v>79</v>
      </c>
      <c r="D169">
        <v>0</v>
      </c>
      <c r="E169">
        <v>14.649</v>
      </c>
      <c r="F169">
        <v>-9.68549</v>
      </c>
      <c r="G169">
        <v>2662.82</v>
      </c>
      <c r="H169" s="1">
        <v>38339</v>
      </c>
      <c r="I169" s="1">
        <v>38340</v>
      </c>
      <c r="J169" t="s">
        <v>15</v>
      </c>
      <c r="K169">
        <v>1</v>
      </c>
      <c r="L169">
        <v>2000</v>
      </c>
      <c r="M169" t="s">
        <v>16</v>
      </c>
      <c r="N169">
        <v>1</v>
      </c>
    </row>
    <row r="170" hidden="1" spans="1:14">
      <c r="A170">
        <v>2620</v>
      </c>
      <c r="B170">
        <v>0</v>
      </c>
      <c r="C170" t="s">
        <v>79</v>
      </c>
      <c r="D170">
        <v>0</v>
      </c>
      <c r="E170">
        <v>17.1667</v>
      </c>
      <c r="F170">
        <v>-10.734</v>
      </c>
      <c r="G170">
        <v>118198.38</v>
      </c>
      <c r="H170" s="1">
        <v>38379</v>
      </c>
      <c r="I170" s="1">
        <v>38439</v>
      </c>
      <c r="J170" t="s">
        <v>15</v>
      </c>
      <c r="K170">
        <v>0</v>
      </c>
      <c r="L170">
        <v>10000</v>
      </c>
      <c r="M170" t="s">
        <v>16</v>
      </c>
      <c r="N170">
        <v>1</v>
      </c>
    </row>
    <row r="171" hidden="1" spans="1:14">
      <c r="A171">
        <v>3022</v>
      </c>
      <c r="B171" t="s">
        <v>81</v>
      </c>
      <c r="C171" t="s">
        <v>79</v>
      </c>
      <c r="D171">
        <v>0</v>
      </c>
      <c r="E171">
        <v>13.3551</v>
      </c>
      <c r="F171">
        <v>-8.87421</v>
      </c>
      <c r="G171">
        <v>1596.31</v>
      </c>
      <c r="H171" s="1">
        <v>39099</v>
      </c>
      <c r="I171" s="1">
        <v>39108</v>
      </c>
      <c r="J171" t="s">
        <v>15</v>
      </c>
      <c r="K171">
        <v>81</v>
      </c>
      <c r="L171">
        <v>40000</v>
      </c>
      <c r="M171" t="s">
        <v>16</v>
      </c>
      <c r="N171">
        <v>1</v>
      </c>
    </row>
    <row r="172" hidden="1" spans="1:14">
      <c r="A172">
        <v>3454</v>
      </c>
      <c r="B172">
        <v>0</v>
      </c>
      <c r="C172" t="s">
        <v>79</v>
      </c>
      <c r="D172">
        <v>0</v>
      </c>
      <c r="E172">
        <v>14.1475</v>
      </c>
      <c r="F172">
        <v>-9.84036</v>
      </c>
      <c r="G172">
        <v>61811.59</v>
      </c>
      <c r="H172" s="1">
        <v>39859</v>
      </c>
      <c r="I172" s="1">
        <v>39861</v>
      </c>
      <c r="J172" t="s">
        <v>15</v>
      </c>
      <c r="K172">
        <v>1</v>
      </c>
      <c r="L172">
        <v>300</v>
      </c>
      <c r="M172" t="s">
        <v>49</v>
      </c>
      <c r="N172">
        <v>1</v>
      </c>
    </row>
    <row r="173" hidden="1" spans="1:14">
      <c r="A173">
        <v>3462</v>
      </c>
      <c r="B173" t="s">
        <v>82</v>
      </c>
      <c r="C173" t="s">
        <v>79</v>
      </c>
      <c r="D173">
        <v>0</v>
      </c>
      <c r="E173">
        <v>16.6784</v>
      </c>
      <c r="F173">
        <v>-17.076</v>
      </c>
      <c r="G173">
        <v>187933.27</v>
      </c>
      <c r="H173" s="1">
        <v>39876</v>
      </c>
      <c r="I173" s="1">
        <v>39881</v>
      </c>
      <c r="J173" t="s">
        <v>15</v>
      </c>
      <c r="K173">
        <v>0</v>
      </c>
      <c r="L173">
        <v>0</v>
      </c>
      <c r="M173" t="s">
        <v>49</v>
      </c>
      <c r="N173">
        <v>1</v>
      </c>
    </row>
    <row r="174" hidden="1" spans="1:14">
      <c r="A174">
        <v>3623</v>
      </c>
      <c r="B174" t="s">
        <v>83</v>
      </c>
      <c r="C174" t="s">
        <v>79</v>
      </c>
      <c r="D174">
        <v>0</v>
      </c>
      <c r="E174">
        <v>17.2457</v>
      </c>
      <c r="F174">
        <v>-16.1122</v>
      </c>
      <c r="G174">
        <v>274099.2</v>
      </c>
      <c r="H174" s="1">
        <v>40238</v>
      </c>
      <c r="I174" s="1">
        <v>40268</v>
      </c>
      <c r="J174">
        <v>0</v>
      </c>
      <c r="K174">
        <v>12</v>
      </c>
      <c r="L174">
        <v>11500</v>
      </c>
      <c r="M174" t="s">
        <v>49</v>
      </c>
      <c r="N174">
        <v>1</v>
      </c>
    </row>
    <row r="175" hidden="1" spans="1:14">
      <c r="A175">
        <v>3891</v>
      </c>
      <c r="C175" t="s">
        <v>79</v>
      </c>
      <c r="E175">
        <v>15.4558</v>
      </c>
      <c r="F175">
        <v>-6.28412</v>
      </c>
      <c r="G175">
        <v>45582.67</v>
      </c>
      <c r="H175" s="1">
        <v>40892</v>
      </c>
      <c r="I175" s="1">
        <v>40917</v>
      </c>
      <c r="J175" t="s">
        <v>15</v>
      </c>
      <c r="K175">
        <v>0</v>
      </c>
      <c r="L175">
        <v>5500</v>
      </c>
      <c r="M175" t="s">
        <v>49</v>
      </c>
      <c r="N175">
        <v>1</v>
      </c>
    </row>
    <row r="176" hidden="1" spans="1:14">
      <c r="A176">
        <v>4232</v>
      </c>
      <c r="C176" t="s">
        <v>79</v>
      </c>
      <c r="E176">
        <v>13.879</v>
      </c>
      <c r="F176">
        <v>-12.1145</v>
      </c>
      <c r="G176">
        <v>12133.31</v>
      </c>
      <c r="H176" s="1">
        <v>42072</v>
      </c>
      <c r="I176" s="1">
        <v>42086</v>
      </c>
      <c r="J176" t="s">
        <v>15</v>
      </c>
      <c r="K176">
        <v>60</v>
      </c>
      <c r="L176">
        <v>1000</v>
      </c>
      <c r="M176" t="s">
        <v>52</v>
      </c>
      <c r="N176">
        <v>1.5</v>
      </c>
    </row>
    <row r="177" hidden="1" spans="1:14">
      <c r="A177">
        <v>4233</v>
      </c>
      <c r="C177" t="s">
        <v>79</v>
      </c>
      <c r="E177">
        <v>13.6811</v>
      </c>
      <c r="F177">
        <v>-8.81664</v>
      </c>
      <c r="G177">
        <v>10252.79</v>
      </c>
      <c r="H177" s="1">
        <v>42072</v>
      </c>
      <c r="I177" s="1">
        <v>42086</v>
      </c>
      <c r="J177" t="s">
        <v>15</v>
      </c>
      <c r="K177">
        <v>0</v>
      </c>
      <c r="L177">
        <v>1000</v>
      </c>
      <c r="M177" t="s">
        <v>52</v>
      </c>
      <c r="N177">
        <v>1.5</v>
      </c>
    </row>
    <row r="178" hidden="1" spans="1:14">
      <c r="A178">
        <v>4333</v>
      </c>
      <c r="C178" t="s">
        <v>79</v>
      </c>
      <c r="E178">
        <v>16.0564</v>
      </c>
      <c r="F178">
        <v>-11.5936</v>
      </c>
      <c r="G178">
        <v>277015.44</v>
      </c>
      <c r="H178" s="1">
        <v>42430</v>
      </c>
      <c r="I178" s="1">
        <v>42439</v>
      </c>
      <c r="J178" t="s">
        <v>15</v>
      </c>
      <c r="K178">
        <v>30</v>
      </c>
      <c r="L178">
        <v>1544</v>
      </c>
      <c r="M178" t="s">
        <v>49</v>
      </c>
      <c r="N178">
        <v>1</v>
      </c>
    </row>
    <row r="179" hidden="1" spans="1:14">
      <c r="A179">
        <v>4351</v>
      </c>
      <c r="C179" t="s">
        <v>79</v>
      </c>
      <c r="E179">
        <v>13.978</v>
      </c>
      <c r="F179">
        <v>-8.32104</v>
      </c>
      <c r="G179">
        <v>59745.82</v>
      </c>
      <c r="H179" s="1">
        <v>42479</v>
      </c>
      <c r="I179" s="1">
        <v>42482</v>
      </c>
      <c r="J179" t="s">
        <v>15</v>
      </c>
      <c r="K179">
        <v>19</v>
      </c>
      <c r="L179">
        <v>3200</v>
      </c>
      <c r="M179" t="s">
        <v>49</v>
      </c>
      <c r="N179">
        <v>1</v>
      </c>
    </row>
    <row r="180" hidden="1" spans="1:14">
      <c r="A180">
        <v>4457</v>
      </c>
      <c r="C180" t="s">
        <v>79</v>
      </c>
      <c r="E180">
        <v>13.6563</v>
      </c>
      <c r="F180">
        <v>-8.71752</v>
      </c>
      <c r="G180">
        <v>24002.58</v>
      </c>
      <c r="H180" s="1">
        <v>42815</v>
      </c>
      <c r="I180" s="1">
        <v>42833</v>
      </c>
      <c r="J180" t="s">
        <v>15</v>
      </c>
      <c r="K180">
        <v>11</v>
      </c>
      <c r="L180">
        <v>344</v>
      </c>
      <c r="M180" t="s">
        <v>49</v>
      </c>
      <c r="N180">
        <v>1</v>
      </c>
    </row>
    <row r="181" hidden="1" spans="1:14">
      <c r="A181">
        <v>4586</v>
      </c>
      <c r="C181" t="s">
        <v>79</v>
      </c>
      <c r="E181">
        <v>16.007</v>
      </c>
      <c r="F181">
        <v>-11.2471</v>
      </c>
      <c r="G181">
        <v>462991.06</v>
      </c>
      <c r="H181" s="1">
        <v>43160</v>
      </c>
      <c r="I181" s="1">
        <v>43173</v>
      </c>
      <c r="J181" t="s">
        <v>56</v>
      </c>
      <c r="K181">
        <v>8</v>
      </c>
      <c r="L181">
        <v>3000</v>
      </c>
      <c r="M181" t="s">
        <v>49</v>
      </c>
      <c r="N181">
        <v>1.5</v>
      </c>
    </row>
    <row r="182" hidden="1" spans="1:14">
      <c r="A182">
        <v>4838</v>
      </c>
      <c r="C182" t="s">
        <v>79</v>
      </c>
      <c r="E182">
        <v>14.3491</v>
      </c>
      <c r="F182">
        <v>-8.58141</v>
      </c>
      <c r="G182">
        <v>78864.62</v>
      </c>
      <c r="H182" s="1">
        <v>43833</v>
      </c>
      <c r="I182" s="1">
        <v>43835</v>
      </c>
      <c r="J182" t="s">
        <v>56</v>
      </c>
      <c r="K182">
        <v>0</v>
      </c>
      <c r="L182">
        <v>1250</v>
      </c>
      <c r="M182" t="s">
        <v>49</v>
      </c>
      <c r="N182">
        <v>1</v>
      </c>
    </row>
    <row r="183" hidden="1" spans="1:14">
      <c r="A183">
        <v>4880</v>
      </c>
      <c r="C183" t="s">
        <v>79</v>
      </c>
      <c r="E183">
        <v>15.6605</v>
      </c>
      <c r="F183">
        <v>-10.5036</v>
      </c>
      <c r="G183">
        <v>157818.46</v>
      </c>
      <c r="H183" s="1">
        <v>43898</v>
      </c>
      <c r="I183" s="1">
        <v>43907</v>
      </c>
      <c r="J183" t="s">
        <v>56</v>
      </c>
      <c r="K183">
        <v>2</v>
      </c>
      <c r="L183">
        <v>1700</v>
      </c>
      <c r="M183" t="s">
        <v>49</v>
      </c>
      <c r="N183">
        <v>1.5</v>
      </c>
    </row>
    <row r="184" hidden="1" spans="1:14">
      <c r="A184">
        <v>4906</v>
      </c>
      <c r="C184" t="s">
        <v>79</v>
      </c>
      <c r="E184">
        <v>14.2007</v>
      </c>
      <c r="F184">
        <v>-9.13908</v>
      </c>
      <c r="G184">
        <v>77631.98</v>
      </c>
      <c r="H184" s="1">
        <v>43939</v>
      </c>
      <c r="I184" s="1">
        <v>43945</v>
      </c>
      <c r="J184" t="s">
        <v>56</v>
      </c>
      <c r="K184">
        <v>11</v>
      </c>
      <c r="L184">
        <v>90</v>
      </c>
      <c r="M184" t="s">
        <v>49</v>
      </c>
      <c r="N184">
        <v>1.5</v>
      </c>
    </row>
    <row r="185" hidden="1" spans="1:14">
      <c r="A185">
        <v>5046</v>
      </c>
      <c r="C185" t="s">
        <v>79</v>
      </c>
      <c r="E185">
        <v>13.8295</v>
      </c>
      <c r="F185">
        <v>-9.46143</v>
      </c>
      <c r="G185">
        <v>33405.41</v>
      </c>
      <c r="H185" s="1">
        <v>44271</v>
      </c>
      <c r="I185" s="1">
        <v>44274</v>
      </c>
      <c r="J185" t="s">
        <v>56</v>
      </c>
      <c r="K185">
        <v>4</v>
      </c>
      <c r="L185">
        <v>0</v>
      </c>
      <c r="M185" t="s">
        <v>52</v>
      </c>
      <c r="N185">
        <v>1.5</v>
      </c>
    </row>
    <row r="186" hidden="1" spans="1:14">
      <c r="A186">
        <v>5059</v>
      </c>
      <c r="C186" t="s">
        <v>79</v>
      </c>
      <c r="E186">
        <v>13.78</v>
      </c>
      <c r="F186">
        <v>-9.28778</v>
      </c>
      <c r="G186">
        <v>33667.66</v>
      </c>
      <c r="H186" s="1">
        <v>44305</v>
      </c>
      <c r="I186" s="1">
        <v>44316</v>
      </c>
      <c r="J186" t="s">
        <v>56</v>
      </c>
      <c r="K186">
        <v>14</v>
      </c>
      <c r="L186">
        <v>8165</v>
      </c>
      <c r="M186" t="s">
        <v>49</v>
      </c>
      <c r="N186">
        <v>1.5</v>
      </c>
    </row>
    <row r="187" hidden="1" spans="1:14">
      <c r="A187">
        <v>1709</v>
      </c>
      <c r="B187">
        <v>0</v>
      </c>
      <c r="C187" t="s">
        <v>84</v>
      </c>
      <c r="D187">
        <v>0</v>
      </c>
      <c r="E187">
        <v>12.4762</v>
      </c>
      <c r="F187">
        <v>-14.9381</v>
      </c>
      <c r="G187">
        <v>24779.7</v>
      </c>
      <c r="H187" s="1">
        <v>36983</v>
      </c>
      <c r="I187" s="1">
        <v>36990</v>
      </c>
      <c r="J187" t="s">
        <v>15</v>
      </c>
      <c r="K187">
        <v>20</v>
      </c>
      <c r="L187">
        <v>15800</v>
      </c>
      <c r="M187" t="s">
        <v>16</v>
      </c>
      <c r="N187">
        <v>1</v>
      </c>
    </row>
    <row r="188" hidden="1" spans="1:14">
      <c r="A188">
        <v>1711</v>
      </c>
      <c r="B188">
        <v>0</v>
      </c>
      <c r="C188" t="s">
        <v>84</v>
      </c>
      <c r="D188">
        <v>0</v>
      </c>
      <c r="E188">
        <v>13.5079</v>
      </c>
      <c r="F188">
        <v>-9.01065</v>
      </c>
      <c r="G188">
        <v>7432.76</v>
      </c>
      <c r="H188" s="1">
        <v>36995</v>
      </c>
      <c r="I188" s="1">
        <v>36996</v>
      </c>
      <c r="J188" t="s">
        <v>15</v>
      </c>
      <c r="K188">
        <v>18</v>
      </c>
      <c r="L188">
        <v>300</v>
      </c>
      <c r="M188" t="s">
        <v>16</v>
      </c>
      <c r="N188">
        <v>1</v>
      </c>
    </row>
    <row r="189" hidden="1" spans="1:14">
      <c r="A189">
        <v>369</v>
      </c>
      <c r="B189">
        <v>0</v>
      </c>
      <c r="C189" t="s">
        <v>85</v>
      </c>
      <c r="D189">
        <v>0</v>
      </c>
      <c r="E189">
        <v>-62.9478</v>
      </c>
      <c r="F189">
        <v>17.5697</v>
      </c>
      <c r="G189">
        <v>6052.93</v>
      </c>
      <c r="H189" s="1">
        <v>32769</v>
      </c>
      <c r="I189" s="1">
        <v>32772</v>
      </c>
      <c r="J189" t="s">
        <v>15</v>
      </c>
      <c r="K189">
        <v>14</v>
      </c>
      <c r="L189">
        <v>50000</v>
      </c>
      <c r="M189" t="s">
        <v>86</v>
      </c>
      <c r="N189">
        <v>1</v>
      </c>
    </row>
    <row r="190" hidden="1" spans="1:14">
      <c r="A190">
        <v>22</v>
      </c>
      <c r="B190">
        <v>0</v>
      </c>
      <c r="C190" t="s">
        <v>87</v>
      </c>
      <c r="D190">
        <v>0</v>
      </c>
      <c r="E190">
        <v>-58.9735</v>
      </c>
      <c r="F190">
        <v>-35.4392</v>
      </c>
      <c r="G190">
        <v>78653.41</v>
      </c>
      <c r="H190" s="1">
        <v>31197</v>
      </c>
      <c r="I190" s="1">
        <v>31199</v>
      </c>
      <c r="J190" t="s">
        <v>15</v>
      </c>
      <c r="K190">
        <v>25</v>
      </c>
      <c r="L190">
        <v>100000</v>
      </c>
      <c r="M190" t="s">
        <v>16</v>
      </c>
      <c r="N190">
        <v>2</v>
      </c>
    </row>
    <row r="191" hidden="1" spans="1:14">
      <c r="A191">
        <v>117</v>
      </c>
      <c r="B191">
        <v>0</v>
      </c>
      <c r="C191" t="s">
        <v>87</v>
      </c>
      <c r="E191">
        <v>-60.2051</v>
      </c>
      <c r="F191">
        <v>-24.152</v>
      </c>
      <c r="G191">
        <v>224545.66</v>
      </c>
      <c r="H191" s="1">
        <v>31792</v>
      </c>
      <c r="I191" s="1">
        <v>31813</v>
      </c>
      <c r="J191" t="s">
        <v>15</v>
      </c>
      <c r="K191">
        <v>7</v>
      </c>
      <c r="L191">
        <v>9000</v>
      </c>
      <c r="M191" t="s">
        <v>64</v>
      </c>
      <c r="N191">
        <v>1</v>
      </c>
    </row>
    <row r="192" hidden="1" spans="1:14">
      <c r="A192">
        <v>615</v>
      </c>
      <c r="B192">
        <v>0</v>
      </c>
      <c r="C192" t="s">
        <v>87</v>
      </c>
      <c r="D192">
        <v>0</v>
      </c>
      <c r="E192">
        <v>-61.7282</v>
      </c>
      <c r="F192">
        <v>-31.3961</v>
      </c>
      <c r="G192">
        <v>397322.71</v>
      </c>
      <c r="H192" s="1">
        <v>33608</v>
      </c>
      <c r="I192" s="1">
        <v>33610</v>
      </c>
      <c r="J192" t="s">
        <v>15</v>
      </c>
      <c r="K192">
        <v>53</v>
      </c>
      <c r="L192">
        <v>1800</v>
      </c>
      <c r="M192" t="s">
        <v>18</v>
      </c>
      <c r="N192">
        <v>1</v>
      </c>
    </row>
    <row r="193" hidden="1" spans="1:14">
      <c r="A193">
        <v>624</v>
      </c>
      <c r="B193">
        <v>0</v>
      </c>
      <c r="C193" t="s">
        <v>87</v>
      </c>
      <c r="D193">
        <v>0</v>
      </c>
      <c r="E193">
        <v>-64.546</v>
      </c>
      <c r="F193">
        <v>-27.5982</v>
      </c>
      <c r="G193">
        <v>192706</v>
      </c>
      <c r="H193" s="1">
        <v>33645</v>
      </c>
      <c r="I193" s="1">
        <v>33648</v>
      </c>
      <c r="J193" t="s">
        <v>15</v>
      </c>
      <c r="K193">
        <v>4</v>
      </c>
      <c r="L193">
        <v>12200</v>
      </c>
      <c r="M193" t="s">
        <v>16</v>
      </c>
      <c r="N193">
        <v>2</v>
      </c>
    </row>
    <row r="194" hidden="1" spans="1:14">
      <c r="A194">
        <v>638</v>
      </c>
      <c r="B194">
        <v>0</v>
      </c>
      <c r="C194" t="s">
        <v>87</v>
      </c>
      <c r="D194" t="s">
        <v>88</v>
      </c>
      <c r="E194">
        <v>-55.9395</v>
      </c>
      <c r="F194">
        <v>-28.4099</v>
      </c>
      <c r="G194">
        <v>1347809.74</v>
      </c>
      <c r="H194" s="1">
        <v>33695</v>
      </c>
      <c r="I194" s="1">
        <v>33787</v>
      </c>
      <c r="J194" t="s">
        <v>15</v>
      </c>
      <c r="K194">
        <v>37</v>
      </c>
      <c r="L194">
        <v>305992</v>
      </c>
      <c r="M194" t="s">
        <v>16</v>
      </c>
      <c r="N194">
        <v>2</v>
      </c>
    </row>
    <row r="195" hidden="1" spans="1:14">
      <c r="A195">
        <v>931</v>
      </c>
      <c r="B195">
        <v>0</v>
      </c>
      <c r="C195" t="s">
        <v>87</v>
      </c>
      <c r="D195">
        <v>0</v>
      </c>
      <c r="E195">
        <v>-63.8184</v>
      </c>
      <c r="F195">
        <v>-32.2627</v>
      </c>
      <c r="G195">
        <v>155950.18</v>
      </c>
      <c r="H195" s="1">
        <v>34714</v>
      </c>
      <c r="I195" s="1">
        <v>34719</v>
      </c>
      <c r="J195" t="s">
        <v>15</v>
      </c>
      <c r="K195">
        <v>7</v>
      </c>
      <c r="L195">
        <v>1000</v>
      </c>
      <c r="M195" t="s">
        <v>16</v>
      </c>
      <c r="N195">
        <v>1</v>
      </c>
    </row>
    <row r="196" hidden="1" spans="1:14">
      <c r="A196">
        <v>942</v>
      </c>
      <c r="B196">
        <v>0</v>
      </c>
      <c r="C196" t="s">
        <v>87</v>
      </c>
      <c r="D196">
        <v>0</v>
      </c>
      <c r="E196">
        <v>-60.068</v>
      </c>
      <c r="F196">
        <v>-37.1326</v>
      </c>
      <c r="G196">
        <v>303423.64</v>
      </c>
      <c r="H196" s="1">
        <v>34795</v>
      </c>
      <c r="I196" s="1">
        <v>34800</v>
      </c>
      <c r="J196" t="s">
        <v>15</v>
      </c>
      <c r="K196">
        <v>6</v>
      </c>
      <c r="L196">
        <v>6000</v>
      </c>
      <c r="M196" t="s">
        <v>16</v>
      </c>
      <c r="N196">
        <v>2</v>
      </c>
    </row>
    <row r="197" hidden="1" spans="1:14">
      <c r="A197">
        <v>1293</v>
      </c>
      <c r="B197">
        <v>0</v>
      </c>
      <c r="C197" t="s">
        <v>87</v>
      </c>
      <c r="D197">
        <v>0</v>
      </c>
      <c r="E197">
        <v>-63.4357</v>
      </c>
      <c r="F197">
        <v>-32.7208</v>
      </c>
      <c r="G197">
        <v>325475.47</v>
      </c>
      <c r="H197" s="1">
        <v>35773</v>
      </c>
      <c r="I197" s="1">
        <v>35778</v>
      </c>
      <c r="J197" t="s">
        <v>15</v>
      </c>
      <c r="K197">
        <v>2</v>
      </c>
      <c r="L197">
        <v>1000</v>
      </c>
      <c r="M197" t="s">
        <v>16</v>
      </c>
      <c r="N197">
        <v>1</v>
      </c>
    </row>
    <row r="198" hidden="1" spans="1:14">
      <c r="A198">
        <v>1334</v>
      </c>
      <c r="B198">
        <v>0</v>
      </c>
      <c r="C198" t="s">
        <v>87</v>
      </c>
      <c r="D198" t="s">
        <v>89</v>
      </c>
      <c r="E198">
        <v>-60.1238</v>
      </c>
      <c r="F198">
        <v>-25.0627</v>
      </c>
      <c r="G198">
        <v>541026.68</v>
      </c>
      <c r="H198" s="1">
        <v>35899</v>
      </c>
      <c r="I198" s="1">
        <v>35925</v>
      </c>
      <c r="J198" t="s">
        <v>15</v>
      </c>
      <c r="K198">
        <v>68</v>
      </c>
      <c r="L198">
        <v>700000</v>
      </c>
      <c r="M198" t="s">
        <v>16</v>
      </c>
      <c r="N198">
        <v>2</v>
      </c>
    </row>
    <row r="199" hidden="1" spans="1:14">
      <c r="A199">
        <v>1810</v>
      </c>
      <c r="B199">
        <v>0</v>
      </c>
      <c r="C199" t="s">
        <v>87</v>
      </c>
      <c r="D199">
        <v>0</v>
      </c>
      <c r="E199">
        <v>-61.2148</v>
      </c>
      <c r="F199">
        <v>-32.8972</v>
      </c>
      <c r="G199">
        <v>627890.77</v>
      </c>
      <c r="H199" s="1">
        <v>37165</v>
      </c>
      <c r="I199" s="1">
        <v>37226</v>
      </c>
      <c r="J199" t="s">
        <v>15</v>
      </c>
      <c r="K199">
        <v>2</v>
      </c>
      <c r="L199">
        <v>14500</v>
      </c>
      <c r="M199" t="s">
        <v>16</v>
      </c>
      <c r="N199">
        <v>2</v>
      </c>
    </row>
    <row r="200" hidden="1" spans="1:14">
      <c r="A200">
        <v>2070</v>
      </c>
      <c r="B200">
        <v>0</v>
      </c>
      <c r="C200" t="s">
        <v>87</v>
      </c>
      <c r="D200" t="s">
        <v>90</v>
      </c>
      <c r="E200">
        <v>-60.1011</v>
      </c>
      <c r="F200">
        <v>-31.072</v>
      </c>
      <c r="G200">
        <v>283687.64</v>
      </c>
      <c r="H200" s="1">
        <v>37541</v>
      </c>
      <c r="I200" s="1">
        <v>37562</v>
      </c>
      <c r="J200" t="s">
        <v>15</v>
      </c>
      <c r="K200">
        <v>7</v>
      </c>
      <c r="L200">
        <v>6000</v>
      </c>
      <c r="M200" t="s">
        <v>16</v>
      </c>
      <c r="N200">
        <v>1</v>
      </c>
    </row>
    <row r="201" hidden="1" spans="1:14">
      <c r="A201">
        <v>2130</v>
      </c>
      <c r="B201">
        <v>0</v>
      </c>
      <c r="C201" t="s">
        <v>87</v>
      </c>
      <c r="D201">
        <v>0</v>
      </c>
      <c r="E201">
        <v>-60.9786</v>
      </c>
      <c r="F201">
        <v>-29.4558</v>
      </c>
      <c r="G201">
        <v>60476.42</v>
      </c>
      <c r="H201" s="1">
        <v>37634</v>
      </c>
      <c r="I201" s="1">
        <v>37652</v>
      </c>
      <c r="J201" t="s">
        <v>15</v>
      </c>
      <c r="K201">
        <v>0</v>
      </c>
      <c r="L201">
        <v>0</v>
      </c>
      <c r="M201" t="s">
        <v>16</v>
      </c>
      <c r="N201">
        <v>1</v>
      </c>
    </row>
    <row r="202" hidden="1" spans="1:14">
      <c r="A202">
        <v>2216</v>
      </c>
      <c r="B202">
        <v>0</v>
      </c>
      <c r="C202" t="s">
        <v>87</v>
      </c>
      <c r="D202">
        <v>0</v>
      </c>
      <c r="E202">
        <v>-60.4971</v>
      </c>
      <c r="F202">
        <v>-31.5791</v>
      </c>
      <c r="G202">
        <v>280039.63</v>
      </c>
      <c r="H202" s="1">
        <v>37739</v>
      </c>
      <c r="I202" s="1">
        <v>37751</v>
      </c>
      <c r="J202" t="s">
        <v>15</v>
      </c>
      <c r="K202">
        <v>24</v>
      </c>
      <c r="L202">
        <v>161500</v>
      </c>
      <c r="M202" t="s">
        <v>16</v>
      </c>
      <c r="N202">
        <v>2</v>
      </c>
    </row>
    <row r="203" hidden="1" spans="1:14">
      <c r="A203">
        <v>2381</v>
      </c>
      <c r="B203">
        <v>0</v>
      </c>
      <c r="C203" t="s">
        <v>87</v>
      </c>
      <c r="D203">
        <v>0</v>
      </c>
      <c r="E203">
        <v>-61.686</v>
      </c>
      <c r="F203">
        <v>-32.7122</v>
      </c>
      <c r="G203">
        <v>297683.26</v>
      </c>
      <c r="H203" s="1">
        <v>37936</v>
      </c>
      <c r="I203" s="1">
        <v>37938</v>
      </c>
      <c r="J203" t="s">
        <v>15</v>
      </c>
      <c r="K203">
        <v>12</v>
      </c>
      <c r="L203">
        <v>900</v>
      </c>
      <c r="M203" t="s">
        <v>16</v>
      </c>
      <c r="N203">
        <v>1</v>
      </c>
    </row>
    <row r="204" hidden="1" spans="1:14">
      <c r="A204">
        <v>2596</v>
      </c>
      <c r="B204">
        <v>0</v>
      </c>
      <c r="C204" t="s">
        <v>87</v>
      </c>
      <c r="D204">
        <v>0</v>
      </c>
      <c r="E204">
        <v>-60.666</v>
      </c>
      <c r="F204">
        <v>-27.1808</v>
      </c>
      <c r="G204">
        <v>3232.17</v>
      </c>
      <c r="H204" s="1">
        <v>38327</v>
      </c>
      <c r="I204" s="1">
        <v>38331</v>
      </c>
      <c r="J204" t="s">
        <v>15</v>
      </c>
      <c r="K204">
        <v>0</v>
      </c>
      <c r="L204">
        <v>5000</v>
      </c>
      <c r="M204" t="s">
        <v>16</v>
      </c>
      <c r="N204">
        <v>1</v>
      </c>
    </row>
    <row r="205" hidden="1" spans="1:14">
      <c r="A205">
        <v>3026</v>
      </c>
      <c r="B205" t="s">
        <v>91</v>
      </c>
      <c r="C205" t="s">
        <v>87</v>
      </c>
      <c r="D205">
        <v>0</v>
      </c>
      <c r="E205">
        <v>-62.8825</v>
      </c>
      <c r="F205">
        <v>-25.9842</v>
      </c>
      <c r="G205">
        <v>518021.47</v>
      </c>
      <c r="H205" s="1">
        <v>39100</v>
      </c>
      <c r="I205" s="1">
        <v>39161</v>
      </c>
      <c r="J205" t="s">
        <v>15</v>
      </c>
      <c r="K205">
        <v>5</v>
      </c>
      <c r="L205">
        <v>5000</v>
      </c>
      <c r="M205" t="s">
        <v>16</v>
      </c>
      <c r="N205">
        <v>1</v>
      </c>
    </row>
    <row r="206" hidden="1" spans="1:14">
      <c r="A206">
        <v>3044</v>
      </c>
      <c r="B206" t="s">
        <v>92</v>
      </c>
      <c r="C206" t="s">
        <v>87</v>
      </c>
      <c r="E206">
        <v>-59.1204</v>
      </c>
      <c r="F206">
        <v>-31.99</v>
      </c>
      <c r="G206">
        <v>517032.24</v>
      </c>
      <c r="H206" s="1">
        <v>39161</v>
      </c>
      <c r="I206" s="1">
        <v>39199</v>
      </c>
      <c r="J206" t="s">
        <v>15</v>
      </c>
      <c r="K206">
        <v>12</v>
      </c>
      <c r="L206">
        <v>65800</v>
      </c>
      <c r="M206" t="s">
        <v>16</v>
      </c>
      <c r="N206">
        <v>1</v>
      </c>
    </row>
    <row r="207" hidden="1" spans="1:14">
      <c r="A207">
        <v>3261</v>
      </c>
      <c r="B207" t="s">
        <v>93</v>
      </c>
      <c r="C207" t="s">
        <v>87</v>
      </c>
      <c r="D207">
        <v>0</v>
      </c>
      <c r="E207">
        <v>-61.6607</v>
      </c>
      <c r="F207">
        <v>-22.9167</v>
      </c>
      <c r="G207">
        <v>88120.94</v>
      </c>
      <c r="H207" s="1">
        <v>39475</v>
      </c>
      <c r="I207" s="1">
        <v>39549</v>
      </c>
      <c r="J207" t="s">
        <v>15</v>
      </c>
      <c r="K207">
        <v>0</v>
      </c>
      <c r="L207">
        <v>15000</v>
      </c>
      <c r="M207" t="s">
        <v>16</v>
      </c>
      <c r="N207">
        <v>1</v>
      </c>
    </row>
    <row r="208" hidden="1" spans="1:14">
      <c r="A208">
        <v>3448</v>
      </c>
      <c r="B208">
        <v>0</v>
      </c>
      <c r="C208" t="s">
        <v>87</v>
      </c>
      <c r="D208">
        <v>0</v>
      </c>
      <c r="E208">
        <v>-64.2917</v>
      </c>
      <c r="F208">
        <v>-24.1484</v>
      </c>
      <c r="G208">
        <v>225551.03</v>
      </c>
      <c r="H208" s="1">
        <v>39851</v>
      </c>
      <c r="I208" s="1">
        <v>39856</v>
      </c>
      <c r="J208" t="s">
        <v>15</v>
      </c>
      <c r="K208">
        <v>0</v>
      </c>
      <c r="L208">
        <v>0</v>
      </c>
      <c r="M208" t="s">
        <v>67</v>
      </c>
      <c r="N208">
        <v>1.5</v>
      </c>
    </row>
    <row r="209" hidden="1" spans="1:14">
      <c r="A209">
        <v>3572</v>
      </c>
      <c r="B209">
        <v>0</v>
      </c>
      <c r="C209" t="s">
        <v>87</v>
      </c>
      <c r="E209">
        <v>-59.0496</v>
      </c>
      <c r="F209">
        <v>-32.9919</v>
      </c>
      <c r="G209">
        <v>415044.91</v>
      </c>
      <c r="H209" s="1">
        <v>40131</v>
      </c>
      <c r="I209" s="1">
        <v>40139</v>
      </c>
      <c r="J209">
        <v>0</v>
      </c>
      <c r="K209">
        <v>0</v>
      </c>
      <c r="L209">
        <v>1793</v>
      </c>
      <c r="M209" t="s">
        <v>49</v>
      </c>
      <c r="N209">
        <v>1</v>
      </c>
    </row>
    <row r="210" hidden="1" spans="1:14">
      <c r="A210">
        <v>4007</v>
      </c>
      <c r="C210" t="s">
        <v>87</v>
      </c>
      <c r="E210">
        <v>-59.6252</v>
      </c>
      <c r="F210">
        <v>-27.5025</v>
      </c>
      <c r="G210">
        <v>377212.55</v>
      </c>
      <c r="H210" s="1">
        <v>41233</v>
      </c>
      <c r="I210" s="1">
        <v>41247</v>
      </c>
      <c r="J210" t="s">
        <v>15</v>
      </c>
      <c r="K210">
        <v>6</v>
      </c>
      <c r="L210">
        <v>10000</v>
      </c>
      <c r="M210" t="s">
        <v>49</v>
      </c>
      <c r="N210">
        <v>1.5</v>
      </c>
    </row>
    <row r="211" hidden="1" spans="1:14">
      <c r="A211">
        <v>4046</v>
      </c>
      <c r="C211" t="s">
        <v>87</v>
      </c>
      <c r="E211">
        <v>-58.6759</v>
      </c>
      <c r="F211">
        <v>-34.4809</v>
      </c>
      <c r="G211">
        <v>18135.4</v>
      </c>
      <c r="H211" s="1">
        <v>41365</v>
      </c>
      <c r="I211" s="1">
        <v>41371</v>
      </c>
      <c r="J211" t="s">
        <v>15</v>
      </c>
      <c r="K211">
        <v>59</v>
      </c>
      <c r="L211">
        <v>3000</v>
      </c>
      <c r="M211" t="s">
        <v>52</v>
      </c>
      <c r="N211">
        <v>2</v>
      </c>
    </row>
    <row r="212" hidden="1" spans="1:14">
      <c r="A212">
        <v>4133</v>
      </c>
      <c r="C212" t="s">
        <v>87</v>
      </c>
      <c r="E212">
        <v>-70.2984</v>
      </c>
      <c r="F212">
        <v>-38.3652</v>
      </c>
      <c r="G212">
        <v>69876.78</v>
      </c>
      <c r="H212" s="1">
        <v>41730</v>
      </c>
      <c r="I212" s="1">
        <v>41737</v>
      </c>
      <c r="J212" t="s">
        <v>15</v>
      </c>
      <c r="K212">
        <v>0</v>
      </c>
      <c r="L212">
        <v>2000</v>
      </c>
      <c r="M212" t="s">
        <v>49</v>
      </c>
      <c r="N212">
        <v>1.5</v>
      </c>
    </row>
    <row r="213" hidden="1" spans="1:14">
      <c r="A213">
        <v>4228</v>
      </c>
      <c r="C213" t="s">
        <v>87</v>
      </c>
      <c r="E213">
        <v>-63.5929</v>
      </c>
      <c r="F213">
        <v>-32.3809</v>
      </c>
      <c r="G213">
        <v>349365.45</v>
      </c>
      <c r="H213" s="1">
        <v>42050</v>
      </c>
      <c r="I213" s="1">
        <v>42059</v>
      </c>
      <c r="J213" t="s">
        <v>15</v>
      </c>
      <c r="K213">
        <v>7</v>
      </c>
      <c r="L213">
        <v>700</v>
      </c>
      <c r="M213" t="s">
        <v>49</v>
      </c>
      <c r="N213">
        <v>1.5</v>
      </c>
    </row>
    <row r="214" hidden="1" spans="1:14">
      <c r="A214">
        <v>4290</v>
      </c>
      <c r="B214" t="s">
        <v>94</v>
      </c>
      <c r="C214" t="s">
        <v>87</v>
      </c>
      <c r="E214">
        <v>-59.8071</v>
      </c>
      <c r="F214">
        <v>-35.1086</v>
      </c>
      <c r="G214">
        <v>133852.96</v>
      </c>
      <c r="H214" s="1">
        <v>42226</v>
      </c>
      <c r="I214" s="1">
        <v>42235</v>
      </c>
      <c r="J214" t="s">
        <v>15</v>
      </c>
      <c r="K214">
        <v>3</v>
      </c>
      <c r="L214">
        <v>11000</v>
      </c>
      <c r="M214" t="s">
        <v>49</v>
      </c>
      <c r="N214">
        <v>1</v>
      </c>
    </row>
    <row r="215" hidden="1" spans="1:14">
      <c r="A215">
        <v>4340</v>
      </c>
      <c r="C215" t="s">
        <v>87</v>
      </c>
      <c r="E215">
        <v>-63.1227</v>
      </c>
      <c r="F215">
        <v>-28.5633</v>
      </c>
      <c r="G215">
        <v>199290</v>
      </c>
      <c r="H215" s="1">
        <v>42434</v>
      </c>
      <c r="I215" s="1">
        <v>42454</v>
      </c>
      <c r="J215" t="s">
        <v>15</v>
      </c>
      <c r="K215">
        <v>0</v>
      </c>
      <c r="L215">
        <v>1600</v>
      </c>
      <c r="M215" t="s">
        <v>49</v>
      </c>
      <c r="N215">
        <v>1</v>
      </c>
    </row>
    <row r="216" hidden="1" spans="1:14">
      <c r="A216">
        <v>4412</v>
      </c>
      <c r="C216" t="s">
        <v>87</v>
      </c>
      <c r="D216" t="s">
        <v>95</v>
      </c>
      <c r="E216">
        <v>-55.6697</v>
      </c>
      <c r="F216">
        <v>-34.6637</v>
      </c>
      <c r="G216">
        <v>281856.22</v>
      </c>
      <c r="H216" s="1">
        <v>42653</v>
      </c>
      <c r="I216" s="1">
        <v>42684</v>
      </c>
      <c r="J216" t="s">
        <v>15</v>
      </c>
      <c r="K216">
        <v>0</v>
      </c>
      <c r="L216">
        <v>50</v>
      </c>
      <c r="M216" t="s">
        <v>49</v>
      </c>
      <c r="N216">
        <v>1.5</v>
      </c>
    </row>
    <row r="217" hidden="1" spans="1:14">
      <c r="A217">
        <v>4427</v>
      </c>
      <c r="C217" t="s">
        <v>87</v>
      </c>
      <c r="E217">
        <v>-59.8071</v>
      </c>
      <c r="F217">
        <v>-33.7708</v>
      </c>
      <c r="G217">
        <v>445992.61</v>
      </c>
      <c r="H217" s="1">
        <v>42730</v>
      </c>
      <c r="I217" s="1">
        <v>42740</v>
      </c>
      <c r="J217" t="s">
        <v>15</v>
      </c>
      <c r="K217">
        <v>1</v>
      </c>
      <c r="L217">
        <v>700</v>
      </c>
      <c r="M217" t="s">
        <v>49</v>
      </c>
      <c r="N217">
        <v>1.5</v>
      </c>
    </row>
    <row r="218" hidden="1" spans="1:14">
      <c r="A218">
        <v>4462</v>
      </c>
      <c r="C218" t="s">
        <v>87</v>
      </c>
      <c r="E218">
        <v>-67.9388</v>
      </c>
      <c r="F218">
        <v>-45.9533</v>
      </c>
      <c r="G218">
        <v>27377.03</v>
      </c>
      <c r="H218" s="1">
        <v>42830</v>
      </c>
      <c r="I218" s="1">
        <v>42846</v>
      </c>
      <c r="J218" t="s">
        <v>15</v>
      </c>
      <c r="K218">
        <v>1</v>
      </c>
      <c r="L218">
        <v>8000</v>
      </c>
      <c r="M218" t="s">
        <v>96</v>
      </c>
      <c r="N218">
        <v>1.5</v>
      </c>
    </row>
    <row r="219" hidden="1" spans="1:14">
      <c r="A219">
        <v>4464</v>
      </c>
      <c r="B219" t="s">
        <v>97</v>
      </c>
      <c r="C219" t="s">
        <v>87</v>
      </c>
      <c r="E219">
        <v>-62.6279</v>
      </c>
      <c r="F219">
        <v>-27.4231</v>
      </c>
      <c r="G219">
        <v>273962.64</v>
      </c>
      <c r="H219" s="1">
        <v>42830</v>
      </c>
      <c r="I219" s="1">
        <v>42846</v>
      </c>
      <c r="J219" t="s">
        <v>15</v>
      </c>
      <c r="K219">
        <v>0</v>
      </c>
      <c r="L219">
        <v>0</v>
      </c>
      <c r="M219" t="s">
        <v>49</v>
      </c>
      <c r="N219">
        <v>1.5</v>
      </c>
    </row>
    <row r="220" hidden="1" spans="1:14">
      <c r="A220">
        <v>4569</v>
      </c>
      <c r="B220" t="s">
        <v>98</v>
      </c>
      <c r="C220" t="s">
        <v>87</v>
      </c>
      <c r="E220">
        <v>-63.2465</v>
      </c>
      <c r="F220">
        <v>-24.4842</v>
      </c>
      <c r="G220">
        <v>234622.64</v>
      </c>
      <c r="H220" s="1">
        <v>43132</v>
      </c>
      <c r="I220" s="1">
        <v>43152</v>
      </c>
      <c r="J220" t="s">
        <v>99</v>
      </c>
      <c r="K220">
        <v>0</v>
      </c>
      <c r="L220">
        <v>10000</v>
      </c>
      <c r="M220" t="s">
        <v>49</v>
      </c>
      <c r="N220">
        <v>1.5</v>
      </c>
    </row>
    <row r="221" hidden="1" spans="1:14">
      <c r="A221">
        <v>4595</v>
      </c>
      <c r="C221" t="s">
        <v>87</v>
      </c>
      <c r="D221" t="s">
        <v>90</v>
      </c>
      <c r="E221">
        <v>-70.276</v>
      </c>
      <c r="F221">
        <v>-52.9076</v>
      </c>
      <c r="G221">
        <v>30965.78</v>
      </c>
      <c r="H221" s="1">
        <v>43193</v>
      </c>
      <c r="I221" s="1">
        <v>43196</v>
      </c>
      <c r="J221" t="s">
        <v>56</v>
      </c>
      <c r="K221">
        <v>0</v>
      </c>
      <c r="L221">
        <v>50</v>
      </c>
      <c r="M221" t="s">
        <v>52</v>
      </c>
      <c r="N221">
        <v>1.5</v>
      </c>
    </row>
    <row r="222" hidden="1" spans="1:14">
      <c r="A222">
        <v>4607</v>
      </c>
      <c r="C222" t="s">
        <v>87</v>
      </c>
      <c r="E222">
        <v>-58.1988</v>
      </c>
      <c r="F222">
        <v>-35.2102</v>
      </c>
      <c r="G222">
        <v>15206.77</v>
      </c>
      <c r="H222" s="1">
        <v>43159</v>
      </c>
      <c r="I222" s="1">
        <v>43219</v>
      </c>
      <c r="J222" t="s">
        <v>56</v>
      </c>
      <c r="K222">
        <v>2</v>
      </c>
      <c r="L222">
        <v>1200</v>
      </c>
      <c r="M222" t="s">
        <v>52</v>
      </c>
      <c r="N222">
        <v>1.5</v>
      </c>
    </row>
    <row r="223" hidden="1" spans="1:14">
      <c r="A223">
        <v>4743</v>
      </c>
      <c r="C223" t="s">
        <v>87</v>
      </c>
      <c r="E223">
        <v>-60.5494</v>
      </c>
      <c r="F223">
        <v>-26.8541</v>
      </c>
      <c r="G223">
        <v>490723.5</v>
      </c>
      <c r="H223" s="1">
        <v>43575</v>
      </c>
      <c r="I223" s="1">
        <v>43578</v>
      </c>
      <c r="J223" t="s">
        <v>56</v>
      </c>
      <c r="K223">
        <v>2</v>
      </c>
      <c r="L223">
        <v>1800</v>
      </c>
      <c r="M223" t="s">
        <v>52</v>
      </c>
      <c r="N223">
        <v>1.5</v>
      </c>
    </row>
    <row r="224" hidden="1" spans="1:14">
      <c r="A224">
        <v>4864</v>
      </c>
      <c r="C224" t="s">
        <v>87</v>
      </c>
      <c r="E224">
        <v>-64.1372</v>
      </c>
      <c r="F224">
        <v>-25.5944</v>
      </c>
      <c r="G224">
        <v>210946.78</v>
      </c>
      <c r="H224" s="1">
        <v>43845</v>
      </c>
      <c r="I224" s="1">
        <v>43848</v>
      </c>
      <c r="J224" t="s">
        <v>58</v>
      </c>
      <c r="K224">
        <v>0</v>
      </c>
      <c r="L224">
        <v>250</v>
      </c>
      <c r="M224" t="s">
        <v>49</v>
      </c>
      <c r="N224">
        <v>1</v>
      </c>
    </row>
    <row r="225" hidden="1" spans="1:14">
      <c r="A225">
        <v>75</v>
      </c>
      <c r="B225">
        <v>0</v>
      </c>
      <c r="C225" t="s">
        <v>100</v>
      </c>
      <c r="D225">
        <v>0</v>
      </c>
      <c r="E225">
        <v>-59.5908</v>
      </c>
      <c r="F225">
        <v>-29.4731</v>
      </c>
      <c r="G225">
        <v>268467.88</v>
      </c>
      <c r="H225" s="1">
        <v>31513</v>
      </c>
      <c r="I225" s="1">
        <v>31539</v>
      </c>
      <c r="J225" t="s">
        <v>15</v>
      </c>
      <c r="K225">
        <v>2</v>
      </c>
      <c r="L225">
        <v>55000</v>
      </c>
      <c r="M225" t="s">
        <v>16</v>
      </c>
      <c r="N225">
        <v>1</v>
      </c>
    </row>
    <row r="226" hidden="1" spans="1:14">
      <c r="A226">
        <v>171</v>
      </c>
      <c r="B226">
        <v>0</v>
      </c>
      <c r="C226" t="s">
        <v>100</v>
      </c>
      <c r="D226">
        <v>0</v>
      </c>
      <c r="E226">
        <v>-59.0423</v>
      </c>
      <c r="F226">
        <v>-34.6391</v>
      </c>
      <c r="G226">
        <v>11057.04</v>
      </c>
      <c r="H226" s="1">
        <v>32227</v>
      </c>
      <c r="I226" s="1">
        <v>32230</v>
      </c>
      <c r="J226" t="s">
        <v>15</v>
      </c>
      <c r="K226">
        <v>24</v>
      </c>
      <c r="L226">
        <v>57000</v>
      </c>
      <c r="M226" t="s">
        <v>16</v>
      </c>
      <c r="N226">
        <v>1</v>
      </c>
    </row>
    <row r="227" hidden="1" spans="1:14">
      <c r="A227">
        <v>194</v>
      </c>
      <c r="B227">
        <v>0</v>
      </c>
      <c r="C227" t="s">
        <v>100</v>
      </c>
      <c r="D227">
        <v>0</v>
      </c>
      <c r="E227">
        <v>-58.1136</v>
      </c>
      <c r="F227">
        <v>-26.2024</v>
      </c>
      <c r="G227">
        <v>16418.94</v>
      </c>
      <c r="H227" s="1">
        <v>32322</v>
      </c>
      <c r="I227" s="1">
        <v>32322</v>
      </c>
      <c r="J227" t="s">
        <v>15</v>
      </c>
      <c r="K227">
        <v>0</v>
      </c>
      <c r="L227">
        <v>7000</v>
      </c>
      <c r="M227" t="s">
        <v>16</v>
      </c>
      <c r="N227">
        <v>1</v>
      </c>
    </row>
    <row r="228" hidden="1" spans="1:14">
      <c r="A228">
        <v>740</v>
      </c>
      <c r="B228">
        <v>0</v>
      </c>
      <c r="C228" t="s">
        <v>100</v>
      </c>
      <c r="D228">
        <v>0</v>
      </c>
      <c r="E228">
        <v>-60.1886</v>
      </c>
      <c r="F228">
        <v>-36.263</v>
      </c>
      <c r="G228">
        <v>247102.08</v>
      </c>
      <c r="H228" s="1">
        <v>34100</v>
      </c>
      <c r="I228" s="1">
        <v>34104</v>
      </c>
      <c r="J228" t="s">
        <v>15</v>
      </c>
      <c r="K228">
        <v>0</v>
      </c>
      <c r="L228">
        <v>0</v>
      </c>
      <c r="M228" t="s">
        <v>16</v>
      </c>
      <c r="N228">
        <v>1</v>
      </c>
    </row>
    <row r="229" hidden="1" spans="1:14">
      <c r="A229">
        <v>848</v>
      </c>
      <c r="B229">
        <v>0</v>
      </c>
      <c r="C229" t="s">
        <v>101</v>
      </c>
      <c r="D229">
        <v>0</v>
      </c>
      <c r="E229">
        <v>44.0001</v>
      </c>
      <c r="F229">
        <v>40.7485</v>
      </c>
      <c r="G229">
        <v>3590.36</v>
      </c>
      <c r="H229" s="1">
        <v>34485</v>
      </c>
      <c r="I229" s="1">
        <v>34486</v>
      </c>
      <c r="J229" t="s">
        <v>15</v>
      </c>
      <c r="K229">
        <v>5</v>
      </c>
      <c r="L229">
        <v>400</v>
      </c>
      <c r="M229" t="s">
        <v>25</v>
      </c>
      <c r="N229">
        <v>1</v>
      </c>
    </row>
    <row r="230" hidden="1" spans="1:14">
      <c r="A230">
        <v>296</v>
      </c>
      <c r="B230">
        <v>0</v>
      </c>
      <c r="C230" t="s">
        <v>102</v>
      </c>
      <c r="D230">
        <v>0</v>
      </c>
      <c r="E230">
        <v>147.041</v>
      </c>
      <c r="F230">
        <v>-20.1862</v>
      </c>
      <c r="G230">
        <v>51942.3</v>
      </c>
      <c r="H230" s="1">
        <v>32602</v>
      </c>
      <c r="I230" s="1">
        <v>32606</v>
      </c>
      <c r="J230" t="s">
        <v>15</v>
      </c>
      <c r="K230">
        <v>2</v>
      </c>
      <c r="L230">
        <v>1000</v>
      </c>
      <c r="M230" t="s">
        <v>103</v>
      </c>
      <c r="N230">
        <v>1</v>
      </c>
    </row>
    <row r="231" hidden="1" spans="1:14">
      <c r="A231">
        <v>405</v>
      </c>
      <c r="B231">
        <v>0</v>
      </c>
      <c r="C231" t="s">
        <v>102</v>
      </c>
      <c r="D231">
        <v>0</v>
      </c>
      <c r="E231">
        <v>142.914</v>
      </c>
      <c r="F231">
        <v>-27.6671</v>
      </c>
      <c r="G231">
        <v>971228.6</v>
      </c>
      <c r="H231" s="1">
        <v>32981</v>
      </c>
      <c r="I231" s="1">
        <v>32991</v>
      </c>
      <c r="J231" t="s">
        <v>15</v>
      </c>
      <c r="K231">
        <v>4</v>
      </c>
      <c r="L231">
        <v>2000</v>
      </c>
      <c r="M231" t="s">
        <v>16</v>
      </c>
      <c r="N231">
        <v>2</v>
      </c>
    </row>
    <row r="232" hidden="1" spans="1:14">
      <c r="A232">
        <v>488</v>
      </c>
      <c r="B232">
        <v>0</v>
      </c>
      <c r="C232" t="s">
        <v>102</v>
      </c>
      <c r="D232">
        <v>0</v>
      </c>
      <c r="E232">
        <v>149.127</v>
      </c>
      <c r="F232">
        <v>-23.6721</v>
      </c>
      <c r="G232">
        <v>96489.97</v>
      </c>
      <c r="H232" s="1">
        <v>33232</v>
      </c>
      <c r="I232" s="1">
        <v>33254</v>
      </c>
      <c r="J232" t="s">
        <v>15</v>
      </c>
      <c r="K232">
        <v>6</v>
      </c>
      <c r="L232">
        <v>800</v>
      </c>
      <c r="M232" t="s">
        <v>104</v>
      </c>
      <c r="N232">
        <v>2</v>
      </c>
    </row>
    <row r="233" hidden="1" spans="1:14">
      <c r="A233">
        <v>632</v>
      </c>
      <c r="B233">
        <v>0</v>
      </c>
      <c r="C233" t="s">
        <v>102</v>
      </c>
      <c r="D233">
        <v>0</v>
      </c>
      <c r="E233">
        <v>152.026</v>
      </c>
      <c r="F233">
        <v>-25.2475</v>
      </c>
      <c r="G233">
        <v>53883.83</v>
      </c>
      <c r="H233" s="1">
        <v>33677</v>
      </c>
      <c r="I233" s="1">
        <v>33677</v>
      </c>
      <c r="J233" t="s">
        <v>15</v>
      </c>
      <c r="K233">
        <v>0</v>
      </c>
      <c r="L233">
        <v>0</v>
      </c>
      <c r="M233" t="s">
        <v>86</v>
      </c>
      <c r="N233">
        <v>1</v>
      </c>
    </row>
    <row r="234" hidden="1" spans="1:14">
      <c r="A234">
        <v>687</v>
      </c>
      <c r="B234">
        <v>0</v>
      </c>
      <c r="C234" t="s">
        <v>102</v>
      </c>
      <c r="D234">
        <v>0</v>
      </c>
      <c r="E234">
        <v>138.966</v>
      </c>
      <c r="F234">
        <v>-34.8687</v>
      </c>
      <c r="G234">
        <v>12878.07</v>
      </c>
      <c r="H234" s="1">
        <v>33846</v>
      </c>
      <c r="I234" s="1">
        <v>33846</v>
      </c>
      <c r="J234" t="s">
        <v>15</v>
      </c>
      <c r="K234">
        <v>2</v>
      </c>
      <c r="L234">
        <v>0</v>
      </c>
      <c r="M234" t="s">
        <v>64</v>
      </c>
      <c r="N234">
        <v>2</v>
      </c>
    </row>
    <row r="235" hidden="1" spans="1:14">
      <c r="A235">
        <v>707</v>
      </c>
      <c r="B235">
        <v>0</v>
      </c>
      <c r="C235" t="s">
        <v>102</v>
      </c>
      <c r="D235">
        <v>0</v>
      </c>
      <c r="E235">
        <v>139.376</v>
      </c>
      <c r="F235">
        <v>-34.6886</v>
      </c>
      <c r="G235">
        <v>6763.03</v>
      </c>
      <c r="H235" s="1">
        <v>33887</v>
      </c>
      <c r="I235" s="1">
        <v>33888</v>
      </c>
      <c r="J235" t="s">
        <v>15</v>
      </c>
      <c r="K235">
        <v>0</v>
      </c>
      <c r="L235">
        <v>280</v>
      </c>
      <c r="M235" t="s">
        <v>16</v>
      </c>
      <c r="N235">
        <v>1</v>
      </c>
    </row>
    <row r="236" hidden="1" spans="1:14">
      <c r="A236">
        <v>779</v>
      </c>
      <c r="B236">
        <v>0</v>
      </c>
      <c r="C236" t="s">
        <v>102</v>
      </c>
      <c r="D236">
        <v>0</v>
      </c>
      <c r="E236">
        <v>146.36</v>
      </c>
      <c r="F236">
        <v>-38.1255</v>
      </c>
      <c r="G236">
        <v>31808.05</v>
      </c>
      <c r="H236" s="1">
        <v>34227</v>
      </c>
      <c r="I236" s="1">
        <v>34227</v>
      </c>
      <c r="J236" t="s">
        <v>15</v>
      </c>
      <c r="K236">
        <v>0</v>
      </c>
      <c r="L236">
        <v>800</v>
      </c>
      <c r="M236" t="s">
        <v>64</v>
      </c>
      <c r="N236">
        <v>1</v>
      </c>
    </row>
    <row r="237" hidden="1" spans="1:14">
      <c r="A237">
        <v>786</v>
      </c>
      <c r="B237">
        <v>0</v>
      </c>
      <c r="C237" t="s">
        <v>102</v>
      </c>
      <c r="D237">
        <v>0</v>
      </c>
      <c r="E237">
        <v>146.608</v>
      </c>
      <c r="F237">
        <v>-36.6559</v>
      </c>
      <c r="G237">
        <v>4163.54</v>
      </c>
      <c r="H237" s="1">
        <v>34245</v>
      </c>
      <c r="I237" s="1">
        <v>34257</v>
      </c>
      <c r="J237" t="s">
        <v>15</v>
      </c>
      <c r="K237">
        <v>0</v>
      </c>
      <c r="L237">
        <v>2000</v>
      </c>
      <c r="M237" t="s">
        <v>64</v>
      </c>
      <c r="N237">
        <v>2</v>
      </c>
    </row>
    <row r="238" hidden="1" spans="1:14">
      <c r="A238">
        <v>823</v>
      </c>
      <c r="B238">
        <v>0</v>
      </c>
      <c r="C238" t="s">
        <v>102</v>
      </c>
      <c r="D238">
        <v>0</v>
      </c>
      <c r="E238">
        <v>151.685</v>
      </c>
      <c r="F238">
        <v>-25.2628</v>
      </c>
      <c r="G238">
        <v>120854.33</v>
      </c>
      <c r="H238" s="1">
        <v>34350</v>
      </c>
      <c r="I238" s="1">
        <v>34354</v>
      </c>
      <c r="J238" t="s">
        <v>15</v>
      </c>
      <c r="K238">
        <v>13</v>
      </c>
      <c r="L238">
        <v>0</v>
      </c>
      <c r="M238" t="s">
        <v>86</v>
      </c>
      <c r="N238">
        <v>1</v>
      </c>
    </row>
    <row r="239" hidden="1" spans="1:14">
      <c r="A239">
        <v>938</v>
      </c>
      <c r="B239">
        <v>0</v>
      </c>
      <c r="C239" t="s">
        <v>102</v>
      </c>
      <c r="D239">
        <v>0</v>
      </c>
      <c r="E239">
        <v>117.538</v>
      </c>
      <c r="F239">
        <v>-26.821</v>
      </c>
      <c r="G239">
        <v>990198.31</v>
      </c>
      <c r="H239" s="1">
        <v>34763</v>
      </c>
      <c r="I239" s="1">
        <v>34771</v>
      </c>
      <c r="J239" t="s">
        <v>15</v>
      </c>
      <c r="K239">
        <v>7</v>
      </c>
      <c r="L239">
        <v>0</v>
      </c>
      <c r="M239" t="s">
        <v>104</v>
      </c>
      <c r="N239">
        <v>2</v>
      </c>
    </row>
    <row r="240" hidden="1" spans="1:14">
      <c r="A240">
        <v>1068</v>
      </c>
      <c r="B240">
        <v>0</v>
      </c>
      <c r="C240" t="s">
        <v>102</v>
      </c>
      <c r="D240">
        <v>0</v>
      </c>
      <c r="E240">
        <v>149.128</v>
      </c>
      <c r="F240">
        <v>-27.195</v>
      </c>
      <c r="G240">
        <v>330397.97</v>
      </c>
      <c r="H240" s="1">
        <v>35187</v>
      </c>
      <c r="I240" s="1">
        <v>35194</v>
      </c>
      <c r="J240" t="s">
        <v>15</v>
      </c>
      <c r="K240">
        <v>4</v>
      </c>
      <c r="L240">
        <v>120</v>
      </c>
      <c r="M240" t="s">
        <v>16</v>
      </c>
      <c r="N240">
        <v>2</v>
      </c>
    </row>
    <row r="241" hidden="1" spans="1:14">
      <c r="A241">
        <v>1152</v>
      </c>
      <c r="B241">
        <v>0</v>
      </c>
      <c r="C241" t="s">
        <v>102</v>
      </c>
      <c r="D241">
        <v>0</v>
      </c>
      <c r="E241">
        <v>145.709</v>
      </c>
      <c r="F241">
        <v>-18.0116</v>
      </c>
      <c r="G241">
        <v>108575.22</v>
      </c>
      <c r="H241" s="1">
        <v>35511</v>
      </c>
      <c r="I241" s="1">
        <v>35513</v>
      </c>
      <c r="J241" t="s">
        <v>15</v>
      </c>
      <c r="K241">
        <v>2</v>
      </c>
      <c r="L241">
        <v>0</v>
      </c>
      <c r="M241" t="s">
        <v>86</v>
      </c>
      <c r="N241">
        <v>1</v>
      </c>
    </row>
    <row r="242" hidden="1" spans="1:14">
      <c r="A242">
        <v>1296</v>
      </c>
      <c r="B242">
        <v>0</v>
      </c>
      <c r="C242" t="s">
        <v>102</v>
      </c>
      <c r="D242">
        <v>0</v>
      </c>
      <c r="E242">
        <v>145.996</v>
      </c>
      <c r="F242">
        <v>-18.7466</v>
      </c>
      <c r="G242">
        <v>33825.92</v>
      </c>
      <c r="H242" s="1">
        <v>35796</v>
      </c>
      <c r="I242" s="1">
        <v>35827</v>
      </c>
      <c r="J242" t="s">
        <v>15</v>
      </c>
      <c r="K242">
        <v>1</v>
      </c>
      <c r="L242">
        <v>64</v>
      </c>
      <c r="M242" t="s">
        <v>86</v>
      </c>
      <c r="N242">
        <v>1</v>
      </c>
    </row>
    <row r="243" hidden="1" spans="1:14">
      <c r="A243">
        <v>1300</v>
      </c>
      <c r="B243">
        <v>0</v>
      </c>
      <c r="C243" t="s">
        <v>102</v>
      </c>
      <c r="D243">
        <v>0</v>
      </c>
      <c r="E243">
        <v>131.849</v>
      </c>
      <c r="F243">
        <v>-14.556</v>
      </c>
      <c r="G243">
        <v>267569.3</v>
      </c>
      <c r="H243" s="1">
        <v>35820</v>
      </c>
      <c r="I243" s="1">
        <v>35823</v>
      </c>
      <c r="J243" t="s">
        <v>15</v>
      </c>
      <c r="K243">
        <v>2</v>
      </c>
      <c r="L243">
        <v>24</v>
      </c>
      <c r="M243" t="s">
        <v>86</v>
      </c>
      <c r="N243">
        <v>2</v>
      </c>
    </row>
    <row r="244" hidden="1" spans="1:14">
      <c r="A244">
        <v>1309</v>
      </c>
      <c r="B244">
        <v>0</v>
      </c>
      <c r="C244" t="s">
        <v>102</v>
      </c>
      <c r="D244">
        <v>0</v>
      </c>
      <c r="E244">
        <v>137.79</v>
      </c>
      <c r="F244">
        <v>-16.5749</v>
      </c>
      <c r="G244">
        <v>128474.03</v>
      </c>
      <c r="H244" s="1">
        <v>35855</v>
      </c>
      <c r="I244" s="1">
        <v>35860</v>
      </c>
      <c r="J244" t="s">
        <v>15</v>
      </c>
      <c r="K244">
        <v>0</v>
      </c>
      <c r="L244">
        <v>22</v>
      </c>
      <c r="M244" t="s">
        <v>86</v>
      </c>
      <c r="N244">
        <v>2</v>
      </c>
    </row>
    <row r="245" hidden="1" spans="1:14">
      <c r="A245">
        <v>1336</v>
      </c>
      <c r="B245">
        <v>0</v>
      </c>
      <c r="C245" t="s">
        <v>102</v>
      </c>
      <c r="D245">
        <v>0</v>
      </c>
      <c r="E245">
        <v>150.68</v>
      </c>
      <c r="F245">
        <v>-33.4122</v>
      </c>
      <c r="G245">
        <v>130852.07</v>
      </c>
      <c r="H245" s="1">
        <v>35895</v>
      </c>
      <c r="I245" s="1">
        <v>35895</v>
      </c>
      <c r="J245" t="s">
        <v>15</v>
      </c>
      <c r="K245">
        <v>0</v>
      </c>
      <c r="L245">
        <v>0</v>
      </c>
      <c r="M245" t="s">
        <v>16</v>
      </c>
      <c r="N245">
        <v>1</v>
      </c>
    </row>
    <row r="246" hidden="1" spans="1:14">
      <c r="A246">
        <v>1354</v>
      </c>
      <c r="B246">
        <v>0</v>
      </c>
      <c r="C246" t="s">
        <v>102</v>
      </c>
      <c r="D246">
        <v>0</v>
      </c>
      <c r="E246">
        <v>149.409</v>
      </c>
      <c r="F246">
        <v>-28.745</v>
      </c>
      <c r="G246">
        <v>209225.63</v>
      </c>
      <c r="H246" s="1">
        <v>35921</v>
      </c>
      <c r="I246" s="1">
        <v>35926</v>
      </c>
      <c r="J246" t="s">
        <v>15</v>
      </c>
      <c r="K246">
        <v>0</v>
      </c>
      <c r="L246">
        <v>0</v>
      </c>
      <c r="M246" t="s">
        <v>16</v>
      </c>
      <c r="N246">
        <v>1</v>
      </c>
    </row>
    <row r="247" hidden="1" spans="1:14">
      <c r="A247">
        <v>1406</v>
      </c>
      <c r="B247">
        <v>0</v>
      </c>
      <c r="C247" t="s">
        <v>102</v>
      </c>
      <c r="D247">
        <v>0</v>
      </c>
      <c r="E247">
        <v>147.392</v>
      </c>
      <c r="F247">
        <v>-36.9441</v>
      </c>
      <c r="G247">
        <v>54956.14</v>
      </c>
      <c r="H247" s="1">
        <v>35968</v>
      </c>
      <c r="I247" s="1">
        <v>35970</v>
      </c>
      <c r="J247" t="s">
        <v>15</v>
      </c>
      <c r="K247">
        <v>1</v>
      </c>
      <c r="L247">
        <v>300</v>
      </c>
      <c r="M247" t="s">
        <v>18</v>
      </c>
      <c r="N247">
        <v>2</v>
      </c>
    </row>
    <row r="248" hidden="1" spans="1:14">
      <c r="A248">
        <v>1419</v>
      </c>
      <c r="B248">
        <v>0</v>
      </c>
      <c r="C248" t="s">
        <v>102</v>
      </c>
      <c r="D248">
        <v>0</v>
      </c>
      <c r="E248">
        <v>149.072</v>
      </c>
      <c r="F248">
        <v>-31.4627</v>
      </c>
      <c r="G248">
        <v>146391.32</v>
      </c>
      <c r="H248" s="1">
        <v>35995</v>
      </c>
      <c r="I248" s="1">
        <v>36048</v>
      </c>
      <c r="J248" t="s">
        <v>15</v>
      </c>
      <c r="K248">
        <v>1</v>
      </c>
      <c r="L248">
        <v>6300</v>
      </c>
      <c r="M248" t="s">
        <v>18</v>
      </c>
      <c r="N248">
        <v>2</v>
      </c>
    </row>
    <row r="249" hidden="1" spans="1:14">
      <c r="A249">
        <v>1490</v>
      </c>
      <c r="B249">
        <v>0</v>
      </c>
      <c r="C249" t="s">
        <v>102</v>
      </c>
      <c r="D249">
        <v>0</v>
      </c>
      <c r="E249">
        <v>151.005</v>
      </c>
      <c r="F249">
        <v>-26.4204</v>
      </c>
      <c r="G249">
        <v>322868.72</v>
      </c>
      <c r="H249" s="1">
        <v>36197</v>
      </c>
      <c r="I249" s="1">
        <v>36203</v>
      </c>
      <c r="J249" t="s">
        <v>15</v>
      </c>
      <c r="K249">
        <v>7</v>
      </c>
      <c r="L249">
        <v>1400</v>
      </c>
      <c r="M249" t="s">
        <v>23</v>
      </c>
      <c r="N249">
        <v>2</v>
      </c>
    </row>
    <row r="250" hidden="1" spans="1:14">
      <c r="A250">
        <v>1499</v>
      </c>
      <c r="B250">
        <v>0</v>
      </c>
      <c r="C250" t="s">
        <v>102</v>
      </c>
      <c r="D250">
        <v>0</v>
      </c>
      <c r="E250">
        <v>116.293</v>
      </c>
      <c r="F250">
        <v>-22.4264</v>
      </c>
      <c r="G250">
        <v>57804.48</v>
      </c>
      <c r="H250" s="1">
        <v>36234</v>
      </c>
      <c r="I250" s="1">
        <v>36240</v>
      </c>
      <c r="J250" t="s">
        <v>15</v>
      </c>
      <c r="K250">
        <v>0</v>
      </c>
      <c r="L250">
        <v>1000</v>
      </c>
      <c r="M250" t="s">
        <v>104</v>
      </c>
      <c r="N250">
        <v>1</v>
      </c>
    </row>
    <row r="251" hidden="1" spans="1:14">
      <c r="A251">
        <v>1528</v>
      </c>
      <c r="B251">
        <v>0</v>
      </c>
      <c r="C251" t="s">
        <v>102</v>
      </c>
      <c r="D251">
        <v>0</v>
      </c>
      <c r="E251">
        <v>151.043</v>
      </c>
      <c r="F251">
        <v>-33.4712</v>
      </c>
      <c r="G251">
        <v>67712.26</v>
      </c>
      <c r="H251" s="1">
        <v>36355</v>
      </c>
      <c r="I251" s="1">
        <v>36357</v>
      </c>
      <c r="J251" t="s">
        <v>15</v>
      </c>
      <c r="K251">
        <v>3</v>
      </c>
      <c r="L251">
        <v>20</v>
      </c>
      <c r="M251" t="s">
        <v>16</v>
      </c>
      <c r="N251">
        <v>1</v>
      </c>
    </row>
    <row r="252" hidden="1" spans="1:14">
      <c r="A252">
        <v>1590</v>
      </c>
      <c r="B252">
        <v>0</v>
      </c>
      <c r="C252" t="s">
        <v>102</v>
      </c>
      <c r="D252">
        <v>0</v>
      </c>
      <c r="E252">
        <v>119.171</v>
      </c>
      <c r="F252">
        <v>-23.5253</v>
      </c>
      <c r="G252">
        <v>536203.12</v>
      </c>
      <c r="H252" s="1">
        <v>36591</v>
      </c>
      <c r="I252" s="1">
        <v>36596</v>
      </c>
      <c r="J252" t="s">
        <v>15</v>
      </c>
      <c r="K252">
        <v>1</v>
      </c>
      <c r="L252">
        <v>0</v>
      </c>
      <c r="M252" t="s">
        <v>104</v>
      </c>
      <c r="N252">
        <v>1</v>
      </c>
    </row>
    <row r="253" hidden="1" spans="1:14">
      <c r="A253">
        <v>1696</v>
      </c>
      <c r="B253">
        <v>0</v>
      </c>
      <c r="C253" t="s">
        <v>102</v>
      </c>
      <c r="D253">
        <v>0</v>
      </c>
      <c r="E253">
        <v>130.974</v>
      </c>
      <c r="F253">
        <v>-16.6038</v>
      </c>
      <c r="G253">
        <v>32095.86</v>
      </c>
      <c r="H253" s="1">
        <v>36940</v>
      </c>
      <c r="I253" s="1">
        <v>36945</v>
      </c>
      <c r="J253" t="s">
        <v>15</v>
      </c>
      <c r="K253">
        <v>0</v>
      </c>
      <c r="L253">
        <v>670</v>
      </c>
      <c r="M253" t="s">
        <v>86</v>
      </c>
      <c r="N253">
        <v>1</v>
      </c>
    </row>
    <row r="254" hidden="1" spans="1:14">
      <c r="A254">
        <v>1874</v>
      </c>
      <c r="B254">
        <v>0</v>
      </c>
      <c r="C254" t="s">
        <v>102</v>
      </c>
      <c r="D254">
        <v>0</v>
      </c>
      <c r="E254">
        <v>151.113</v>
      </c>
      <c r="F254">
        <v>-33.9204</v>
      </c>
      <c r="G254">
        <v>1984.36</v>
      </c>
      <c r="H254" s="1">
        <v>37292</v>
      </c>
      <c r="I254" s="1">
        <v>37296</v>
      </c>
      <c r="J254" t="s">
        <v>15</v>
      </c>
      <c r="K254">
        <v>0</v>
      </c>
      <c r="L254">
        <v>0</v>
      </c>
      <c r="M254" t="s">
        <v>16</v>
      </c>
      <c r="N254">
        <v>1</v>
      </c>
    </row>
    <row r="255" hidden="1" spans="1:14">
      <c r="A255">
        <v>1877</v>
      </c>
      <c r="B255">
        <v>0</v>
      </c>
      <c r="C255" t="s">
        <v>102</v>
      </c>
      <c r="D255">
        <v>0</v>
      </c>
      <c r="E255">
        <v>132.042</v>
      </c>
      <c r="F255">
        <v>-14.1158</v>
      </c>
      <c r="G255">
        <v>10361.1</v>
      </c>
      <c r="H255" s="1">
        <v>37299</v>
      </c>
      <c r="I255" s="1">
        <v>37310</v>
      </c>
      <c r="J255" t="s">
        <v>15</v>
      </c>
      <c r="K255">
        <v>0</v>
      </c>
      <c r="L255">
        <v>0</v>
      </c>
      <c r="M255" t="s">
        <v>16</v>
      </c>
      <c r="N255">
        <v>1</v>
      </c>
    </row>
    <row r="256" hidden="1" spans="1:14">
      <c r="A256">
        <v>1881</v>
      </c>
      <c r="B256">
        <v>0</v>
      </c>
      <c r="C256" t="s">
        <v>102</v>
      </c>
      <c r="D256">
        <v>0</v>
      </c>
      <c r="E256">
        <v>146.755</v>
      </c>
      <c r="F256">
        <v>-20.269</v>
      </c>
      <c r="G256">
        <v>47744.36</v>
      </c>
      <c r="H256" s="1">
        <v>37302</v>
      </c>
      <c r="I256" s="1">
        <v>37305</v>
      </c>
      <c r="J256" t="s">
        <v>15</v>
      </c>
      <c r="K256">
        <v>0</v>
      </c>
      <c r="L256">
        <v>14</v>
      </c>
      <c r="M256" t="s">
        <v>16</v>
      </c>
      <c r="N256">
        <v>1</v>
      </c>
    </row>
    <row r="257" hidden="1" spans="1:14">
      <c r="A257">
        <v>1886</v>
      </c>
      <c r="B257">
        <v>0</v>
      </c>
      <c r="C257" t="s">
        <v>102</v>
      </c>
      <c r="D257">
        <v>0</v>
      </c>
      <c r="E257">
        <v>126.014</v>
      </c>
      <c r="F257">
        <v>-18.0598</v>
      </c>
      <c r="G257">
        <v>57867.77</v>
      </c>
      <c r="H257" s="1">
        <v>37310</v>
      </c>
      <c r="I257" s="1">
        <v>37316</v>
      </c>
      <c r="J257" t="s">
        <v>15</v>
      </c>
      <c r="K257">
        <v>0</v>
      </c>
      <c r="L257">
        <v>32</v>
      </c>
      <c r="M257" t="s">
        <v>16</v>
      </c>
      <c r="N257">
        <v>2</v>
      </c>
    </row>
    <row r="258" hidden="1" spans="1:14">
      <c r="A258">
        <v>2137</v>
      </c>
      <c r="B258">
        <v>0</v>
      </c>
      <c r="C258" t="s">
        <v>102</v>
      </c>
      <c r="D258">
        <v>0</v>
      </c>
      <c r="E258">
        <v>139.397</v>
      </c>
      <c r="F258">
        <v>-17.9301</v>
      </c>
      <c r="G258">
        <v>166298.58</v>
      </c>
      <c r="H258" s="1">
        <v>37643</v>
      </c>
      <c r="I258" s="1">
        <v>37686</v>
      </c>
      <c r="J258" t="s">
        <v>15</v>
      </c>
      <c r="K258">
        <v>0</v>
      </c>
      <c r="L258">
        <v>0</v>
      </c>
      <c r="M258" t="s">
        <v>16</v>
      </c>
      <c r="N258">
        <v>1</v>
      </c>
    </row>
    <row r="259" hidden="1" spans="1:14">
      <c r="A259">
        <v>2141</v>
      </c>
      <c r="B259">
        <v>0</v>
      </c>
      <c r="C259" t="s">
        <v>102</v>
      </c>
      <c r="D259">
        <v>0</v>
      </c>
      <c r="E259">
        <v>145.86</v>
      </c>
      <c r="F259">
        <v>-17.2994</v>
      </c>
      <c r="G259">
        <v>1861.91</v>
      </c>
      <c r="H259" s="1">
        <v>37646</v>
      </c>
      <c r="I259" s="1">
        <v>37656</v>
      </c>
      <c r="J259" t="s">
        <v>15</v>
      </c>
      <c r="K259">
        <v>0</v>
      </c>
      <c r="L259">
        <v>0</v>
      </c>
      <c r="M259" t="s">
        <v>16</v>
      </c>
      <c r="N259">
        <v>1</v>
      </c>
    </row>
    <row r="260" hidden="1" spans="1:14">
      <c r="A260">
        <v>2143</v>
      </c>
      <c r="B260">
        <v>0</v>
      </c>
      <c r="C260" t="s">
        <v>102</v>
      </c>
      <c r="D260">
        <v>0</v>
      </c>
      <c r="E260">
        <v>118.212</v>
      </c>
      <c r="F260">
        <v>-22.4964</v>
      </c>
      <c r="G260">
        <v>294622.26</v>
      </c>
      <c r="H260" s="1">
        <v>37647</v>
      </c>
      <c r="I260" s="1">
        <v>37656</v>
      </c>
      <c r="J260" t="s">
        <v>15</v>
      </c>
      <c r="K260">
        <v>0</v>
      </c>
      <c r="L260">
        <v>0</v>
      </c>
      <c r="M260" t="s">
        <v>16</v>
      </c>
      <c r="N260">
        <v>1</v>
      </c>
    </row>
    <row r="261" hidden="1" spans="1:14">
      <c r="A261">
        <v>2152</v>
      </c>
      <c r="B261">
        <v>0</v>
      </c>
      <c r="C261" t="s">
        <v>102</v>
      </c>
      <c r="D261">
        <v>0</v>
      </c>
      <c r="E261">
        <v>150.373</v>
      </c>
      <c r="F261">
        <v>-23.7719</v>
      </c>
      <c r="G261">
        <v>46117.22</v>
      </c>
      <c r="H261" s="1">
        <v>37657</v>
      </c>
      <c r="I261" s="1">
        <v>37664</v>
      </c>
      <c r="J261" t="s">
        <v>15</v>
      </c>
      <c r="K261">
        <v>1</v>
      </c>
      <c r="L261">
        <v>20</v>
      </c>
      <c r="M261" t="s">
        <v>16</v>
      </c>
      <c r="N261">
        <v>1</v>
      </c>
    </row>
    <row r="262" hidden="1" spans="1:14">
      <c r="A262">
        <v>2154</v>
      </c>
      <c r="B262">
        <v>0</v>
      </c>
      <c r="C262" t="s">
        <v>102</v>
      </c>
      <c r="D262">
        <v>0</v>
      </c>
      <c r="E262">
        <v>146.722</v>
      </c>
      <c r="F262">
        <v>-22.2781</v>
      </c>
      <c r="G262">
        <v>40587.44</v>
      </c>
      <c r="H262" s="1">
        <v>37663</v>
      </c>
      <c r="I262" s="1">
        <v>37666</v>
      </c>
      <c r="J262" t="s">
        <v>15</v>
      </c>
      <c r="K262">
        <v>0</v>
      </c>
      <c r="L262">
        <v>0</v>
      </c>
      <c r="M262" t="s">
        <v>16</v>
      </c>
      <c r="N262">
        <v>1</v>
      </c>
    </row>
    <row r="263" hidden="1" spans="1:14">
      <c r="A263">
        <v>2165</v>
      </c>
      <c r="B263">
        <v>0</v>
      </c>
      <c r="C263" t="s">
        <v>102</v>
      </c>
      <c r="D263">
        <v>0</v>
      </c>
      <c r="E263">
        <v>127.857</v>
      </c>
      <c r="F263">
        <v>-18.2289</v>
      </c>
      <c r="G263">
        <v>9031.36</v>
      </c>
      <c r="H263" s="1">
        <v>37673</v>
      </c>
      <c r="I263" s="1">
        <v>37676</v>
      </c>
      <c r="J263" t="s">
        <v>15</v>
      </c>
      <c r="K263">
        <v>0</v>
      </c>
      <c r="L263">
        <v>0</v>
      </c>
      <c r="M263" t="s">
        <v>16</v>
      </c>
      <c r="N263">
        <v>1</v>
      </c>
    </row>
    <row r="264" hidden="1" spans="1:14">
      <c r="A264">
        <v>2166</v>
      </c>
      <c r="B264">
        <v>0</v>
      </c>
      <c r="C264" t="s">
        <v>102</v>
      </c>
      <c r="D264">
        <v>0</v>
      </c>
      <c r="E264">
        <v>149.7</v>
      </c>
      <c r="F264">
        <v>-32.59</v>
      </c>
      <c r="G264">
        <v>57424.09</v>
      </c>
      <c r="H264" s="1">
        <v>37673</v>
      </c>
      <c r="I264" s="1">
        <v>37676</v>
      </c>
      <c r="J264" t="s">
        <v>15</v>
      </c>
      <c r="K264">
        <v>0</v>
      </c>
      <c r="L264">
        <v>100</v>
      </c>
      <c r="M264" t="s">
        <v>16</v>
      </c>
      <c r="N264">
        <v>1</v>
      </c>
    </row>
    <row r="265" hidden="1" spans="1:14">
      <c r="A265">
        <v>2170</v>
      </c>
      <c r="B265">
        <v>0</v>
      </c>
      <c r="C265" t="s">
        <v>102</v>
      </c>
      <c r="D265">
        <v>0</v>
      </c>
      <c r="E265">
        <v>138.398</v>
      </c>
      <c r="F265">
        <v>-29.2128</v>
      </c>
      <c r="G265">
        <v>1260590.18</v>
      </c>
      <c r="H265" s="1">
        <v>37674</v>
      </c>
      <c r="I265" s="1">
        <v>37704</v>
      </c>
      <c r="J265" t="s">
        <v>15</v>
      </c>
      <c r="K265">
        <v>0</v>
      </c>
      <c r="L265">
        <v>0</v>
      </c>
      <c r="M265" t="s">
        <v>16</v>
      </c>
      <c r="N265">
        <v>1</v>
      </c>
    </row>
    <row r="266" hidden="1" spans="1:14">
      <c r="A266">
        <v>2176</v>
      </c>
      <c r="B266">
        <v>0</v>
      </c>
      <c r="C266" t="s">
        <v>102</v>
      </c>
      <c r="D266">
        <v>0</v>
      </c>
      <c r="E266">
        <v>124.223</v>
      </c>
      <c r="F266">
        <v>-17.9705</v>
      </c>
      <c r="G266">
        <v>68628.4</v>
      </c>
      <c r="H266" s="1">
        <v>37682</v>
      </c>
      <c r="I266" s="1">
        <v>37691</v>
      </c>
      <c r="J266" t="s">
        <v>15</v>
      </c>
      <c r="K266">
        <v>0</v>
      </c>
      <c r="L266">
        <v>0</v>
      </c>
      <c r="M266" t="s">
        <v>16</v>
      </c>
      <c r="N266">
        <v>1</v>
      </c>
    </row>
    <row r="267" hidden="1" spans="1:14">
      <c r="A267">
        <v>2180</v>
      </c>
      <c r="B267">
        <v>0</v>
      </c>
      <c r="C267" t="s">
        <v>102</v>
      </c>
      <c r="D267">
        <v>0</v>
      </c>
      <c r="E267">
        <v>133.126</v>
      </c>
      <c r="F267">
        <v>-14.0855</v>
      </c>
      <c r="G267">
        <v>338861.7</v>
      </c>
      <c r="H267" s="1">
        <v>37687</v>
      </c>
      <c r="I267" s="1">
        <v>37697</v>
      </c>
      <c r="J267" t="s">
        <v>15</v>
      </c>
      <c r="K267">
        <v>0</v>
      </c>
      <c r="L267">
        <v>0</v>
      </c>
      <c r="M267" t="s">
        <v>16</v>
      </c>
      <c r="N267">
        <v>1</v>
      </c>
    </row>
    <row r="268" hidden="1" spans="1:14">
      <c r="A268">
        <v>2217</v>
      </c>
      <c r="B268">
        <v>0</v>
      </c>
      <c r="C268" t="s">
        <v>102</v>
      </c>
      <c r="D268">
        <v>0</v>
      </c>
      <c r="E268">
        <v>147.01</v>
      </c>
      <c r="F268">
        <v>-41.737</v>
      </c>
      <c r="G268">
        <v>8766.21</v>
      </c>
      <c r="H268" s="1">
        <v>37723</v>
      </c>
      <c r="I268" s="1">
        <v>37727</v>
      </c>
      <c r="J268" t="s">
        <v>15</v>
      </c>
      <c r="K268">
        <v>0</v>
      </c>
      <c r="L268">
        <v>0</v>
      </c>
      <c r="M268" t="s">
        <v>16</v>
      </c>
      <c r="N268">
        <v>1</v>
      </c>
    </row>
    <row r="269" hidden="1" spans="1:14">
      <c r="A269">
        <v>2228</v>
      </c>
      <c r="B269">
        <v>0</v>
      </c>
      <c r="C269" t="s">
        <v>102</v>
      </c>
      <c r="D269">
        <v>0</v>
      </c>
      <c r="E269">
        <v>151.153</v>
      </c>
      <c r="F269">
        <v>-33.7036</v>
      </c>
      <c r="G269">
        <v>5265.43</v>
      </c>
      <c r="H269" s="1">
        <v>37754</v>
      </c>
      <c r="I269" s="1">
        <v>37759</v>
      </c>
      <c r="J269" t="s">
        <v>15</v>
      </c>
      <c r="K269">
        <v>0</v>
      </c>
      <c r="L269">
        <v>300</v>
      </c>
      <c r="M269" t="s">
        <v>18</v>
      </c>
      <c r="N269">
        <v>1</v>
      </c>
    </row>
    <row r="270" hidden="1" spans="1:14">
      <c r="A270">
        <v>2329</v>
      </c>
      <c r="B270">
        <v>0</v>
      </c>
      <c r="C270" t="s">
        <v>102</v>
      </c>
      <c r="D270">
        <v>0</v>
      </c>
      <c r="E270">
        <v>147.018</v>
      </c>
      <c r="F270">
        <v>-43.0631</v>
      </c>
      <c r="G270">
        <v>85.0703</v>
      </c>
      <c r="H270" s="1">
        <v>37857</v>
      </c>
      <c r="I270" s="1">
        <v>37858</v>
      </c>
      <c r="J270" t="s">
        <v>15</v>
      </c>
      <c r="K270">
        <v>0</v>
      </c>
      <c r="L270">
        <v>0</v>
      </c>
      <c r="M270" t="s">
        <v>16</v>
      </c>
      <c r="N270">
        <v>1</v>
      </c>
    </row>
    <row r="271" hidden="1" spans="1:14">
      <c r="A271">
        <v>2330</v>
      </c>
      <c r="B271">
        <v>0</v>
      </c>
      <c r="C271" t="s">
        <v>102</v>
      </c>
      <c r="D271">
        <v>0</v>
      </c>
      <c r="E271">
        <v>147.481</v>
      </c>
      <c r="F271">
        <v>-41.6933</v>
      </c>
      <c r="G271">
        <v>3538.66</v>
      </c>
      <c r="H271" s="1">
        <v>37857</v>
      </c>
      <c r="I271" s="1">
        <v>37860</v>
      </c>
      <c r="J271" t="s">
        <v>15</v>
      </c>
      <c r="K271">
        <v>0</v>
      </c>
      <c r="L271">
        <v>0</v>
      </c>
      <c r="M271" t="s">
        <v>16</v>
      </c>
      <c r="N271">
        <v>2</v>
      </c>
    </row>
    <row r="272" hidden="1" spans="1:14">
      <c r="A272">
        <v>2396</v>
      </c>
      <c r="B272">
        <v>0</v>
      </c>
      <c r="C272" t="s">
        <v>102</v>
      </c>
      <c r="D272">
        <v>0</v>
      </c>
      <c r="E272">
        <v>145.105</v>
      </c>
      <c r="F272">
        <v>-37.8337</v>
      </c>
      <c r="G272">
        <v>106.546</v>
      </c>
      <c r="H272" s="1">
        <v>37957</v>
      </c>
      <c r="I272" s="1">
        <v>37958</v>
      </c>
      <c r="J272" t="s">
        <v>15</v>
      </c>
      <c r="K272">
        <v>0</v>
      </c>
      <c r="L272">
        <v>50</v>
      </c>
      <c r="M272" t="s">
        <v>18</v>
      </c>
      <c r="N272">
        <v>1</v>
      </c>
    </row>
    <row r="273" hidden="1" spans="1:14">
      <c r="A273">
        <v>2417</v>
      </c>
      <c r="B273">
        <v>0</v>
      </c>
      <c r="C273" t="s">
        <v>102</v>
      </c>
      <c r="D273">
        <v>0</v>
      </c>
      <c r="E273">
        <v>141.148</v>
      </c>
      <c r="F273">
        <v>-19.1711</v>
      </c>
      <c r="G273">
        <v>1231895.8</v>
      </c>
      <c r="H273" s="1">
        <v>38000</v>
      </c>
      <c r="I273" s="1">
        <v>38042</v>
      </c>
      <c r="J273" t="s">
        <v>15</v>
      </c>
      <c r="K273">
        <v>0</v>
      </c>
      <c r="L273">
        <v>3400</v>
      </c>
      <c r="M273" t="s">
        <v>23</v>
      </c>
      <c r="N273">
        <v>2</v>
      </c>
    </row>
    <row r="274" hidden="1" spans="1:14">
      <c r="A274">
        <v>2424</v>
      </c>
      <c r="B274">
        <v>0</v>
      </c>
      <c r="C274" t="s">
        <v>102</v>
      </c>
      <c r="D274">
        <v>0</v>
      </c>
      <c r="E274">
        <v>147.369</v>
      </c>
      <c r="F274">
        <v>-41.4063</v>
      </c>
      <c r="G274">
        <v>17758.4</v>
      </c>
      <c r="H274" s="1">
        <v>38015</v>
      </c>
      <c r="I274" s="1">
        <v>38022</v>
      </c>
      <c r="J274" t="s">
        <v>15</v>
      </c>
      <c r="K274">
        <v>0</v>
      </c>
      <c r="L274">
        <v>0</v>
      </c>
      <c r="M274" t="s">
        <v>16</v>
      </c>
      <c r="N274">
        <v>2</v>
      </c>
    </row>
    <row r="275" hidden="1" spans="1:14">
      <c r="A275">
        <v>2436</v>
      </c>
      <c r="B275">
        <v>0</v>
      </c>
      <c r="C275" t="s">
        <v>102</v>
      </c>
      <c r="D275">
        <v>0</v>
      </c>
      <c r="E275">
        <v>120.087</v>
      </c>
      <c r="F275">
        <v>-21.0923</v>
      </c>
      <c r="G275">
        <v>32950.64</v>
      </c>
      <c r="H275" s="1">
        <v>38030</v>
      </c>
      <c r="I275" s="1">
        <v>38034</v>
      </c>
      <c r="J275" t="s">
        <v>15</v>
      </c>
      <c r="K275">
        <v>0</v>
      </c>
      <c r="L275">
        <v>0</v>
      </c>
      <c r="M275" t="s">
        <v>16</v>
      </c>
      <c r="N275">
        <v>1</v>
      </c>
    </row>
    <row r="276" hidden="1" spans="1:14">
      <c r="A276">
        <v>2441</v>
      </c>
      <c r="B276">
        <v>0</v>
      </c>
      <c r="C276" t="s">
        <v>102</v>
      </c>
      <c r="D276">
        <v>0</v>
      </c>
      <c r="E276">
        <v>134.694</v>
      </c>
      <c r="F276">
        <v>-16.9769</v>
      </c>
      <c r="G276">
        <v>338694.19</v>
      </c>
      <c r="H276" s="1">
        <v>38035</v>
      </c>
      <c r="I276" s="1">
        <v>38056</v>
      </c>
      <c r="J276" t="s">
        <v>15</v>
      </c>
      <c r="K276">
        <v>0</v>
      </c>
      <c r="L276">
        <v>0</v>
      </c>
      <c r="M276" t="s">
        <v>16</v>
      </c>
      <c r="N276">
        <v>1</v>
      </c>
    </row>
    <row r="277" hidden="1" spans="1:14">
      <c r="A277">
        <v>2442</v>
      </c>
      <c r="B277">
        <v>0</v>
      </c>
      <c r="C277" t="s">
        <v>102</v>
      </c>
      <c r="D277">
        <v>0</v>
      </c>
      <c r="E277">
        <v>124.624</v>
      </c>
      <c r="F277">
        <v>-17.9451</v>
      </c>
      <c r="G277">
        <v>42115</v>
      </c>
      <c r="H277" s="1">
        <v>38037</v>
      </c>
      <c r="I277" s="1">
        <v>38053</v>
      </c>
      <c r="J277" t="s">
        <v>15</v>
      </c>
      <c r="K277">
        <v>0</v>
      </c>
      <c r="L277">
        <v>0</v>
      </c>
      <c r="M277" t="s">
        <v>16</v>
      </c>
      <c r="N277">
        <v>1</v>
      </c>
    </row>
    <row r="278" hidden="1" spans="1:14">
      <c r="A278">
        <v>2444</v>
      </c>
      <c r="B278">
        <v>0</v>
      </c>
      <c r="C278" t="s">
        <v>102</v>
      </c>
      <c r="D278">
        <v>0</v>
      </c>
      <c r="E278">
        <v>116.975</v>
      </c>
      <c r="F278">
        <v>-21.5563</v>
      </c>
      <c r="G278">
        <v>111021.08</v>
      </c>
      <c r="H278" s="1">
        <v>38047</v>
      </c>
      <c r="I278" s="1">
        <v>38055</v>
      </c>
      <c r="J278" t="s">
        <v>15</v>
      </c>
      <c r="K278">
        <v>0</v>
      </c>
      <c r="L278">
        <v>0</v>
      </c>
      <c r="M278" t="s">
        <v>86</v>
      </c>
      <c r="N278">
        <v>2</v>
      </c>
    </row>
    <row r="279" hidden="1" spans="1:14">
      <c r="A279">
        <v>2447</v>
      </c>
      <c r="B279">
        <v>0</v>
      </c>
      <c r="C279" t="s">
        <v>102</v>
      </c>
      <c r="D279">
        <v>0</v>
      </c>
      <c r="E279">
        <v>153.22</v>
      </c>
      <c r="F279">
        <v>-28.2218</v>
      </c>
      <c r="G279">
        <v>20579.09</v>
      </c>
      <c r="H279" s="1">
        <v>38051</v>
      </c>
      <c r="I279" s="1">
        <v>38052</v>
      </c>
      <c r="J279" t="s">
        <v>15</v>
      </c>
      <c r="K279">
        <v>2</v>
      </c>
      <c r="L279">
        <v>0</v>
      </c>
      <c r="M279" t="s">
        <v>16</v>
      </c>
      <c r="N279">
        <v>1</v>
      </c>
    </row>
    <row r="280" hidden="1" spans="1:14">
      <c r="A280">
        <v>2458</v>
      </c>
      <c r="B280">
        <v>0</v>
      </c>
      <c r="C280" t="s">
        <v>102</v>
      </c>
      <c r="D280">
        <v>0</v>
      </c>
      <c r="E280">
        <v>143.299</v>
      </c>
      <c r="F280">
        <v>-13.875</v>
      </c>
      <c r="G280">
        <v>120148.25</v>
      </c>
      <c r="H280" s="1">
        <v>38065</v>
      </c>
      <c r="I280" s="1">
        <v>38073</v>
      </c>
      <c r="J280" t="s">
        <v>15</v>
      </c>
      <c r="K280">
        <v>0</v>
      </c>
      <c r="L280">
        <v>0</v>
      </c>
      <c r="M280" t="s">
        <v>86</v>
      </c>
      <c r="N280">
        <v>1</v>
      </c>
    </row>
    <row r="281" hidden="1" spans="1:14">
      <c r="A281">
        <v>2461</v>
      </c>
      <c r="B281">
        <v>0</v>
      </c>
      <c r="C281" t="s">
        <v>102</v>
      </c>
      <c r="D281">
        <v>0</v>
      </c>
      <c r="E281">
        <v>120.06</v>
      </c>
      <c r="F281">
        <v>-21.4033</v>
      </c>
      <c r="G281">
        <v>53346.1</v>
      </c>
      <c r="H281" s="1">
        <v>38073</v>
      </c>
      <c r="I281" s="1">
        <v>38080</v>
      </c>
      <c r="J281" t="s">
        <v>15</v>
      </c>
      <c r="K281">
        <v>0</v>
      </c>
      <c r="L281">
        <v>250</v>
      </c>
      <c r="M281" t="s">
        <v>86</v>
      </c>
      <c r="N281">
        <v>1</v>
      </c>
    </row>
    <row r="282" hidden="1" spans="1:14">
      <c r="A282">
        <v>2571</v>
      </c>
      <c r="B282">
        <v>0</v>
      </c>
      <c r="C282" t="s">
        <v>102</v>
      </c>
      <c r="D282">
        <v>0</v>
      </c>
      <c r="E282">
        <v>152.897</v>
      </c>
      <c r="F282">
        <v>-30.376</v>
      </c>
      <c r="G282">
        <v>1824.12</v>
      </c>
      <c r="H282" s="1">
        <v>38279</v>
      </c>
      <c r="I282" s="1">
        <v>38282</v>
      </c>
      <c r="J282" t="s">
        <v>15</v>
      </c>
      <c r="K282">
        <v>0</v>
      </c>
      <c r="L282">
        <v>100</v>
      </c>
      <c r="M282" t="s">
        <v>16</v>
      </c>
      <c r="N282">
        <v>1</v>
      </c>
    </row>
    <row r="283" hidden="1" spans="1:14">
      <c r="A283">
        <v>2582</v>
      </c>
      <c r="B283">
        <v>0</v>
      </c>
      <c r="C283" t="s">
        <v>102</v>
      </c>
      <c r="D283">
        <v>0</v>
      </c>
      <c r="E283">
        <v>153.055</v>
      </c>
      <c r="F283">
        <v>-27.293</v>
      </c>
      <c r="G283">
        <v>10515.15</v>
      </c>
      <c r="H283" s="1">
        <v>38297</v>
      </c>
      <c r="I283" s="1">
        <v>38301</v>
      </c>
      <c r="J283" t="s">
        <v>15</v>
      </c>
      <c r="K283">
        <v>2</v>
      </c>
      <c r="L283">
        <v>0</v>
      </c>
      <c r="M283" t="s">
        <v>16</v>
      </c>
      <c r="N283">
        <v>1</v>
      </c>
    </row>
    <row r="284" hidden="1" spans="1:14">
      <c r="A284">
        <v>2598</v>
      </c>
      <c r="B284">
        <v>0</v>
      </c>
      <c r="C284" t="s">
        <v>102</v>
      </c>
      <c r="D284">
        <v>0</v>
      </c>
      <c r="E284">
        <v>150.13</v>
      </c>
      <c r="F284">
        <v>-29.1368</v>
      </c>
      <c r="G284">
        <v>80551.76</v>
      </c>
      <c r="H284" s="1">
        <v>38329</v>
      </c>
      <c r="I284" s="1">
        <v>38343</v>
      </c>
      <c r="J284" t="s">
        <v>15</v>
      </c>
      <c r="K284">
        <v>3</v>
      </c>
      <c r="L284">
        <v>150</v>
      </c>
      <c r="M284" t="s">
        <v>16</v>
      </c>
      <c r="N284">
        <v>1</v>
      </c>
    </row>
    <row r="285" hidden="1" spans="1:14">
      <c r="A285">
        <v>2615</v>
      </c>
      <c r="B285">
        <v>0</v>
      </c>
      <c r="C285" t="s">
        <v>102</v>
      </c>
      <c r="D285">
        <v>0</v>
      </c>
      <c r="E285">
        <v>143.4</v>
      </c>
      <c r="F285">
        <v>-21.4038</v>
      </c>
      <c r="G285">
        <v>618243.19</v>
      </c>
      <c r="H285" s="1">
        <v>38375</v>
      </c>
      <c r="I285" s="1">
        <v>38380</v>
      </c>
      <c r="J285" t="s">
        <v>15</v>
      </c>
      <c r="K285">
        <v>2</v>
      </c>
      <c r="L285">
        <v>0</v>
      </c>
      <c r="M285" t="s">
        <v>23</v>
      </c>
      <c r="N285">
        <v>1</v>
      </c>
    </row>
    <row r="286" hidden="1" spans="1:14">
      <c r="A286">
        <v>2616</v>
      </c>
      <c r="B286">
        <v>0</v>
      </c>
      <c r="C286" t="s">
        <v>102</v>
      </c>
      <c r="D286">
        <v>0</v>
      </c>
      <c r="E286">
        <v>144.201</v>
      </c>
      <c r="F286">
        <v>-38.0823</v>
      </c>
      <c r="G286">
        <v>1121.74</v>
      </c>
      <c r="H286" s="1">
        <v>38378</v>
      </c>
      <c r="I286" s="1">
        <v>38380</v>
      </c>
      <c r="J286" t="s">
        <v>15</v>
      </c>
      <c r="K286">
        <v>0</v>
      </c>
      <c r="L286">
        <v>0</v>
      </c>
      <c r="M286" t="s">
        <v>16</v>
      </c>
      <c r="N286">
        <v>2</v>
      </c>
    </row>
    <row r="287" hidden="1" spans="1:14">
      <c r="A287">
        <v>2622</v>
      </c>
      <c r="B287">
        <v>0</v>
      </c>
      <c r="C287" t="s">
        <v>102</v>
      </c>
      <c r="D287">
        <v>0</v>
      </c>
      <c r="E287">
        <v>145.578</v>
      </c>
      <c r="F287">
        <v>-38.1976</v>
      </c>
      <c r="G287">
        <v>35239.65</v>
      </c>
      <c r="H287" s="1">
        <v>38386</v>
      </c>
      <c r="I287" s="1">
        <v>38390</v>
      </c>
      <c r="J287" t="s">
        <v>15</v>
      </c>
      <c r="K287">
        <v>0</v>
      </c>
      <c r="L287">
        <v>0</v>
      </c>
      <c r="M287" t="s">
        <v>16</v>
      </c>
      <c r="N287">
        <v>1</v>
      </c>
    </row>
    <row r="288" hidden="1" spans="1:14">
      <c r="A288">
        <v>2683</v>
      </c>
      <c r="B288">
        <v>0</v>
      </c>
      <c r="C288" t="s">
        <v>102</v>
      </c>
      <c r="D288">
        <v>0</v>
      </c>
      <c r="E288">
        <v>153.289</v>
      </c>
      <c r="F288">
        <v>-28.5195</v>
      </c>
      <c r="G288">
        <v>7891.31</v>
      </c>
      <c r="H288" s="1">
        <v>38533</v>
      </c>
      <c r="I288" s="1">
        <v>38536</v>
      </c>
      <c r="J288" t="s">
        <v>15</v>
      </c>
      <c r="K288">
        <v>3</v>
      </c>
      <c r="L288">
        <v>3000</v>
      </c>
      <c r="M288" t="s">
        <v>16</v>
      </c>
      <c r="N288">
        <v>1</v>
      </c>
    </row>
    <row r="289" hidden="1" spans="1:14">
      <c r="A289">
        <v>2720</v>
      </c>
      <c r="B289">
        <v>0</v>
      </c>
      <c r="C289" t="s">
        <v>102</v>
      </c>
      <c r="D289">
        <v>0</v>
      </c>
      <c r="E289">
        <v>147.095</v>
      </c>
      <c r="F289">
        <v>-41.5536</v>
      </c>
      <c r="G289">
        <v>8209.31</v>
      </c>
      <c r="H289" s="1">
        <v>38594</v>
      </c>
      <c r="I289" s="1">
        <v>38598</v>
      </c>
      <c r="J289" t="s">
        <v>15</v>
      </c>
      <c r="K289">
        <v>0</v>
      </c>
      <c r="L289">
        <v>0</v>
      </c>
      <c r="M289" t="s">
        <v>16</v>
      </c>
      <c r="N289">
        <v>1</v>
      </c>
    </row>
    <row r="290" hidden="1" spans="1:14">
      <c r="A290">
        <v>2762</v>
      </c>
      <c r="B290">
        <v>0</v>
      </c>
      <c r="C290" t="s">
        <v>102</v>
      </c>
      <c r="D290">
        <v>0</v>
      </c>
      <c r="E290">
        <v>143.117</v>
      </c>
      <c r="F290">
        <v>-33.5795</v>
      </c>
      <c r="G290">
        <v>204295.58</v>
      </c>
      <c r="H290" s="1">
        <v>38664</v>
      </c>
      <c r="I290" s="1">
        <v>38669</v>
      </c>
      <c r="J290" t="s">
        <v>15</v>
      </c>
      <c r="K290">
        <v>1</v>
      </c>
      <c r="L290">
        <v>1000</v>
      </c>
      <c r="M290" t="s">
        <v>16</v>
      </c>
      <c r="N290">
        <v>1</v>
      </c>
    </row>
    <row r="291" hidden="1" spans="1:14">
      <c r="A291">
        <v>2780</v>
      </c>
      <c r="B291">
        <v>0</v>
      </c>
      <c r="C291" t="s">
        <v>102</v>
      </c>
      <c r="D291">
        <v>0</v>
      </c>
      <c r="E291">
        <v>116.936</v>
      </c>
      <c r="F291">
        <v>-23.2603</v>
      </c>
      <c r="G291">
        <v>808059.61</v>
      </c>
      <c r="H291" s="1">
        <v>38726</v>
      </c>
      <c r="I291" s="1">
        <v>38748</v>
      </c>
      <c r="J291" t="s">
        <v>15</v>
      </c>
      <c r="K291">
        <v>0</v>
      </c>
      <c r="L291">
        <v>1500</v>
      </c>
      <c r="M291" t="s">
        <v>103</v>
      </c>
      <c r="N291">
        <v>2</v>
      </c>
    </row>
    <row r="292" hidden="1" spans="1:14">
      <c r="A292">
        <v>2813</v>
      </c>
      <c r="B292">
        <v>0</v>
      </c>
      <c r="C292" t="s">
        <v>102</v>
      </c>
      <c r="D292">
        <v>0</v>
      </c>
      <c r="E292">
        <v>152.621</v>
      </c>
      <c r="F292">
        <v>-30.2302</v>
      </c>
      <c r="G292">
        <v>33679.3</v>
      </c>
      <c r="H292" s="1">
        <v>38777</v>
      </c>
      <c r="I292" s="1">
        <v>38784</v>
      </c>
      <c r="J292" t="s">
        <v>15</v>
      </c>
      <c r="K292">
        <v>0</v>
      </c>
      <c r="L292">
        <v>0</v>
      </c>
      <c r="M292" t="s">
        <v>16</v>
      </c>
      <c r="N292">
        <v>1</v>
      </c>
    </row>
    <row r="293" hidden="1" spans="1:14">
      <c r="A293">
        <v>2815</v>
      </c>
      <c r="B293">
        <v>0</v>
      </c>
      <c r="C293" t="s">
        <v>102</v>
      </c>
      <c r="D293">
        <v>0</v>
      </c>
      <c r="E293">
        <v>114.989</v>
      </c>
      <c r="F293">
        <v>-27.41</v>
      </c>
      <c r="G293">
        <v>37924.86</v>
      </c>
      <c r="H293" s="1">
        <v>38779</v>
      </c>
      <c r="I293" s="1">
        <v>38799</v>
      </c>
      <c r="J293" t="s">
        <v>15</v>
      </c>
      <c r="K293">
        <v>0</v>
      </c>
      <c r="L293">
        <v>0</v>
      </c>
      <c r="M293" t="s">
        <v>103</v>
      </c>
      <c r="N293">
        <v>2</v>
      </c>
    </row>
    <row r="294" hidden="1" spans="1:14">
      <c r="A294">
        <v>2821</v>
      </c>
      <c r="B294">
        <v>0</v>
      </c>
      <c r="C294" t="s">
        <v>102</v>
      </c>
      <c r="D294">
        <v>0</v>
      </c>
      <c r="E294">
        <v>145.536</v>
      </c>
      <c r="F294">
        <v>-17.9086</v>
      </c>
      <c r="G294">
        <v>464470.79</v>
      </c>
      <c r="H294" s="1">
        <v>38796</v>
      </c>
      <c r="I294" s="1">
        <v>38824</v>
      </c>
      <c r="J294" t="s">
        <v>15</v>
      </c>
      <c r="K294">
        <v>0</v>
      </c>
      <c r="L294">
        <v>7000</v>
      </c>
      <c r="M294" t="s">
        <v>103</v>
      </c>
      <c r="N294">
        <v>2</v>
      </c>
    </row>
    <row r="295" hidden="1" spans="1:14">
      <c r="A295">
        <v>2824</v>
      </c>
      <c r="B295">
        <v>0</v>
      </c>
      <c r="C295" t="s">
        <v>102</v>
      </c>
      <c r="D295">
        <v>0</v>
      </c>
      <c r="E295">
        <v>137.662</v>
      </c>
      <c r="F295">
        <v>-33.9721</v>
      </c>
      <c r="G295">
        <v>57624.36</v>
      </c>
      <c r="H295" s="1">
        <v>38803</v>
      </c>
      <c r="I295" s="1">
        <v>38805</v>
      </c>
      <c r="J295" t="s">
        <v>15</v>
      </c>
      <c r="K295">
        <v>0</v>
      </c>
      <c r="L295">
        <v>0</v>
      </c>
      <c r="M295" t="s">
        <v>18</v>
      </c>
      <c r="N295">
        <v>2</v>
      </c>
    </row>
    <row r="296" hidden="1" spans="1:14">
      <c r="A296">
        <v>2828</v>
      </c>
      <c r="B296">
        <v>0</v>
      </c>
      <c r="C296" t="s">
        <v>102</v>
      </c>
      <c r="D296">
        <v>0</v>
      </c>
      <c r="E296">
        <v>115.125</v>
      </c>
      <c r="F296">
        <v>-25.677</v>
      </c>
      <c r="G296">
        <v>191822.7</v>
      </c>
      <c r="H296" s="1">
        <v>38806</v>
      </c>
      <c r="I296" s="1">
        <v>38812</v>
      </c>
      <c r="J296" t="s">
        <v>15</v>
      </c>
      <c r="K296">
        <v>0</v>
      </c>
      <c r="L296">
        <v>500</v>
      </c>
      <c r="M296" t="s">
        <v>103</v>
      </c>
      <c r="N296">
        <v>1</v>
      </c>
    </row>
    <row r="297" hidden="1" spans="1:14">
      <c r="A297">
        <v>2836</v>
      </c>
      <c r="B297">
        <v>0</v>
      </c>
      <c r="C297" t="s">
        <v>102</v>
      </c>
      <c r="D297">
        <v>0</v>
      </c>
      <c r="E297">
        <v>132.387</v>
      </c>
      <c r="F297">
        <v>-14.1837</v>
      </c>
      <c r="G297">
        <v>39365.97</v>
      </c>
      <c r="H297" s="1">
        <v>38812</v>
      </c>
      <c r="I297" s="1">
        <v>38817</v>
      </c>
      <c r="J297" t="s">
        <v>15</v>
      </c>
      <c r="K297">
        <v>0</v>
      </c>
      <c r="L297">
        <v>1100</v>
      </c>
      <c r="M297" t="s">
        <v>23</v>
      </c>
      <c r="N297">
        <v>1</v>
      </c>
    </row>
    <row r="298" hidden="1" spans="1:14">
      <c r="A298">
        <v>3021</v>
      </c>
      <c r="B298">
        <v>0</v>
      </c>
      <c r="C298" t="s">
        <v>102</v>
      </c>
      <c r="D298">
        <v>0</v>
      </c>
      <c r="E298">
        <v>138.489</v>
      </c>
      <c r="F298">
        <v>-31.3591</v>
      </c>
      <c r="G298">
        <v>661938.51</v>
      </c>
      <c r="H298" s="1">
        <v>39101</v>
      </c>
      <c r="I298" s="1">
        <v>39105</v>
      </c>
      <c r="J298" t="s">
        <v>15</v>
      </c>
      <c r="K298">
        <v>0</v>
      </c>
      <c r="L298">
        <v>0</v>
      </c>
      <c r="M298" t="s">
        <v>23</v>
      </c>
      <c r="N298">
        <v>1.5</v>
      </c>
    </row>
    <row r="299" hidden="1" spans="1:14">
      <c r="A299">
        <v>3025</v>
      </c>
      <c r="B299">
        <v>0</v>
      </c>
      <c r="C299" t="s">
        <v>102</v>
      </c>
      <c r="D299">
        <v>0</v>
      </c>
      <c r="E299">
        <v>141.474</v>
      </c>
      <c r="F299">
        <v>-24.5074</v>
      </c>
      <c r="G299">
        <v>1256487</v>
      </c>
      <c r="H299" s="1">
        <v>39105</v>
      </c>
      <c r="I299" s="1">
        <v>39128</v>
      </c>
      <c r="J299" t="s">
        <v>15</v>
      </c>
      <c r="K299">
        <v>0</v>
      </c>
      <c r="L299">
        <v>0</v>
      </c>
      <c r="M299" t="s">
        <v>16</v>
      </c>
      <c r="N299">
        <v>1</v>
      </c>
    </row>
    <row r="300" hidden="1" spans="1:14">
      <c r="A300">
        <v>3032</v>
      </c>
      <c r="B300">
        <v>0</v>
      </c>
      <c r="C300" t="s">
        <v>102</v>
      </c>
      <c r="D300">
        <v>0</v>
      </c>
      <c r="E300">
        <v>131.919</v>
      </c>
      <c r="F300">
        <v>-13.6718</v>
      </c>
      <c r="G300">
        <v>184731.32</v>
      </c>
      <c r="H300" s="1">
        <v>39143</v>
      </c>
      <c r="I300" s="1">
        <v>39157</v>
      </c>
      <c r="J300" t="s">
        <v>15</v>
      </c>
      <c r="K300">
        <v>2</v>
      </c>
      <c r="L300">
        <v>90</v>
      </c>
      <c r="M300" t="s">
        <v>86</v>
      </c>
      <c r="N300">
        <v>1.5</v>
      </c>
    </row>
    <row r="301" hidden="1" spans="1:14">
      <c r="A301">
        <v>3095</v>
      </c>
      <c r="B301">
        <v>0</v>
      </c>
      <c r="C301" t="s">
        <v>102</v>
      </c>
      <c r="D301">
        <v>0</v>
      </c>
      <c r="E301">
        <v>151.375</v>
      </c>
      <c r="F301">
        <v>-32.8654</v>
      </c>
      <c r="G301">
        <v>11377.07</v>
      </c>
      <c r="H301" s="1">
        <v>39241</v>
      </c>
      <c r="I301" s="1">
        <v>39246</v>
      </c>
      <c r="J301" t="s">
        <v>15</v>
      </c>
      <c r="K301">
        <v>9</v>
      </c>
      <c r="L301">
        <v>5000</v>
      </c>
      <c r="M301" t="s">
        <v>16</v>
      </c>
      <c r="N301">
        <v>1.5</v>
      </c>
    </row>
    <row r="302" hidden="1" spans="1:14">
      <c r="A302">
        <v>3114</v>
      </c>
      <c r="B302">
        <v>0</v>
      </c>
      <c r="C302" t="s">
        <v>102</v>
      </c>
      <c r="D302">
        <v>0</v>
      </c>
      <c r="E302">
        <v>146.856</v>
      </c>
      <c r="F302">
        <v>-37.9361</v>
      </c>
      <c r="G302">
        <v>40946.27</v>
      </c>
      <c r="H302" s="1">
        <v>39260</v>
      </c>
      <c r="I302" s="1">
        <v>39267</v>
      </c>
      <c r="J302" t="s">
        <v>15</v>
      </c>
      <c r="K302">
        <v>1</v>
      </c>
      <c r="L302">
        <v>300</v>
      </c>
      <c r="M302" t="s">
        <v>16</v>
      </c>
      <c r="N302">
        <v>1.5</v>
      </c>
    </row>
    <row r="303" hidden="1" spans="1:14">
      <c r="A303">
        <v>3158</v>
      </c>
      <c r="B303">
        <v>0</v>
      </c>
      <c r="C303" t="s">
        <v>102</v>
      </c>
      <c r="D303">
        <v>0</v>
      </c>
      <c r="E303">
        <v>147.398</v>
      </c>
      <c r="F303">
        <v>-42.0045</v>
      </c>
      <c r="G303">
        <v>22713.41</v>
      </c>
      <c r="H303" s="1">
        <v>39303</v>
      </c>
      <c r="I303" s="1">
        <v>39307</v>
      </c>
      <c r="J303" t="s">
        <v>15</v>
      </c>
      <c r="K303">
        <v>0</v>
      </c>
      <c r="L303">
        <v>200</v>
      </c>
      <c r="M303" t="s">
        <v>16</v>
      </c>
      <c r="N303">
        <v>1</v>
      </c>
    </row>
    <row r="304" hidden="1" spans="1:14">
      <c r="A304">
        <v>3237</v>
      </c>
      <c r="B304">
        <v>0</v>
      </c>
      <c r="C304" t="s">
        <v>102</v>
      </c>
      <c r="D304">
        <v>0</v>
      </c>
      <c r="E304">
        <v>145.667</v>
      </c>
      <c r="F304">
        <v>-26.9207</v>
      </c>
      <c r="G304">
        <v>285390.73</v>
      </c>
      <c r="H304" s="1">
        <v>39417</v>
      </c>
      <c r="I304" s="1">
        <v>39433</v>
      </c>
      <c r="J304" t="s">
        <v>15</v>
      </c>
      <c r="K304">
        <v>0</v>
      </c>
      <c r="L304">
        <v>0</v>
      </c>
      <c r="M304" t="s">
        <v>16</v>
      </c>
      <c r="N304">
        <v>1</v>
      </c>
    </row>
    <row r="305" hidden="1" spans="1:14">
      <c r="A305">
        <v>3247</v>
      </c>
      <c r="B305">
        <v>0</v>
      </c>
      <c r="C305" t="s">
        <v>102</v>
      </c>
      <c r="D305">
        <v>0</v>
      </c>
      <c r="E305">
        <v>148.213</v>
      </c>
      <c r="F305">
        <v>-30.2933</v>
      </c>
      <c r="G305">
        <v>200535.14</v>
      </c>
      <c r="H305" s="1">
        <v>39438</v>
      </c>
      <c r="I305" s="1">
        <v>39447</v>
      </c>
      <c r="J305" t="s">
        <v>15</v>
      </c>
      <c r="K305">
        <v>0</v>
      </c>
      <c r="L305">
        <v>0</v>
      </c>
      <c r="M305" t="s">
        <v>16</v>
      </c>
      <c r="N305">
        <v>1</v>
      </c>
    </row>
    <row r="306" hidden="1" spans="1:14">
      <c r="A306">
        <v>3252</v>
      </c>
      <c r="B306">
        <v>0</v>
      </c>
      <c r="C306" t="s">
        <v>102</v>
      </c>
      <c r="D306">
        <v>0</v>
      </c>
      <c r="E306">
        <v>152.87</v>
      </c>
      <c r="F306">
        <v>-28.4427</v>
      </c>
      <c r="G306">
        <v>41557.41</v>
      </c>
      <c r="H306" s="1">
        <v>39450</v>
      </c>
      <c r="I306" s="1">
        <v>39456</v>
      </c>
      <c r="J306" t="s">
        <v>15</v>
      </c>
      <c r="K306">
        <v>1</v>
      </c>
      <c r="L306">
        <v>3000</v>
      </c>
      <c r="M306" t="s">
        <v>16</v>
      </c>
      <c r="N306">
        <v>1.5</v>
      </c>
    </row>
    <row r="307" hidden="1" spans="1:14">
      <c r="A307">
        <v>3257</v>
      </c>
      <c r="B307" t="s">
        <v>105</v>
      </c>
      <c r="C307" t="s">
        <v>102</v>
      </c>
      <c r="D307">
        <v>0</v>
      </c>
      <c r="E307">
        <v>144.559</v>
      </c>
      <c r="F307">
        <v>-20.3986</v>
      </c>
      <c r="G307">
        <v>649465.5</v>
      </c>
      <c r="H307" s="1">
        <v>39461</v>
      </c>
      <c r="I307" s="1">
        <v>39479</v>
      </c>
      <c r="J307" t="s">
        <v>15</v>
      </c>
      <c r="K307">
        <v>0</v>
      </c>
      <c r="L307">
        <v>3200</v>
      </c>
      <c r="M307" t="s">
        <v>16</v>
      </c>
      <c r="N307">
        <v>2</v>
      </c>
    </row>
    <row r="308" hidden="1" spans="1:14">
      <c r="A308">
        <v>3270</v>
      </c>
      <c r="B308">
        <v>0</v>
      </c>
      <c r="C308" t="s">
        <v>102</v>
      </c>
      <c r="D308">
        <v>0</v>
      </c>
      <c r="E308">
        <v>149.539</v>
      </c>
      <c r="F308">
        <v>-22.4647</v>
      </c>
      <c r="G308">
        <v>44348.71</v>
      </c>
      <c r="H308" s="1">
        <v>39491</v>
      </c>
      <c r="I308" s="1">
        <v>39504</v>
      </c>
      <c r="J308" t="s">
        <v>15</v>
      </c>
      <c r="K308">
        <v>2</v>
      </c>
      <c r="L308">
        <v>1000</v>
      </c>
      <c r="M308" t="s">
        <v>16</v>
      </c>
      <c r="N308">
        <v>2</v>
      </c>
    </row>
    <row r="309" hidden="1" spans="1:14">
      <c r="A309">
        <v>3297</v>
      </c>
      <c r="B309">
        <v>0</v>
      </c>
      <c r="C309" t="s">
        <v>102</v>
      </c>
      <c r="D309">
        <v>0</v>
      </c>
      <c r="E309">
        <v>152.548</v>
      </c>
      <c r="F309">
        <v>-31.8912</v>
      </c>
      <c r="G309">
        <v>998.581</v>
      </c>
      <c r="H309" s="1">
        <v>39562</v>
      </c>
      <c r="I309" s="1">
        <v>39565</v>
      </c>
      <c r="J309" t="s">
        <v>15</v>
      </c>
      <c r="K309">
        <v>0</v>
      </c>
      <c r="L309">
        <v>0</v>
      </c>
      <c r="M309" t="s">
        <v>16</v>
      </c>
      <c r="N309">
        <v>1</v>
      </c>
    </row>
    <row r="310" hidden="1" spans="1:14">
      <c r="A310">
        <v>3406</v>
      </c>
      <c r="B310" t="s">
        <v>106</v>
      </c>
      <c r="C310" t="s">
        <v>102</v>
      </c>
      <c r="D310">
        <v>0</v>
      </c>
      <c r="E310">
        <v>151.493</v>
      </c>
      <c r="F310">
        <v>-30.0472</v>
      </c>
      <c r="G310">
        <v>183486.6</v>
      </c>
      <c r="H310" s="1">
        <v>39771</v>
      </c>
      <c r="I310" s="1">
        <v>39772</v>
      </c>
      <c r="J310" t="s">
        <v>15</v>
      </c>
      <c r="K310">
        <v>0</v>
      </c>
      <c r="L310">
        <v>100</v>
      </c>
      <c r="M310" t="s">
        <v>52</v>
      </c>
      <c r="N310">
        <v>1.5</v>
      </c>
    </row>
    <row r="311" hidden="1" spans="1:14">
      <c r="A311">
        <v>3410</v>
      </c>
      <c r="B311">
        <v>0</v>
      </c>
      <c r="C311" t="s">
        <v>102</v>
      </c>
      <c r="D311">
        <v>0</v>
      </c>
      <c r="E311">
        <v>147.033</v>
      </c>
      <c r="F311">
        <v>-21.5562</v>
      </c>
      <c r="G311">
        <v>105549.84</v>
      </c>
      <c r="H311" s="1">
        <v>39772</v>
      </c>
      <c r="I311" s="1">
        <v>39775</v>
      </c>
      <c r="J311" t="s">
        <v>15</v>
      </c>
      <c r="K311">
        <v>21</v>
      </c>
      <c r="L311">
        <v>1200</v>
      </c>
      <c r="M311" t="s">
        <v>107</v>
      </c>
      <c r="N311">
        <v>1</v>
      </c>
    </row>
    <row r="312" hidden="1" spans="1:14">
      <c r="A312">
        <v>3428</v>
      </c>
      <c r="B312">
        <v>0</v>
      </c>
      <c r="C312" t="s">
        <v>102</v>
      </c>
      <c r="D312">
        <v>0</v>
      </c>
      <c r="E312">
        <v>143.136</v>
      </c>
      <c r="F312">
        <v>-17.1271</v>
      </c>
      <c r="G312">
        <v>776847.75</v>
      </c>
      <c r="H312" s="1">
        <v>39816</v>
      </c>
      <c r="I312" s="1">
        <v>39826</v>
      </c>
      <c r="J312" t="s">
        <v>15</v>
      </c>
      <c r="K312">
        <v>28</v>
      </c>
      <c r="L312">
        <v>200000</v>
      </c>
      <c r="M312" t="s">
        <v>108</v>
      </c>
      <c r="N312">
        <v>1</v>
      </c>
    </row>
    <row r="313" hidden="1" spans="1:14">
      <c r="A313">
        <v>3438</v>
      </c>
      <c r="B313">
        <v>0</v>
      </c>
      <c r="C313" t="s">
        <v>102</v>
      </c>
      <c r="D313">
        <v>0</v>
      </c>
      <c r="E313">
        <v>150.686</v>
      </c>
      <c r="F313">
        <v>-29.4144</v>
      </c>
      <c r="G313">
        <v>427405.5</v>
      </c>
      <c r="H313" s="1">
        <v>39839</v>
      </c>
      <c r="I313" s="1">
        <v>39840</v>
      </c>
      <c r="J313" t="s">
        <v>15</v>
      </c>
      <c r="K313">
        <v>5</v>
      </c>
      <c r="L313">
        <v>200</v>
      </c>
      <c r="M313" t="s">
        <v>49</v>
      </c>
      <c r="N313">
        <v>1</v>
      </c>
    </row>
    <row r="314" hidden="1" spans="1:14">
      <c r="A314">
        <v>3439</v>
      </c>
      <c r="B314" t="s">
        <v>109</v>
      </c>
      <c r="C314" t="s">
        <v>102</v>
      </c>
      <c r="D314">
        <v>0</v>
      </c>
      <c r="E314">
        <v>120.56</v>
      </c>
      <c r="F314">
        <v>-20.1071</v>
      </c>
      <c r="G314">
        <v>477523.5</v>
      </c>
      <c r="H314" s="1">
        <v>39835</v>
      </c>
      <c r="I314" s="1">
        <v>39846</v>
      </c>
      <c r="J314" t="s">
        <v>15</v>
      </c>
      <c r="K314">
        <v>0</v>
      </c>
      <c r="L314">
        <v>0</v>
      </c>
      <c r="M314" t="s">
        <v>49</v>
      </c>
      <c r="N314">
        <v>1</v>
      </c>
    </row>
    <row r="315" hidden="1" spans="1:14">
      <c r="A315">
        <v>3468</v>
      </c>
      <c r="B315">
        <v>0</v>
      </c>
      <c r="C315" t="s">
        <v>102</v>
      </c>
      <c r="E315">
        <v>151.35</v>
      </c>
      <c r="F315">
        <v>-32.4557</v>
      </c>
      <c r="G315">
        <v>56500.67</v>
      </c>
      <c r="H315" s="1">
        <v>39871</v>
      </c>
      <c r="I315" s="1">
        <v>39928</v>
      </c>
      <c r="J315" t="s">
        <v>15</v>
      </c>
      <c r="K315">
        <v>150</v>
      </c>
      <c r="L315">
        <v>54000</v>
      </c>
      <c r="M315" t="s">
        <v>49</v>
      </c>
      <c r="N315">
        <v>2</v>
      </c>
    </row>
    <row r="316" hidden="1" spans="1:14">
      <c r="A316">
        <v>3480</v>
      </c>
      <c r="B316">
        <v>0</v>
      </c>
      <c r="C316" t="s">
        <v>102</v>
      </c>
      <c r="D316">
        <v>0</v>
      </c>
      <c r="E316">
        <v>152.738</v>
      </c>
      <c r="F316">
        <v>-29.047</v>
      </c>
      <c r="G316">
        <v>68691.95</v>
      </c>
      <c r="H316" s="1">
        <v>39944</v>
      </c>
      <c r="I316" s="1">
        <v>39946</v>
      </c>
      <c r="J316" t="s">
        <v>15</v>
      </c>
      <c r="K316">
        <v>0</v>
      </c>
      <c r="L316">
        <v>0</v>
      </c>
      <c r="M316" t="s">
        <v>49</v>
      </c>
      <c r="N316">
        <v>1</v>
      </c>
    </row>
    <row r="317" hidden="1" spans="1:14">
      <c r="A317">
        <v>3564</v>
      </c>
      <c r="B317">
        <v>0</v>
      </c>
      <c r="C317" t="s">
        <v>102</v>
      </c>
      <c r="D317">
        <v>0</v>
      </c>
      <c r="E317">
        <v>151.64</v>
      </c>
      <c r="F317">
        <v>-30.3895</v>
      </c>
      <c r="G317">
        <v>98552.75</v>
      </c>
      <c r="H317" s="1">
        <v>40124</v>
      </c>
      <c r="I317" s="1">
        <v>40126</v>
      </c>
      <c r="J317">
        <v>0</v>
      </c>
      <c r="K317">
        <v>0</v>
      </c>
      <c r="L317">
        <v>0</v>
      </c>
      <c r="M317" t="s">
        <v>49</v>
      </c>
      <c r="N317">
        <v>1</v>
      </c>
    </row>
    <row r="318" hidden="1" spans="1:14">
      <c r="A318">
        <v>3586</v>
      </c>
      <c r="B318">
        <v>0</v>
      </c>
      <c r="C318" t="s">
        <v>102</v>
      </c>
      <c r="D318">
        <v>0</v>
      </c>
      <c r="E318">
        <v>151.752</v>
      </c>
      <c r="F318">
        <v>-31.1753</v>
      </c>
      <c r="G318">
        <v>149317.65</v>
      </c>
      <c r="H318" s="1">
        <v>40172</v>
      </c>
      <c r="I318" s="1">
        <v>40175</v>
      </c>
      <c r="J318">
        <v>0</v>
      </c>
      <c r="K318">
        <v>0</v>
      </c>
      <c r="L318">
        <v>0</v>
      </c>
      <c r="M318" t="s">
        <v>49</v>
      </c>
      <c r="N318">
        <v>1</v>
      </c>
    </row>
    <row r="319" hidden="1" spans="1:14">
      <c r="A319">
        <v>3590</v>
      </c>
      <c r="B319">
        <v>0</v>
      </c>
      <c r="C319" t="s">
        <v>102</v>
      </c>
      <c r="D319">
        <v>0</v>
      </c>
      <c r="E319">
        <v>149.058</v>
      </c>
      <c r="F319">
        <v>-30.9508</v>
      </c>
      <c r="G319">
        <v>301378.85</v>
      </c>
      <c r="H319" s="1">
        <v>40179</v>
      </c>
      <c r="I319" s="1">
        <v>40191</v>
      </c>
      <c r="J319">
        <v>0</v>
      </c>
      <c r="K319">
        <v>0</v>
      </c>
      <c r="L319">
        <v>1000</v>
      </c>
      <c r="M319" t="s">
        <v>110</v>
      </c>
      <c r="N319">
        <v>1.5</v>
      </c>
    </row>
    <row r="320" hidden="1" spans="1:14">
      <c r="A320">
        <v>3603</v>
      </c>
      <c r="B320">
        <v>0</v>
      </c>
      <c r="C320" t="s">
        <v>102</v>
      </c>
      <c r="D320">
        <v>0</v>
      </c>
      <c r="E320">
        <v>145.18</v>
      </c>
      <c r="F320">
        <v>-20.174</v>
      </c>
      <c r="G320">
        <v>188865.22</v>
      </c>
      <c r="H320" s="1">
        <v>40214</v>
      </c>
      <c r="I320" s="1">
        <v>40216</v>
      </c>
      <c r="J320">
        <v>0</v>
      </c>
      <c r="K320">
        <v>2</v>
      </c>
      <c r="L320">
        <v>0</v>
      </c>
      <c r="M320" t="s">
        <v>49</v>
      </c>
      <c r="N320">
        <v>1</v>
      </c>
    </row>
    <row r="321" hidden="1" spans="1:14">
      <c r="A321">
        <v>3606</v>
      </c>
      <c r="B321">
        <v>0</v>
      </c>
      <c r="C321" t="s">
        <v>102</v>
      </c>
      <c r="D321">
        <v>0</v>
      </c>
      <c r="E321">
        <v>152.829</v>
      </c>
      <c r="F321">
        <v>-27.2208</v>
      </c>
      <c r="G321">
        <v>20651.57</v>
      </c>
      <c r="H321" s="1">
        <v>40224</v>
      </c>
      <c r="I321" s="1">
        <v>40225</v>
      </c>
      <c r="J321">
        <v>0</v>
      </c>
      <c r="K321">
        <v>0</v>
      </c>
      <c r="L321">
        <v>0</v>
      </c>
      <c r="M321" t="s">
        <v>52</v>
      </c>
      <c r="N321">
        <v>2</v>
      </c>
    </row>
    <row r="322" hidden="1" spans="1:14">
      <c r="A322">
        <v>3608</v>
      </c>
      <c r="B322">
        <v>0</v>
      </c>
      <c r="C322" t="s">
        <v>102</v>
      </c>
      <c r="D322">
        <v>0</v>
      </c>
      <c r="E322">
        <v>149.599</v>
      </c>
      <c r="F322">
        <v>-32.4204</v>
      </c>
      <c r="G322">
        <v>311949.24</v>
      </c>
      <c r="H322" s="1">
        <v>40222</v>
      </c>
      <c r="I322" s="1">
        <v>40225</v>
      </c>
      <c r="J322">
        <v>0</v>
      </c>
      <c r="K322">
        <v>0</v>
      </c>
      <c r="L322">
        <v>0</v>
      </c>
      <c r="M322" t="s">
        <v>49</v>
      </c>
      <c r="N322">
        <v>2</v>
      </c>
    </row>
    <row r="323" hidden="1" spans="1:14">
      <c r="A323">
        <v>3615</v>
      </c>
      <c r="B323">
        <v>0</v>
      </c>
      <c r="C323" t="s">
        <v>102</v>
      </c>
      <c r="D323">
        <v>0</v>
      </c>
      <c r="E323">
        <v>147.956</v>
      </c>
      <c r="F323">
        <v>-26.2155</v>
      </c>
      <c r="G323">
        <v>431681.63</v>
      </c>
      <c r="H323" s="1">
        <v>40237</v>
      </c>
      <c r="I323" s="1">
        <v>40254</v>
      </c>
      <c r="J323">
        <v>0</v>
      </c>
      <c r="K323">
        <v>0</v>
      </c>
      <c r="L323">
        <v>0</v>
      </c>
      <c r="M323" t="s">
        <v>49</v>
      </c>
      <c r="N323">
        <v>2</v>
      </c>
    </row>
    <row r="324" hidden="1" spans="1:14">
      <c r="A324">
        <v>3708</v>
      </c>
      <c r="B324">
        <v>0</v>
      </c>
      <c r="C324" t="s">
        <v>102</v>
      </c>
      <c r="D324">
        <v>0</v>
      </c>
      <c r="E324">
        <v>143.325</v>
      </c>
      <c r="F324">
        <v>-38.07</v>
      </c>
      <c r="G324">
        <v>7093.05</v>
      </c>
      <c r="H324" s="1">
        <v>40422</v>
      </c>
      <c r="I324" s="1">
        <v>40436</v>
      </c>
      <c r="J324" t="s">
        <v>15</v>
      </c>
      <c r="K324">
        <v>0</v>
      </c>
      <c r="L324">
        <v>10000</v>
      </c>
      <c r="M324" t="s">
        <v>49</v>
      </c>
      <c r="N324">
        <v>2</v>
      </c>
    </row>
    <row r="325" hidden="1" spans="1:14">
      <c r="A325">
        <v>3731</v>
      </c>
      <c r="B325">
        <v>0</v>
      </c>
      <c r="C325" t="s">
        <v>102</v>
      </c>
      <c r="D325">
        <v>0</v>
      </c>
      <c r="E325">
        <v>151.02</v>
      </c>
      <c r="F325">
        <v>-27.36</v>
      </c>
      <c r="G325">
        <v>4896.01</v>
      </c>
      <c r="H325" s="1">
        <v>40460</v>
      </c>
      <c r="I325" s="1">
        <v>40463</v>
      </c>
      <c r="J325" t="s">
        <v>15</v>
      </c>
      <c r="K325">
        <v>0</v>
      </c>
      <c r="L325">
        <v>100</v>
      </c>
      <c r="M325" t="s">
        <v>49</v>
      </c>
      <c r="N325">
        <v>1.5</v>
      </c>
    </row>
    <row r="326" hidden="1" spans="1:14">
      <c r="A326">
        <v>3734</v>
      </c>
      <c r="B326">
        <v>0</v>
      </c>
      <c r="C326" t="s">
        <v>102</v>
      </c>
      <c r="D326">
        <v>0</v>
      </c>
      <c r="E326">
        <v>144.27</v>
      </c>
      <c r="F326">
        <v>-30.555</v>
      </c>
      <c r="G326">
        <v>21254.7</v>
      </c>
      <c r="H326" s="1">
        <v>40466</v>
      </c>
      <c r="I326" s="1">
        <v>40470</v>
      </c>
      <c r="J326" t="s">
        <v>15</v>
      </c>
      <c r="K326">
        <v>0</v>
      </c>
      <c r="L326">
        <v>0</v>
      </c>
      <c r="M326" t="s">
        <v>49</v>
      </c>
      <c r="N326">
        <v>1</v>
      </c>
    </row>
    <row r="327" hidden="1" spans="1:14">
      <c r="A327">
        <v>3752</v>
      </c>
      <c r="B327">
        <v>0</v>
      </c>
      <c r="C327" t="s">
        <v>102</v>
      </c>
      <c r="D327">
        <v>0</v>
      </c>
      <c r="E327">
        <v>147.388</v>
      </c>
      <c r="F327">
        <v>-29.8384</v>
      </c>
      <c r="G327">
        <v>832001.36</v>
      </c>
      <c r="H327" s="1">
        <v>40509</v>
      </c>
      <c r="I327" s="1">
        <v>40532</v>
      </c>
      <c r="J327" t="s">
        <v>15</v>
      </c>
      <c r="K327">
        <v>5</v>
      </c>
      <c r="L327">
        <v>3000</v>
      </c>
      <c r="M327" t="s">
        <v>49</v>
      </c>
      <c r="N327">
        <v>2</v>
      </c>
    </row>
    <row r="328" hidden="1" spans="1:14">
      <c r="A328">
        <v>3763</v>
      </c>
      <c r="B328">
        <v>0</v>
      </c>
      <c r="C328" t="s">
        <v>102</v>
      </c>
      <c r="E328">
        <v>115.135</v>
      </c>
      <c r="F328">
        <v>-24.6815</v>
      </c>
      <c r="G328">
        <v>175962.13</v>
      </c>
      <c r="H328" s="1">
        <v>40529</v>
      </c>
      <c r="I328" s="1">
        <v>40540</v>
      </c>
      <c r="J328" t="s">
        <v>15</v>
      </c>
      <c r="K328">
        <v>0</v>
      </c>
      <c r="L328">
        <v>0</v>
      </c>
      <c r="M328" t="s">
        <v>49</v>
      </c>
      <c r="N328">
        <v>1.5</v>
      </c>
    </row>
    <row r="329" hidden="1" spans="1:14">
      <c r="A329">
        <v>3764</v>
      </c>
      <c r="B329">
        <v>0</v>
      </c>
      <c r="C329" t="s">
        <v>102</v>
      </c>
      <c r="E329">
        <v>147.631</v>
      </c>
      <c r="F329">
        <v>-24.7747</v>
      </c>
      <c r="G329">
        <v>911256.21</v>
      </c>
      <c r="H329" s="1">
        <v>40537</v>
      </c>
      <c r="I329" s="1">
        <v>40578</v>
      </c>
      <c r="J329" t="s">
        <v>15</v>
      </c>
      <c r="K329">
        <v>35</v>
      </c>
      <c r="L329">
        <v>175000</v>
      </c>
      <c r="M329" t="s">
        <v>111</v>
      </c>
      <c r="N329">
        <v>2</v>
      </c>
    </row>
    <row r="330" hidden="1" spans="1:14">
      <c r="A330">
        <v>3786</v>
      </c>
      <c r="C330" t="s">
        <v>102</v>
      </c>
      <c r="E330">
        <v>146.658</v>
      </c>
      <c r="F330">
        <v>-19.7897</v>
      </c>
      <c r="G330">
        <v>457221.41</v>
      </c>
      <c r="H330" s="1">
        <v>40609</v>
      </c>
      <c r="I330" s="1">
        <v>40630</v>
      </c>
      <c r="J330" t="s">
        <v>15</v>
      </c>
      <c r="K330">
        <v>1</v>
      </c>
      <c r="L330">
        <v>0</v>
      </c>
      <c r="M330" t="s">
        <v>54</v>
      </c>
      <c r="N330">
        <v>1</v>
      </c>
    </row>
    <row r="331" hidden="1" spans="1:14">
      <c r="A331">
        <v>3792</v>
      </c>
      <c r="C331" t="s">
        <v>102</v>
      </c>
      <c r="E331">
        <v>122.73</v>
      </c>
      <c r="F331">
        <v>-18.939</v>
      </c>
      <c r="G331">
        <v>114051.18</v>
      </c>
      <c r="H331" s="1">
        <v>40616</v>
      </c>
      <c r="I331" s="1">
        <v>40620</v>
      </c>
      <c r="J331" t="s">
        <v>15</v>
      </c>
      <c r="K331">
        <v>0</v>
      </c>
      <c r="L331">
        <v>217</v>
      </c>
      <c r="M331" t="s">
        <v>49</v>
      </c>
      <c r="N331">
        <v>2</v>
      </c>
    </row>
    <row r="332" hidden="1" spans="1:14">
      <c r="A332">
        <v>3824</v>
      </c>
      <c r="C332" t="s">
        <v>102</v>
      </c>
      <c r="E332">
        <v>152.081</v>
      </c>
      <c r="F332">
        <v>-29.8414</v>
      </c>
      <c r="G332">
        <v>98203.33</v>
      </c>
      <c r="H332" s="1">
        <v>40705</v>
      </c>
      <c r="I332" s="1">
        <v>40715</v>
      </c>
      <c r="J332" t="s">
        <v>15</v>
      </c>
      <c r="K332">
        <v>0</v>
      </c>
      <c r="L332">
        <v>2000</v>
      </c>
      <c r="M332" t="s">
        <v>49</v>
      </c>
      <c r="N332">
        <v>1</v>
      </c>
    </row>
    <row r="333" hidden="1" spans="1:14">
      <c r="A333">
        <v>3879</v>
      </c>
      <c r="C333" t="s">
        <v>102</v>
      </c>
      <c r="E333">
        <v>149.372</v>
      </c>
      <c r="F333">
        <v>-29.4584</v>
      </c>
      <c r="G333">
        <v>45037.95</v>
      </c>
      <c r="H333" s="1">
        <v>40874</v>
      </c>
      <c r="I333" s="1">
        <v>40899</v>
      </c>
      <c r="J333" t="s">
        <v>15</v>
      </c>
      <c r="K333">
        <v>1</v>
      </c>
      <c r="L333">
        <v>60</v>
      </c>
      <c r="M333" t="s">
        <v>49</v>
      </c>
      <c r="N333">
        <v>1</v>
      </c>
    </row>
    <row r="334" hidden="1" spans="1:14">
      <c r="A334">
        <v>3894</v>
      </c>
      <c r="C334" t="s">
        <v>102</v>
      </c>
      <c r="E334">
        <v>146.646</v>
      </c>
      <c r="F334">
        <v>-21.7176</v>
      </c>
      <c r="G334">
        <v>761154.11</v>
      </c>
      <c r="H334" s="1">
        <v>40930</v>
      </c>
      <c r="I334" s="1">
        <v>40975</v>
      </c>
      <c r="J334" t="s">
        <v>15</v>
      </c>
      <c r="K334">
        <v>2</v>
      </c>
      <c r="L334">
        <v>13000</v>
      </c>
      <c r="M334" t="s">
        <v>54</v>
      </c>
      <c r="N334">
        <v>2</v>
      </c>
    </row>
    <row r="335" hidden="1" spans="1:14">
      <c r="A335">
        <v>4024</v>
      </c>
      <c r="C335" t="s">
        <v>102</v>
      </c>
      <c r="E335">
        <v>144.818</v>
      </c>
      <c r="F335">
        <v>-19.3725</v>
      </c>
      <c r="G335">
        <v>1021219.24</v>
      </c>
      <c r="H335" s="1">
        <v>41296</v>
      </c>
      <c r="I335" s="1">
        <v>41306</v>
      </c>
      <c r="J335" t="s">
        <v>15</v>
      </c>
      <c r="K335">
        <v>6</v>
      </c>
      <c r="L335">
        <v>8000</v>
      </c>
      <c r="M335" t="s">
        <v>112</v>
      </c>
      <c r="N335">
        <v>1.5</v>
      </c>
    </row>
    <row r="336" hidden="1" spans="1:14">
      <c r="A336">
        <v>4034</v>
      </c>
      <c r="C336" t="s">
        <v>102</v>
      </c>
      <c r="E336">
        <v>149.832</v>
      </c>
      <c r="F336">
        <v>-24.971</v>
      </c>
      <c r="G336">
        <v>240506.1</v>
      </c>
      <c r="H336" s="1">
        <v>41330</v>
      </c>
      <c r="I336" s="1">
        <v>41337</v>
      </c>
      <c r="J336" t="s">
        <v>15</v>
      </c>
      <c r="K336">
        <v>2</v>
      </c>
      <c r="L336">
        <v>200</v>
      </c>
      <c r="M336" t="s">
        <v>113</v>
      </c>
      <c r="N336">
        <v>1</v>
      </c>
    </row>
    <row r="337" hidden="1" spans="1:14">
      <c r="A337">
        <v>4120</v>
      </c>
      <c r="C337" t="s">
        <v>102</v>
      </c>
      <c r="E337">
        <v>131.732</v>
      </c>
      <c r="F337">
        <v>-14.3299</v>
      </c>
      <c r="G337">
        <v>426979.84</v>
      </c>
      <c r="H337" s="1">
        <v>41672</v>
      </c>
      <c r="I337" s="1">
        <v>41677</v>
      </c>
      <c r="J337" t="s">
        <v>15</v>
      </c>
      <c r="K337">
        <v>0</v>
      </c>
      <c r="L337">
        <v>0</v>
      </c>
      <c r="M337" t="s">
        <v>114</v>
      </c>
      <c r="N337">
        <v>1</v>
      </c>
    </row>
    <row r="338" hidden="1" spans="1:14">
      <c r="A338">
        <v>4130</v>
      </c>
      <c r="C338" t="s">
        <v>102</v>
      </c>
      <c r="E338">
        <v>150.117</v>
      </c>
      <c r="F338">
        <v>-26.2415</v>
      </c>
      <c r="G338">
        <v>250162.12</v>
      </c>
      <c r="H338" s="1">
        <v>41722</v>
      </c>
      <c r="I338" s="1">
        <v>41728</v>
      </c>
      <c r="J338" t="s">
        <v>15</v>
      </c>
      <c r="K338">
        <v>1</v>
      </c>
      <c r="L338">
        <v>0</v>
      </c>
      <c r="M338" t="s">
        <v>52</v>
      </c>
      <c r="N338">
        <v>1.5</v>
      </c>
    </row>
    <row r="339" hidden="1" spans="1:14">
      <c r="A339">
        <v>4218</v>
      </c>
      <c r="C339" t="s">
        <v>102</v>
      </c>
      <c r="E339">
        <v>127.056</v>
      </c>
      <c r="F339">
        <v>-19.1872</v>
      </c>
      <c r="G339">
        <v>1519623.45</v>
      </c>
      <c r="H339" s="1">
        <v>42009</v>
      </c>
      <c r="I339" s="1">
        <v>42015</v>
      </c>
      <c r="J339" t="s">
        <v>15</v>
      </c>
      <c r="K339">
        <v>1</v>
      </c>
      <c r="L339">
        <v>0</v>
      </c>
      <c r="M339" t="s">
        <v>49</v>
      </c>
      <c r="N339">
        <v>1.5</v>
      </c>
    </row>
    <row r="340" hidden="1" spans="1:14">
      <c r="A340">
        <v>4223</v>
      </c>
      <c r="C340" t="s">
        <v>102</v>
      </c>
      <c r="E340">
        <v>145.675</v>
      </c>
      <c r="F340">
        <v>-17.8703</v>
      </c>
      <c r="G340">
        <v>122203.01</v>
      </c>
      <c r="H340" s="1">
        <v>42040</v>
      </c>
      <c r="I340" s="1">
        <v>42044</v>
      </c>
      <c r="J340" t="s">
        <v>15</v>
      </c>
      <c r="K340">
        <v>0</v>
      </c>
      <c r="L340">
        <v>0</v>
      </c>
      <c r="M340" t="s">
        <v>54</v>
      </c>
      <c r="N340">
        <v>1.5</v>
      </c>
    </row>
    <row r="341" hidden="1" spans="1:14">
      <c r="A341">
        <v>4226</v>
      </c>
      <c r="C341" t="s">
        <v>102</v>
      </c>
      <c r="E341">
        <v>135.716</v>
      </c>
      <c r="F341">
        <v>-18.2</v>
      </c>
      <c r="G341">
        <v>445272.72</v>
      </c>
      <c r="H341" s="1">
        <v>42057</v>
      </c>
      <c r="I341" s="1">
        <v>42059</v>
      </c>
      <c r="J341" t="s">
        <v>15</v>
      </c>
      <c r="K341">
        <v>0</v>
      </c>
      <c r="L341">
        <v>350</v>
      </c>
      <c r="M341" t="s">
        <v>115</v>
      </c>
      <c r="N341">
        <v>1.5</v>
      </c>
    </row>
    <row r="342" hidden="1" spans="1:14">
      <c r="A342">
        <v>4244</v>
      </c>
      <c r="C342" t="s">
        <v>102</v>
      </c>
      <c r="E342">
        <v>150.612</v>
      </c>
      <c r="F342">
        <v>-33.3812</v>
      </c>
      <c r="G342">
        <v>175487.07</v>
      </c>
      <c r="H342" s="1">
        <v>42114</v>
      </c>
      <c r="I342" s="1">
        <v>42122</v>
      </c>
      <c r="J342" t="s">
        <v>15</v>
      </c>
      <c r="K342">
        <v>4</v>
      </c>
      <c r="L342">
        <v>1000</v>
      </c>
      <c r="M342" t="s">
        <v>49</v>
      </c>
      <c r="N342">
        <v>2</v>
      </c>
    </row>
    <row r="343" hidden="1" spans="1:14">
      <c r="A343">
        <v>4247</v>
      </c>
      <c r="C343" t="s">
        <v>102</v>
      </c>
      <c r="E343">
        <v>150.513</v>
      </c>
      <c r="F343">
        <v>-25.9441</v>
      </c>
      <c r="G343">
        <v>192631.23</v>
      </c>
      <c r="H343" s="1">
        <v>42125</v>
      </c>
      <c r="I343" s="1">
        <v>42126</v>
      </c>
      <c r="J343" t="s">
        <v>15</v>
      </c>
      <c r="K343">
        <v>5</v>
      </c>
      <c r="L343">
        <v>0</v>
      </c>
      <c r="M343" t="s">
        <v>52</v>
      </c>
      <c r="N343">
        <v>2</v>
      </c>
    </row>
    <row r="344" hidden="1" spans="1:14">
      <c r="A344">
        <v>4316</v>
      </c>
      <c r="C344" t="s">
        <v>102</v>
      </c>
      <c r="E344">
        <v>152.121</v>
      </c>
      <c r="F344">
        <v>-30.3571</v>
      </c>
      <c r="G344">
        <v>66654.94</v>
      </c>
      <c r="H344" s="1">
        <v>42361</v>
      </c>
      <c r="I344" s="1">
        <v>42375</v>
      </c>
      <c r="J344" t="s">
        <v>15</v>
      </c>
      <c r="K344">
        <v>0</v>
      </c>
      <c r="L344">
        <v>0</v>
      </c>
      <c r="M344" t="s">
        <v>49</v>
      </c>
      <c r="N344">
        <v>1</v>
      </c>
    </row>
    <row r="345" hidden="1" spans="1:14">
      <c r="A345">
        <v>4327</v>
      </c>
      <c r="C345" t="s">
        <v>102</v>
      </c>
      <c r="E345">
        <v>145.712</v>
      </c>
      <c r="F345">
        <v>-41.858</v>
      </c>
      <c r="G345">
        <v>30723.28</v>
      </c>
      <c r="H345" s="1">
        <v>42396</v>
      </c>
      <c r="I345" s="1">
        <v>42398</v>
      </c>
      <c r="J345" t="s">
        <v>15</v>
      </c>
      <c r="K345">
        <v>0</v>
      </c>
      <c r="L345">
        <v>0</v>
      </c>
      <c r="M345" t="s">
        <v>52</v>
      </c>
      <c r="N345">
        <v>1.5</v>
      </c>
    </row>
    <row r="346" hidden="1" spans="1:14">
      <c r="A346">
        <v>4332</v>
      </c>
      <c r="C346" t="s">
        <v>102</v>
      </c>
      <c r="E346">
        <v>142.05</v>
      </c>
      <c r="F346">
        <v>-21.5756</v>
      </c>
      <c r="G346">
        <v>108576.38</v>
      </c>
      <c r="H346" s="1">
        <v>42394</v>
      </c>
      <c r="I346" s="1">
        <v>42403</v>
      </c>
      <c r="J346" t="s">
        <v>15</v>
      </c>
      <c r="K346">
        <v>0</v>
      </c>
      <c r="L346">
        <v>0</v>
      </c>
      <c r="M346" t="s">
        <v>49</v>
      </c>
      <c r="N346">
        <v>1</v>
      </c>
    </row>
    <row r="347" hidden="1" spans="1:14">
      <c r="A347">
        <v>4367</v>
      </c>
      <c r="C347" t="s">
        <v>102</v>
      </c>
      <c r="E347">
        <v>145.663</v>
      </c>
      <c r="F347">
        <v>-25.1971</v>
      </c>
      <c r="G347">
        <v>789275.07</v>
      </c>
      <c r="H347" s="1">
        <v>42540</v>
      </c>
      <c r="I347" s="1">
        <v>42545</v>
      </c>
      <c r="J347" t="s">
        <v>15</v>
      </c>
      <c r="K347">
        <v>0</v>
      </c>
      <c r="L347">
        <v>0</v>
      </c>
      <c r="M347" t="s">
        <v>49</v>
      </c>
      <c r="N347">
        <v>1.5</v>
      </c>
    </row>
    <row r="348" hidden="1" spans="1:14">
      <c r="A348">
        <v>4379</v>
      </c>
      <c r="C348" t="s">
        <v>102</v>
      </c>
      <c r="E348">
        <v>146.752</v>
      </c>
      <c r="F348">
        <v>-41.8093</v>
      </c>
      <c r="G348">
        <v>27186.66</v>
      </c>
      <c r="H348" s="1">
        <v>42564</v>
      </c>
      <c r="I348" s="1">
        <v>42570</v>
      </c>
      <c r="J348" t="s">
        <v>15</v>
      </c>
      <c r="K348">
        <v>0</v>
      </c>
      <c r="L348">
        <v>0</v>
      </c>
      <c r="M348" t="s">
        <v>49</v>
      </c>
      <c r="N348">
        <v>1</v>
      </c>
    </row>
    <row r="349" hidden="1" spans="1:14">
      <c r="A349">
        <v>4399</v>
      </c>
      <c r="C349" t="s">
        <v>102</v>
      </c>
      <c r="E349">
        <v>139.898</v>
      </c>
      <c r="F349">
        <v>-33.2769</v>
      </c>
      <c r="G349">
        <v>634200.41</v>
      </c>
      <c r="H349" s="1">
        <v>42623</v>
      </c>
      <c r="I349" s="1">
        <v>42635</v>
      </c>
      <c r="J349" t="s">
        <v>15</v>
      </c>
      <c r="K349">
        <v>1</v>
      </c>
      <c r="L349">
        <v>280</v>
      </c>
      <c r="M349" t="s">
        <v>49</v>
      </c>
      <c r="N349">
        <v>1.5</v>
      </c>
    </row>
    <row r="350" hidden="1" spans="1:14">
      <c r="A350">
        <v>4409</v>
      </c>
      <c r="C350" t="s">
        <v>102</v>
      </c>
      <c r="E350">
        <v>140.219</v>
      </c>
      <c r="F350">
        <v>-34.2934</v>
      </c>
      <c r="G350">
        <v>113091.29</v>
      </c>
      <c r="H350" s="1">
        <v>42644</v>
      </c>
      <c r="I350" s="1">
        <v>42659</v>
      </c>
      <c r="J350" t="s">
        <v>15</v>
      </c>
      <c r="K350">
        <v>1</v>
      </c>
      <c r="L350">
        <v>0</v>
      </c>
      <c r="M350" t="s">
        <v>49</v>
      </c>
      <c r="N350">
        <v>1</v>
      </c>
    </row>
    <row r="351" hidden="1" spans="1:14">
      <c r="A351">
        <v>4428</v>
      </c>
      <c r="C351" t="s">
        <v>102</v>
      </c>
      <c r="E351">
        <v>133.489</v>
      </c>
      <c r="F351">
        <v>-21.5215</v>
      </c>
      <c r="G351">
        <v>1155717.36</v>
      </c>
      <c r="H351" s="1">
        <v>42729</v>
      </c>
      <c r="I351" s="1">
        <v>42740</v>
      </c>
      <c r="J351" t="s">
        <v>15</v>
      </c>
      <c r="K351">
        <v>0</v>
      </c>
      <c r="L351">
        <v>100</v>
      </c>
      <c r="M351" t="s">
        <v>49</v>
      </c>
      <c r="N351">
        <v>1.5</v>
      </c>
    </row>
    <row r="352" hidden="1" spans="1:14">
      <c r="A352">
        <v>4451</v>
      </c>
      <c r="C352" t="s">
        <v>102</v>
      </c>
      <c r="E352">
        <v>150.76</v>
      </c>
      <c r="F352">
        <v>-31.6956</v>
      </c>
      <c r="G352">
        <v>138000.28</v>
      </c>
      <c r="H352" s="1">
        <v>42807</v>
      </c>
      <c r="I352" s="1">
        <v>42816</v>
      </c>
      <c r="J352" t="s">
        <v>15</v>
      </c>
      <c r="K352">
        <v>1</v>
      </c>
      <c r="L352">
        <v>0</v>
      </c>
      <c r="M352" t="s">
        <v>49</v>
      </c>
      <c r="N352">
        <v>1</v>
      </c>
    </row>
    <row r="353" hidden="1" spans="1:14">
      <c r="A353">
        <v>4458</v>
      </c>
      <c r="B353" t="s">
        <v>116</v>
      </c>
      <c r="C353" t="s">
        <v>102</v>
      </c>
      <c r="D353" t="s">
        <v>117</v>
      </c>
      <c r="E353">
        <v>148.682</v>
      </c>
      <c r="F353">
        <v>-21.975</v>
      </c>
      <c r="G353">
        <v>258485.66</v>
      </c>
      <c r="H353" s="1">
        <v>42822</v>
      </c>
      <c r="I353" s="1">
        <v>42833</v>
      </c>
      <c r="J353" t="s">
        <v>15</v>
      </c>
      <c r="K353">
        <v>6</v>
      </c>
      <c r="L353">
        <v>20000</v>
      </c>
      <c r="M353" t="s">
        <v>118</v>
      </c>
      <c r="N353">
        <v>2</v>
      </c>
    </row>
    <row r="354" hidden="1" spans="1:14">
      <c r="A354">
        <v>4535</v>
      </c>
      <c r="C354" t="s">
        <v>102</v>
      </c>
      <c r="E354">
        <v>149.919</v>
      </c>
      <c r="F354">
        <v>-23.4884</v>
      </c>
      <c r="G354">
        <v>140813.2</v>
      </c>
      <c r="H354" s="1">
        <v>43024</v>
      </c>
      <c r="I354" s="1">
        <v>43026</v>
      </c>
      <c r="J354" t="s">
        <v>15</v>
      </c>
      <c r="K354">
        <v>1</v>
      </c>
      <c r="L354">
        <v>0</v>
      </c>
      <c r="M354" t="s">
        <v>52</v>
      </c>
      <c r="N354">
        <v>1</v>
      </c>
    </row>
    <row r="355" hidden="1" spans="1:14">
      <c r="A355">
        <v>4549</v>
      </c>
      <c r="C355" t="s">
        <v>102</v>
      </c>
      <c r="E355">
        <v>144.772</v>
      </c>
      <c r="F355">
        <v>-36.0305</v>
      </c>
      <c r="G355">
        <v>128861.85</v>
      </c>
      <c r="H355" s="1">
        <v>43070</v>
      </c>
      <c r="I355" s="1">
        <v>43074</v>
      </c>
      <c r="J355" t="s">
        <v>15</v>
      </c>
      <c r="K355">
        <v>0</v>
      </c>
      <c r="L355">
        <v>50</v>
      </c>
      <c r="M355" t="s">
        <v>49</v>
      </c>
      <c r="N355">
        <v>1</v>
      </c>
    </row>
    <row r="356" hidden="1" spans="1:14">
      <c r="A356">
        <v>4574</v>
      </c>
      <c r="C356" t="s">
        <v>102</v>
      </c>
      <c r="E356">
        <v>123.146</v>
      </c>
      <c r="F356">
        <v>-19.7321</v>
      </c>
      <c r="G356">
        <v>332481.35</v>
      </c>
      <c r="H356" s="1">
        <v>43149</v>
      </c>
      <c r="I356" s="1">
        <v>43152</v>
      </c>
      <c r="J356" t="s">
        <v>56</v>
      </c>
      <c r="K356">
        <v>0</v>
      </c>
      <c r="L356">
        <v>0</v>
      </c>
      <c r="M356" t="s">
        <v>119</v>
      </c>
      <c r="N356">
        <v>1</v>
      </c>
    </row>
    <row r="357" hidden="1" spans="1:14">
      <c r="A357">
        <v>4579</v>
      </c>
      <c r="C357" t="s">
        <v>102</v>
      </c>
      <c r="E357">
        <v>145.218</v>
      </c>
      <c r="F357">
        <v>-17.0152</v>
      </c>
      <c r="G357">
        <v>105583.27</v>
      </c>
      <c r="H357" s="1">
        <v>43164</v>
      </c>
      <c r="I357" s="1">
        <v>43185</v>
      </c>
      <c r="J357" t="s">
        <v>56</v>
      </c>
      <c r="K357">
        <v>0</v>
      </c>
      <c r="L357">
        <v>100</v>
      </c>
      <c r="M357" t="s">
        <v>49</v>
      </c>
      <c r="N357">
        <v>1.5</v>
      </c>
    </row>
    <row r="358" hidden="1" spans="1:14">
      <c r="A358">
        <v>4614</v>
      </c>
      <c r="C358" t="s">
        <v>102</v>
      </c>
      <c r="E358">
        <v>147.147</v>
      </c>
      <c r="F358">
        <v>-42.4539</v>
      </c>
      <c r="G358">
        <v>24539.79</v>
      </c>
      <c r="H358" s="1">
        <v>43230</v>
      </c>
      <c r="I358" s="1">
        <v>43233</v>
      </c>
      <c r="J358" t="s">
        <v>56</v>
      </c>
      <c r="K358">
        <v>0</v>
      </c>
      <c r="L358">
        <v>20</v>
      </c>
      <c r="M358" t="s">
        <v>52</v>
      </c>
      <c r="N358">
        <v>1</v>
      </c>
    </row>
    <row r="359" hidden="1" spans="1:14">
      <c r="A359">
        <v>4707</v>
      </c>
      <c r="C359" t="s">
        <v>102</v>
      </c>
      <c r="E359">
        <v>150.958</v>
      </c>
      <c r="F359">
        <v>-33.2449</v>
      </c>
      <c r="G359">
        <v>61400.25</v>
      </c>
      <c r="H359" s="1">
        <v>43432</v>
      </c>
      <c r="I359" s="1">
        <v>43433</v>
      </c>
      <c r="J359" t="s">
        <v>56</v>
      </c>
      <c r="K359">
        <v>0</v>
      </c>
      <c r="L359">
        <v>0</v>
      </c>
      <c r="M359" t="s">
        <v>52</v>
      </c>
      <c r="N359">
        <v>1.5</v>
      </c>
    </row>
    <row r="360" hidden="1" spans="1:14">
      <c r="A360">
        <v>4719</v>
      </c>
      <c r="C360" t="s">
        <v>102</v>
      </c>
      <c r="E360">
        <v>144.97</v>
      </c>
      <c r="F360">
        <v>-16.2961</v>
      </c>
      <c r="G360">
        <v>51581.36</v>
      </c>
      <c r="H360" s="1">
        <v>43491</v>
      </c>
      <c r="I360" s="1">
        <v>43494</v>
      </c>
      <c r="J360" t="s">
        <v>58</v>
      </c>
      <c r="K360">
        <v>0</v>
      </c>
      <c r="L360">
        <v>0</v>
      </c>
      <c r="M360" t="s">
        <v>49</v>
      </c>
      <c r="N360">
        <v>1.5</v>
      </c>
    </row>
    <row r="361" hidden="1" spans="1:14">
      <c r="A361">
        <v>4873</v>
      </c>
      <c r="C361" t="s">
        <v>102</v>
      </c>
      <c r="E361">
        <v>148.607</v>
      </c>
      <c r="F361">
        <v>-27.4929</v>
      </c>
      <c r="G361">
        <v>816540.49</v>
      </c>
      <c r="H361" s="1">
        <v>43868</v>
      </c>
      <c r="I361" s="1">
        <v>43878</v>
      </c>
      <c r="J361" t="s">
        <v>56</v>
      </c>
      <c r="K361">
        <v>1</v>
      </c>
      <c r="L361">
        <v>0</v>
      </c>
      <c r="M361" t="s">
        <v>49</v>
      </c>
      <c r="N361">
        <v>1</v>
      </c>
    </row>
    <row r="362" hidden="1" spans="1:14">
      <c r="A362">
        <v>4993</v>
      </c>
      <c r="C362" t="s">
        <v>102</v>
      </c>
      <c r="E362">
        <v>151.997</v>
      </c>
      <c r="F362">
        <v>-26.9358</v>
      </c>
      <c r="G362">
        <v>139898.17</v>
      </c>
      <c r="H362" s="1">
        <v>44177</v>
      </c>
      <c r="I362" s="1">
        <v>44180</v>
      </c>
      <c r="J362" t="s">
        <v>56</v>
      </c>
      <c r="K362">
        <v>0</v>
      </c>
      <c r="L362">
        <v>0</v>
      </c>
      <c r="M362" t="s">
        <v>49</v>
      </c>
      <c r="N362">
        <v>1.5</v>
      </c>
    </row>
    <row r="363" hidden="1" spans="1:14">
      <c r="A363">
        <v>5034</v>
      </c>
      <c r="C363" t="s">
        <v>102</v>
      </c>
      <c r="E363">
        <v>132.648</v>
      </c>
      <c r="F363">
        <v>-14.2696</v>
      </c>
      <c r="G363">
        <v>267224.37</v>
      </c>
      <c r="H363" s="1">
        <v>44249</v>
      </c>
      <c r="I363" s="1">
        <v>44255</v>
      </c>
      <c r="J363" t="s">
        <v>56</v>
      </c>
      <c r="K363">
        <v>0</v>
      </c>
      <c r="L363">
        <v>250</v>
      </c>
      <c r="M363" t="s">
        <v>49</v>
      </c>
      <c r="N363">
        <v>1</v>
      </c>
    </row>
    <row r="364" hidden="1" spans="1:14">
      <c r="A364">
        <v>5035</v>
      </c>
      <c r="C364" t="s">
        <v>102</v>
      </c>
      <c r="E364">
        <v>152.17</v>
      </c>
      <c r="F364">
        <v>-30.2957</v>
      </c>
      <c r="G364">
        <v>82784</v>
      </c>
      <c r="H364" s="1">
        <v>44251</v>
      </c>
      <c r="I364" s="1">
        <v>44255</v>
      </c>
      <c r="J364" t="s">
        <v>56</v>
      </c>
      <c r="K364">
        <v>0</v>
      </c>
      <c r="L364">
        <v>75</v>
      </c>
      <c r="M364" t="s">
        <v>49</v>
      </c>
      <c r="N364">
        <v>1.5</v>
      </c>
    </row>
    <row r="365" hidden="1" spans="1:14">
      <c r="A365">
        <v>5045</v>
      </c>
      <c r="C365" t="s">
        <v>102</v>
      </c>
      <c r="E365">
        <v>150.909</v>
      </c>
      <c r="F365">
        <v>-30.8531</v>
      </c>
      <c r="G365">
        <v>200686.67</v>
      </c>
      <c r="H365" s="1">
        <v>44273</v>
      </c>
      <c r="I365" s="1">
        <v>44277</v>
      </c>
      <c r="J365" t="s">
        <v>56</v>
      </c>
      <c r="K365">
        <v>0</v>
      </c>
      <c r="L365">
        <v>18000</v>
      </c>
      <c r="M365" t="s">
        <v>49</v>
      </c>
      <c r="N365">
        <v>2</v>
      </c>
    </row>
    <row r="366" hidden="1" spans="1:14">
      <c r="A366">
        <v>130</v>
      </c>
      <c r="B366">
        <v>0</v>
      </c>
      <c r="C366" t="s">
        <v>120</v>
      </c>
      <c r="D366">
        <v>0</v>
      </c>
      <c r="E366">
        <v>153.222</v>
      </c>
      <c r="F366">
        <v>-28.4297</v>
      </c>
      <c r="G366">
        <v>5029.69</v>
      </c>
      <c r="H366" s="1">
        <v>31906</v>
      </c>
      <c r="I366" s="1">
        <v>31908</v>
      </c>
      <c r="J366" t="s">
        <v>15</v>
      </c>
      <c r="K366">
        <v>3</v>
      </c>
      <c r="L366">
        <v>400</v>
      </c>
      <c r="M366" t="s">
        <v>16</v>
      </c>
      <c r="N366">
        <v>1</v>
      </c>
    </row>
    <row r="367" hidden="1" spans="1:14">
      <c r="A367">
        <v>173</v>
      </c>
      <c r="B367">
        <v>0</v>
      </c>
      <c r="C367" t="s">
        <v>120</v>
      </c>
      <c r="D367">
        <v>0</v>
      </c>
      <c r="E367">
        <v>119.782</v>
      </c>
      <c r="F367">
        <v>-20.5349</v>
      </c>
      <c r="G367">
        <v>18139.52</v>
      </c>
      <c r="H367" s="1">
        <v>32232</v>
      </c>
      <c r="I367" s="1">
        <v>32234</v>
      </c>
      <c r="J367" t="s">
        <v>15</v>
      </c>
      <c r="K367">
        <v>5</v>
      </c>
      <c r="L367">
        <v>0</v>
      </c>
      <c r="M367" t="s">
        <v>16</v>
      </c>
      <c r="N367">
        <v>2</v>
      </c>
    </row>
    <row r="368" hidden="1" spans="1:14">
      <c r="A368">
        <v>1586</v>
      </c>
      <c r="B368">
        <v>0</v>
      </c>
      <c r="C368" t="s">
        <v>120</v>
      </c>
      <c r="D368">
        <v>0</v>
      </c>
      <c r="E368">
        <v>143.698</v>
      </c>
      <c r="F368">
        <v>-31.2681</v>
      </c>
      <c r="G368">
        <v>468962.97</v>
      </c>
      <c r="H368" s="1">
        <v>36574</v>
      </c>
      <c r="I368" s="1">
        <v>36586</v>
      </c>
      <c r="J368" t="s">
        <v>15</v>
      </c>
      <c r="K368">
        <v>1</v>
      </c>
      <c r="L368">
        <v>200</v>
      </c>
      <c r="M368" t="s">
        <v>23</v>
      </c>
      <c r="N368">
        <v>2</v>
      </c>
    </row>
    <row r="369" hidden="1" spans="1:14">
      <c r="A369">
        <v>1667</v>
      </c>
      <c r="B369">
        <v>0</v>
      </c>
      <c r="C369" t="s">
        <v>120</v>
      </c>
      <c r="D369">
        <v>0</v>
      </c>
      <c r="E369">
        <v>150.571</v>
      </c>
      <c r="F369">
        <v>-31.1931</v>
      </c>
      <c r="G369">
        <v>111978.36</v>
      </c>
      <c r="H369" s="1">
        <v>36847</v>
      </c>
      <c r="I369" s="1">
        <v>36862</v>
      </c>
      <c r="J369" t="s">
        <v>15</v>
      </c>
      <c r="K369">
        <v>0</v>
      </c>
      <c r="L369">
        <v>600</v>
      </c>
      <c r="M369">
        <v>0</v>
      </c>
      <c r="N369">
        <v>2</v>
      </c>
    </row>
    <row r="370" hidden="1" spans="1:14">
      <c r="A370">
        <v>1680</v>
      </c>
      <c r="B370">
        <v>0</v>
      </c>
      <c r="C370" t="s">
        <v>120</v>
      </c>
      <c r="D370">
        <v>0</v>
      </c>
      <c r="E370">
        <v>141.45</v>
      </c>
      <c r="F370">
        <v>-18.2429</v>
      </c>
      <c r="G370">
        <v>225488.61</v>
      </c>
      <c r="H370" s="1">
        <v>36875</v>
      </c>
      <c r="I370" s="1">
        <v>36900</v>
      </c>
      <c r="J370" t="s">
        <v>15</v>
      </c>
      <c r="K370">
        <v>0</v>
      </c>
      <c r="L370">
        <v>300</v>
      </c>
      <c r="M370" t="s">
        <v>16</v>
      </c>
      <c r="N370">
        <v>1</v>
      </c>
    </row>
    <row r="371" hidden="1" spans="1:14">
      <c r="A371">
        <v>1692</v>
      </c>
      <c r="B371">
        <v>0</v>
      </c>
      <c r="C371" t="s">
        <v>120</v>
      </c>
      <c r="D371">
        <v>0</v>
      </c>
      <c r="E371">
        <v>151.002</v>
      </c>
      <c r="F371">
        <v>-29.0025</v>
      </c>
      <c r="G371">
        <v>110606.04</v>
      </c>
      <c r="H371" s="1">
        <v>36923</v>
      </c>
      <c r="I371" s="1">
        <v>36928</v>
      </c>
      <c r="J371" t="s">
        <v>15</v>
      </c>
      <c r="K371">
        <v>1</v>
      </c>
      <c r="L371">
        <v>300</v>
      </c>
      <c r="M371" t="s">
        <v>16</v>
      </c>
      <c r="N371">
        <v>1</v>
      </c>
    </row>
    <row r="372" hidden="1" spans="1:14">
      <c r="A372">
        <v>1703</v>
      </c>
      <c r="B372">
        <v>0</v>
      </c>
      <c r="C372" t="s">
        <v>120</v>
      </c>
      <c r="D372">
        <v>0</v>
      </c>
      <c r="E372">
        <v>152.865</v>
      </c>
      <c r="F372">
        <v>-29.7152</v>
      </c>
      <c r="G372">
        <v>30877.56</v>
      </c>
      <c r="H372" s="1">
        <v>36958</v>
      </c>
      <c r="I372" s="1">
        <v>36965</v>
      </c>
      <c r="J372" t="s">
        <v>15</v>
      </c>
      <c r="K372">
        <v>3</v>
      </c>
      <c r="L372">
        <v>3000</v>
      </c>
      <c r="M372" t="s">
        <v>16</v>
      </c>
      <c r="N372">
        <v>2</v>
      </c>
    </row>
    <row r="373" hidden="1" spans="1:14">
      <c r="A373">
        <v>42</v>
      </c>
      <c r="B373">
        <v>0</v>
      </c>
      <c r="C373" t="s">
        <v>121</v>
      </c>
      <c r="D373">
        <v>0</v>
      </c>
      <c r="E373">
        <v>12.2066</v>
      </c>
      <c r="F373">
        <v>47.3155</v>
      </c>
      <c r="G373">
        <v>15151.05</v>
      </c>
      <c r="H373" s="1">
        <v>31266</v>
      </c>
      <c r="I373" s="1">
        <v>31267</v>
      </c>
      <c r="J373" t="s">
        <v>15</v>
      </c>
      <c r="K373">
        <v>12</v>
      </c>
      <c r="L373">
        <v>0</v>
      </c>
      <c r="M373" t="s">
        <v>16</v>
      </c>
      <c r="N373">
        <v>2</v>
      </c>
    </row>
    <row r="374" hidden="1" spans="1:14">
      <c r="A374">
        <v>557</v>
      </c>
      <c r="B374">
        <v>0</v>
      </c>
      <c r="C374" t="s">
        <v>121</v>
      </c>
      <c r="D374">
        <v>0</v>
      </c>
      <c r="E374">
        <v>13.3528</v>
      </c>
      <c r="F374">
        <v>48.3136</v>
      </c>
      <c r="G374">
        <v>61648.74</v>
      </c>
      <c r="H374" s="1">
        <v>33452</v>
      </c>
      <c r="I374" s="1">
        <v>33456</v>
      </c>
      <c r="J374" t="s">
        <v>15</v>
      </c>
      <c r="K374">
        <v>10</v>
      </c>
      <c r="L374">
        <v>0</v>
      </c>
      <c r="M374" t="s">
        <v>16</v>
      </c>
      <c r="N374">
        <v>2</v>
      </c>
    </row>
    <row r="375" hidden="1" spans="1:14">
      <c r="A375">
        <v>1895</v>
      </c>
      <c r="B375">
        <v>0</v>
      </c>
      <c r="C375" t="s">
        <v>121</v>
      </c>
      <c r="D375" t="s">
        <v>122</v>
      </c>
      <c r="E375">
        <v>14.4178</v>
      </c>
      <c r="F375">
        <v>48.2703</v>
      </c>
      <c r="G375">
        <v>2640.21</v>
      </c>
      <c r="H375" s="1">
        <v>37336</v>
      </c>
      <c r="I375" s="1">
        <v>37351</v>
      </c>
      <c r="J375" t="s">
        <v>15</v>
      </c>
      <c r="K375">
        <v>1</v>
      </c>
      <c r="L375">
        <v>10</v>
      </c>
      <c r="M375" t="s">
        <v>16</v>
      </c>
      <c r="N375">
        <v>1</v>
      </c>
    </row>
    <row r="376" hidden="1" spans="1:14">
      <c r="A376">
        <v>3491</v>
      </c>
      <c r="B376">
        <v>0</v>
      </c>
      <c r="C376" t="s">
        <v>121</v>
      </c>
      <c r="E376">
        <v>14.7394</v>
      </c>
      <c r="F376">
        <v>48.3716</v>
      </c>
      <c r="G376">
        <v>12251.46</v>
      </c>
      <c r="H376" s="1">
        <v>39983</v>
      </c>
      <c r="I376" s="1">
        <v>39986</v>
      </c>
      <c r="J376" t="s">
        <v>15</v>
      </c>
      <c r="K376">
        <v>0</v>
      </c>
      <c r="L376">
        <v>0</v>
      </c>
      <c r="M376" t="s">
        <v>49</v>
      </c>
      <c r="N376">
        <v>1</v>
      </c>
    </row>
    <row r="377" hidden="1" spans="1:14">
      <c r="A377">
        <v>3509</v>
      </c>
      <c r="B377">
        <v>0</v>
      </c>
      <c r="C377" t="s">
        <v>121</v>
      </c>
      <c r="D377">
        <v>0</v>
      </c>
      <c r="E377">
        <v>15.7089</v>
      </c>
      <c r="F377">
        <v>47.4021</v>
      </c>
      <c r="G377">
        <v>2765.43</v>
      </c>
      <c r="H377" s="1">
        <v>40010</v>
      </c>
      <c r="I377" s="1">
        <v>40013</v>
      </c>
      <c r="J377" t="s">
        <v>15</v>
      </c>
      <c r="K377">
        <v>0</v>
      </c>
      <c r="L377">
        <v>0</v>
      </c>
      <c r="M377" t="s">
        <v>52</v>
      </c>
      <c r="N377">
        <v>1</v>
      </c>
    </row>
    <row r="378" hidden="1" spans="1:14">
      <c r="A378">
        <v>4824</v>
      </c>
      <c r="C378" t="s">
        <v>121</v>
      </c>
      <c r="E378">
        <v>12.8645</v>
      </c>
      <c r="F378">
        <v>47.2165</v>
      </c>
      <c r="G378">
        <v>16413.21</v>
      </c>
      <c r="H378" s="1">
        <v>43784</v>
      </c>
      <c r="I378" s="1">
        <v>43788</v>
      </c>
      <c r="J378" t="s">
        <v>56</v>
      </c>
      <c r="K378">
        <v>1</v>
      </c>
      <c r="L378">
        <v>60</v>
      </c>
      <c r="M378" t="s">
        <v>49</v>
      </c>
      <c r="N378">
        <v>1</v>
      </c>
    </row>
    <row r="379" hidden="1" spans="1:14">
      <c r="A379">
        <v>960</v>
      </c>
      <c r="B379">
        <v>0</v>
      </c>
      <c r="C379" t="s">
        <v>123</v>
      </c>
      <c r="D379">
        <v>0</v>
      </c>
      <c r="E379">
        <v>47.6973</v>
      </c>
      <c r="F379">
        <v>40.1555</v>
      </c>
      <c r="G379">
        <v>80964.31</v>
      </c>
      <c r="H379" s="1">
        <v>34865</v>
      </c>
      <c r="I379" s="1">
        <v>34875</v>
      </c>
      <c r="J379" t="s">
        <v>15</v>
      </c>
      <c r="K379">
        <v>0</v>
      </c>
      <c r="L379">
        <v>1500000</v>
      </c>
      <c r="M379" t="s">
        <v>16</v>
      </c>
      <c r="N379">
        <v>1</v>
      </c>
    </row>
    <row r="380" hidden="1" spans="1:14">
      <c r="A380">
        <v>1026</v>
      </c>
      <c r="B380">
        <v>0</v>
      </c>
      <c r="C380" t="s">
        <v>123</v>
      </c>
      <c r="D380">
        <v>0</v>
      </c>
      <c r="E380">
        <v>48.7981</v>
      </c>
      <c r="F380">
        <v>41.0301</v>
      </c>
      <c r="G380">
        <v>14035.86</v>
      </c>
      <c r="H380" s="1">
        <v>34985</v>
      </c>
      <c r="I380" s="1">
        <v>35015</v>
      </c>
      <c r="J380" t="s">
        <v>15</v>
      </c>
      <c r="K380">
        <v>5</v>
      </c>
      <c r="L380">
        <v>5200</v>
      </c>
      <c r="M380" t="s">
        <v>16</v>
      </c>
      <c r="N380">
        <v>1</v>
      </c>
    </row>
    <row r="381" hidden="1" spans="1:14">
      <c r="A381">
        <v>2206</v>
      </c>
      <c r="B381">
        <v>0</v>
      </c>
      <c r="C381" t="s">
        <v>123</v>
      </c>
      <c r="D381">
        <v>0</v>
      </c>
      <c r="E381">
        <v>47.1927</v>
      </c>
      <c r="F381">
        <v>40.9417</v>
      </c>
      <c r="G381">
        <v>30866.26</v>
      </c>
      <c r="H381" s="1">
        <v>37727</v>
      </c>
      <c r="I381" s="1">
        <v>37776</v>
      </c>
      <c r="J381" t="s">
        <v>15</v>
      </c>
      <c r="K381">
        <v>0</v>
      </c>
      <c r="L381">
        <v>0</v>
      </c>
      <c r="M381" t="s">
        <v>16</v>
      </c>
      <c r="N381">
        <v>1</v>
      </c>
    </row>
    <row r="382" hidden="1" spans="1:14">
      <c r="A382">
        <v>2244</v>
      </c>
      <c r="B382">
        <v>0</v>
      </c>
      <c r="C382" t="s">
        <v>123</v>
      </c>
      <c r="D382">
        <v>0</v>
      </c>
      <c r="E382">
        <v>47.1515</v>
      </c>
      <c r="F382">
        <v>41.2757</v>
      </c>
      <c r="G382">
        <v>2427.5</v>
      </c>
      <c r="H382" s="1">
        <v>37777</v>
      </c>
      <c r="I382" s="1">
        <v>37786</v>
      </c>
      <c r="J382" t="s">
        <v>15</v>
      </c>
      <c r="K382">
        <v>1</v>
      </c>
      <c r="L382">
        <v>0</v>
      </c>
      <c r="M382" t="s">
        <v>16</v>
      </c>
      <c r="N382">
        <v>1</v>
      </c>
    </row>
    <row r="383" hidden="1" spans="1:14">
      <c r="A383">
        <v>2531</v>
      </c>
      <c r="B383">
        <v>0</v>
      </c>
      <c r="C383" t="s">
        <v>123</v>
      </c>
      <c r="D383">
        <v>0</v>
      </c>
      <c r="E383">
        <v>46.653</v>
      </c>
      <c r="F383">
        <v>40.7764</v>
      </c>
      <c r="G383">
        <v>17243.62</v>
      </c>
      <c r="H383" s="1">
        <v>38190</v>
      </c>
      <c r="I383" s="1">
        <v>38198</v>
      </c>
      <c r="J383" t="s">
        <v>15</v>
      </c>
      <c r="K383">
        <v>4</v>
      </c>
      <c r="L383">
        <v>0</v>
      </c>
      <c r="M383" t="s">
        <v>16</v>
      </c>
      <c r="N383">
        <v>1</v>
      </c>
    </row>
    <row r="384" hidden="1" spans="1:14">
      <c r="A384">
        <v>101</v>
      </c>
      <c r="B384">
        <v>0</v>
      </c>
      <c r="C384" t="s">
        <v>124</v>
      </c>
      <c r="D384">
        <v>0</v>
      </c>
      <c r="E384">
        <v>-25.5053</v>
      </c>
      <c r="F384">
        <v>37.8118</v>
      </c>
      <c r="G384">
        <v>983.076</v>
      </c>
      <c r="H384" s="1">
        <v>31656</v>
      </c>
      <c r="I384" s="1">
        <v>31657</v>
      </c>
      <c r="J384" t="s">
        <v>15</v>
      </c>
      <c r="K384">
        <v>3</v>
      </c>
      <c r="L384">
        <v>0</v>
      </c>
      <c r="M384" t="s">
        <v>64</v>
      </c>
      <c r="N384">
        <v>1</v>
      </c>
    </row>
    <row r="385" hidden="1" spans="1:14">
      <c r="A385">
        <v>4306</v>
      </c>
      <c r="B385" t="s">
        <v>125</v>
      </c>
      <c r="C385" t="s">
        <v>126</v>
      </c>
      <c r="E385">
        <v>-73.8324</v>
      </c>
      <c r="F385">
        <v>22.4916</v>
      </c>
      <c r="G385">
        <v>4639.41</v>
      </c>
      <c r="H385" s="1">
        <v>42279</v>
      </c>
      <c r="I385" s="1">
        <v>42285</v>
      </c>
      <c r="J385" t="s">
        <v>15</v>
      </c>
      <c r="K385">
        <v>0</v>
      </c>
      <c r="L385">
        <v>300</v>
      </c>
      <c r="M385" t="s">
        <v>127</v>
      </c>
      <c r="N385">
        <v>1.5</v>
      </c>
    </row>
    <row r="386" hidden="1" spans="1:14">
      <c r="A386">
        <v>4790</v>
      </c>
      <c r="C386" t="s">
        <v>126</v>
      </c>
      <c r="D386" t="s">
        <v>128</v>
      </c>
      <c r="E386">
        <v>-78.4266</v>
      </c>
      <c r="F386">
        <v>26.622</v>
      </c>
      <c r="G386">
        <v>1721.4</v>
      </c>
      <c r="H386" s="1">
        <v>43709</v>
      </c>
      <c r="I386" s="1">
        <v>43712</v>
      </c>
      <c r="J386" t="s">
        <v>56</v>
      </c>
      <c r="K386">
        <v>5</v>
      </c>
      <c r="L386">
        <v>30000</v>
      </c>
      <c r="M386" t="s">
        <v>129</v>
      </c>
      <c r="N386">
        <v>2</v>
      </c>
    </row>
    <row r="387" hidden="1" spans="1:14">
      <c r="A387">
        <v>1413</v>
      </c>
      <c r="B387">
        <v>0</v>
      </c>
      <c r="C387" t="s">
        <v>130</v>
      </c>
      <c r="D387" t="s">
        <v>131</v>
      </c>
      <c r="E387">
        <v>91.8551</v>
      </c>
      <c r="F387">
        <v>25.9513</v>
      </c>
      <c r="G387">
        <v>116176.66</v>
      </c>
      <c r="H387" s="1">
        <v>35981</v>
      </c>
      <c r="I387" s="1">
        <v>36060</v>
      </c>
      <c r="J387" t="s">
        <v>15</v>
      </c>
      <c r="K387">
        <v>2632</v>
      </c>
      <c r="L387">
        <v>25000000</v>
      </c>
      <c r="M387" t="s">
        <v>23</v>
      </c>
      <c r="N387">
        <v>2</v>
      </c>
    </row>
    <row r="388" hidden="1" spans="1:14">
      <c r="A388">
        <v>23</v>
      </c>
      <c r="B388">
        <v>0</v>
      </c>
      <c r="C388" t="s">
        <v>132</v>
      </c>
      <c r="D388">
        <v>0</v>
      </c>
      <c r="E388">
        <v>91.8542</v>
      </c>
      <c r="F388">
        <v>24.6497</v>
      </c>
      <c r="G388">
        <v>8910.3</v>
      </c>
      <c r="H388" s="1">
        <v>31201</v>
      </c>
      <c r="I388" s="1">
        <v>31220</v>
      </c>
      <c r="J388" t="s">
        <v>15</v>
      </c>
      <c r="K388">
        <v>7</v>
      </c>
      <c r="L388">
        <v>100000</v>
      </c>
      <c r="M388" t="s">
        <v>16</v>
      </c>
      <c r="N388">
        <v>2</v>
      </c>
    </row>
    <row r="389" hidden="1" spans="1:14">
      <c r="A389">
        <v>29</v>
      </c>
      <c r="B389">
        <v>0</v>
      </c>
      <c r="C389" t="s">
        <v>132</v>
      </c>
      <c r="D389">
        <v>0</v>
      </c>
      <c r="E389">
        <v>89.9853</v>
      </c>
      <c r="F389">
        <v>22.6176</v>
      </c>
      <c r="G389">
        <v>6446.85</v>
      </c>
      <c r="H389" s="1">
        <v>31231</v>
      </c>
      <c r="I389" s="1">
        <v>31232</v>
      </c>
      <c r="J389" t="s">
        <v>15</v>
      </c>
      <c r="K389">
        <v>2</v>
      </c>
      <c r="L389">
        <v>77000</v>
      </c>
      <c r="M389" t="s">
        <v>16</v>
      </c>
      <c r="N389">
        <v>1</v>
      </c>
    </row>
    <row r="390" hidden="1" spans="1:14">
      <c r="A390">
        <v>36</v>
      </c>
      <c r="B390">
        <v>0</v>
      </c>
      <c r="C390" t="s">
        <v>132</v>
      </c>
      <c r="D390">
        <v>0</v>
      </c>
      <c r="E390">
        <v>90.1999</v>
      </c>
      <c r="F390">
        <v>23.1028</v>
      </c>
      <c r="G390">
        <v>5663.46</v>
      </c>
      <c r="H390" s="1">
        <v>31249</v>
      </c>
      <c r="I390" s="1">
        <v>31276</v>
      </c>
      <c r="J390" t="s">
        <v>15</v>
      </c>
      <c r="K390">
        <v>15</v>
      </c>
      <c r="L390">
        <v>175000</v>
      </c>
      <c r="M390" t="s">
        <v>16</v>
      </c>
      <c r="N390">
        <v>1</v>
      </c>
    </row>
    <row r="391" hidden="1" spans="1:14">
      <c r="A391">
        <v>56</v>
      </c>
      <c r="B391">
        <v>0</v>
      </c>
      <c r="C391" t="s">
        <v>132</v>
      </c>
      <c r="D391">
        <v>0</v>
      </c>
      <c r="E391">
        <v>89.6457</v>
      </c>
      <c r="F391">
        <v>24.7027</v>
      </c>
      <c r="G391">
        <v>6466.71</v>
      </c>
      <c r="H391" s="1">
        <v>31317</v>
      </c>
      <c r="I391" s="1">
        <v>31318</v>
      </c>
      <c r="J391" t="s">
        <v>15</v>
      </c>
      <c r="K391">
        <v>0</v>
      </c>
      <c r="L391">
        <v>800</v>
      </c>
      <c r="M391" t="s">
        <v>49</v>
      </c>
      <c r="N391">
        <v>1</v>
      </c>
    </row>
    <row r="392" hidden="1" spans="1:14">
      <c r="A392">
        <v>316</v>
      </c>
      <c r="B392">
        <v>0</v>
      </c>
      <c r="C392" t="s">
        <v>132</v>
      </c>
      <c r="D392">
        <v>0</v>
      </c>
      <c r="E392">
        <v>90.9326</v>
      </c>
      <c r="F392">
        <v>23.5967</v>
      </c>
      <c r="G392">
        <v>33665.94</v>
      </c>
      <c r="H392" s="1">
        <v>32692</v>
      </c>
      <c r="I392" s="1">
        <v>32694</v>
      </c>
      <c r="J392" t="s">
        <v>15</v>
      </c>
      <c r="K392">
        <v>2</v>
      </c>
      <c r="L392">
        <v>20000</v>
      </c>
      <c r="M392" t="s">
        <v>23</v>
      </c>
      <c r="N392">
        <v>1</v>
      </c>
    </row>
    <row r="393" hidden="1" spans="1:14">
      <c r="A393">
        <v>332</v>
      </c>
      <c r="B393">
        <v>0</v>
      </c>
      <c r="C393" t="s">
        <v>132</v>
      </c>
      <c r="D393">
        <v>0</v>
      </c>
      <c r="E393">
        <v>91.6662</v>
      </c>
      <c r="F393">
        <v>24.5345</v>
      </c>
      <c r="G393">
        <v>4688.38</v>
      </c>
      <c r="H393" s="1">
        <v>32695</v>
      </c>
      <c r="I393" s="1">
        <v>32712</v>
      </c>
      <c r="J393" t="s">
        <v>15</v>
      </c>
      <c r="K393">
        <v>1</v>
      </c>
      <c r="L393">
        <v>0</v>
      </c>
      <c r="M393" t="s">
        <v>16</v>
      </c>
      <c r="N393">
        <v>1</v>
      </c>
    </row>
    <row r="394" hidden="1" spans="1:14">
      <c r="A394">
        <v>345</v>
      </c>
      <c r="B394">
        <v>0</v>
      </c>
      <c r="C394" t="s">
        <v>132</v>
      </c>
      <c r="D394">
        <v>0</v>
      </c>
      <c r="E394">
        <v>91.5698</v>
      </c>
      <c r="F394">
        <v>24.6208</v>
      </c>
      <c r="G394">
        <v>9525.39</v>
      </c>
      <c r="H394" s="1">
        <v>32721</v>
      </c>
      <c r="I394" s="1">
        <v>32727</v>
      </c>
      <c r="J394" t="s">
        <v>15</v>
      </c>
      <c r="K394">
        <v>200</v>
      </c>
      <c r="L394">
        <v>600000</v>
      </c>
      <c r="M394" t="s">
        <v>23</v>
      </c>
      <c r="N394">
        <v>1</v>
      </c>
    </row>
    <row r="395" hidden="1" spans="1:14">
      <c r="A395">
        <v>399</v>
      </c>
      <c r="B395">
        <v>0</v>
      </c>
      <c r="C395" t="s">
        <v>132</v>
      </c>
      <c r="D395">
        <v>0</v>
      </c>
      <c r="E395">
        <v>92.1361</v>
      </c>
      <c r="F395">
        <v>21.3073</v>
      </c>
      <c r="G395">
        <v>3190.59</v>
      </c>
      <c r="H395" s="1">
        <v>32935</v>
      </c>
      <c r="I395" s="1">
        <v>32937</v>
      </c>
      <c r="J395" t="s">
        <v>15</v>
      </c>
      <c r="K395">
        <v>0</v>
      </c>
      <c r="L395">
        <v>1200</v>
      </c>
      <c r="M395" t="s">
        <v>16</v>
      </c>
      <c r="N395">
        <v>1</v>
      </c>
    </row>
    <row r="396" hidden="1" spans="1:14">
      <c r="A396">
        <v>402</v>
      </c>
      <c r="B396">
        <v>0</v>
      </c>
      <c r="C396" t="s">
        <v>132</v>
      </c>
      <c r="D396">
        <v>0</v>
      </c>
      <c r="E396">
        <v>90.9914</v>
      </c>
      <c r="F396">
        <v>23.5125</v>
      </c>
      <c r="G396">
        <v>41632.68</v>
      </c>
      <c r="H396" s="1">
        <v>32956</v>
      </c>
      <c r="I396" s="1">
        <v>32962</v>
      </c>
      <c r="J396" t="s">
        <v>15</v>
      </c>
      <c r="K396">
        <v>50</v>
      </c>
      <c r="L396">
        <v>10000</v>
      </c>
      <c r="M396" t="s">
        <v>16</v>
      </c>
      <c r="N396">
        <v>1</v>
      </c>
    </row>
    <row r="397" hidden="1" spans="1:14">
      <c r="A397">
        <v>407</v>
      </c>
      <c r="B397">
        <v>0</v>
      </c>
      <c r="C397" t="s">
        <v>132</v>
      </c>
      <c r="D397">
        <v>0</v>
      </c>
      <c r="E397">
        <v>90.3022</v>
      </c>
      <c r="F397">
        <v>25.0516</v>
      </c>
      <c r="G397">
        <v>65938.84</v>
      </c>
      <c r="H397" s="1">
        <v>32985</v>
      </c>
      <c r="I397" s="1">
        <v>32988</v>
      </c>
      <c r="J397" t="s">
        <v>15</v>
      </c>
      <c r="K397">
        <v>54</v>
      </c>
      <c r="L397">
        <v>40000</v>
      </c>
      <c r="M397" t="s">
        <v>16</v>
      </c>
      <c r="N397">
        <v>1</v>
      </c>
    </row>
    <row r="398" hidden="1" spans="1:14">
      <c r="A398">
        <v>436</v>
      </c>
      <c r="B398">
        <v>0</v>
      </c>
      <c r="C398" t="s">
        <v>132</v>
      </c>
      <c r="D398">
        <v>0</v>
      </c>
      <c r="E398">
        <v>89.3604</v>
      </c>
      <c r="F398">
        <v>23.9413</v>
      </c>
      <c r="G398">
        <v>23608.31</v>
      </c>
      <c r="H398" s="1">
        <v>33068</v>
      </c>
      <c r="I398" s="1">
        <v>33122</v>
      </c>
      <c r="J398" t="s">
        <v>15</v>
      </c>
      <c r="K398">
        <v>64</v>
      </c>
      <c r="L398">
        <v>392077</v>
      </c>
      <c r="M398" t="s">
        <v>16</v>
      </c>
      <c r="N398">
        <v>1</v>
      </c>
    </row>
    <row r="399" hidden="1" spans="1:14">
      <c r="A399">
        <v>453</v>
      </c>
      <c r="B399">
        <v>0</v>
      </c>
      <c r="C399" t="s">
        <v>132</v>
      </c>
      <c r="D399">
        <v>0</v>
      </c>
      <c r="E399">
        <v>90.4685</v>
      </c>
      <c r="F399">
        <v>22.6284</v>
      </c>
      <c r="G399">
        <v>14537.61</v>
      </c>
      <c r="H399" s="1">
        <v>33110</v>
      </c>
      <c r="I399" s="1">
        <v>33112</v>
      </c>
      <c r="J399" t="s">
        <v>15</v>
      </c>
      <c r="K399">
        <v>0</v>
      </c>
      <c r="L399">
        <v>50000</v>
      </c>
      <c r="M399" t="s">
        <v>23</v>
      </c>
      <c r="N399">
        <v>1</v>
      </c>
    </row>
    <row r="400" hidden="1" spans="1:14">
      <c r="A400">
        <v>464</v>
      </c>
      <c r="B400">
        <v>0</v>
      </c>
      <c r="C400" t="s">
        <v>132</v>
      </c>
      <c r="D400">
        <v>0</v>
      </c>
      <c r="E400">
        <v>89.9062</v>
      </c>
      <c r="F400">
        <v>24.1354</v>
      </c>
      <c r="G400">
        <v>33263.26</v>
      </c>
      <c r="H400" s="1">
        <v>33142</v>
      </c>
      <c r="I400" s="1">
        <v>33146</v>
      </c>
      <c r="J400" t="s">
        <v>15</v>
      </c>
      <c r="K400">
        <v>14</v>
      </c>
      <c r="L400">
        <v>300000</v>
      </c>
      <c r="M400" t="s">
        <v>16</v>
      </c>
      <c r="N400">
        <v>1</v>
      </c>
    </row>
    <row r="401" hidden="1" spans="1:14">
      <c r="A401">
        <v>469</v>
      </c>
      <c r="B401">
        <v>0</v>
      </c>
      <c r="C401" t="s">
        <v>132</v>
      </c>
      <c r="D401">
        <v>0</v>
      </c>
      <c r="E401">
        <v>89.9598</v>
      </c>
      <c r="F401">
        <v>24.4682</v>
      </c>
      <c r="G401">
        <v>41676.27</v>
      </c>
      <c r="H401" s="1">
        <v>33156</v>
      </c>
      <c r="I401" s="1">
        <v>33159</v>
      </c>
      <c r="J401" t="s">
        <v>15</v>
      </c>
      <c r="K401">
        <v>9</v>
      </c>
      <c r="L401">
        <v>700000</v>
      </c>
      <c r="M401" t="s">
        <v>64</v>
      </c>
      <c r="N401">
        <v>1</v>
      </c>
    </row>
    <row r="402" hidden="1" spans="1:14">
      <c r="A402">
        <v>471</v>
      </c>
      <c r="B402">
        <v>0</v>
      </c>
      <c r="C402" t="s">
        <v>132</v>
      </c>
      <c r="D402">
        <v>0</v>
      </c>
      <c r="E402">
        <v>90.5909</v>
      </c>
      <c r="F402">
        <v>24.2158</v>
      </c>
      <c r="G402">
        <v>5868.16</v>
      </c>
      <c r="H402" s="1">
        <v>33160</v>
      </c>
      <c r="I402" s="1">
        <v>33163</v>
      </c>
      <c r="J402" t="s">
        <v>15</v>
      </c>
      <c r="K402">
        <v>0</v>
      </c>
      <c r="L402">
        <v>30000</v>
      </c>
      <c r="M402" t="s">
        <v>16</v>
      </c>
      <c r="N402">
        <v>1</v>
      </c>
    </row>
    <row r="403" hidden="1" spans="1:14">
      <c r="A403">
        <v>475</v>
      </c>
      <c r="B403">
        <v>0</v>
      </c>
      <c r="C403" t="s">
        <v>132</v>
      </c>
      <c r="D403">
        <v>0</v>
      </c>
      <c r="E403">
        <v>90.7018</v>
      </c>
      <c r="F403">
        <v>22.5748</v>
      </c>
      <c r="G403">
        <v>1043.35</v>
      </c>
      <c r="H403" s="1">
        <v>33172</v>
      </c>
      <c r="I403" s="1">
        <v>33175</v>
      </c>
      <c r="J403" t="s">
        <v>15</v>
      </c>
      <c r="K403">
        <v>0</v>
      </c>
      <c r="L403">
        <v>4500</v>
      </c>
      <c r="M403" t="s">
        <v>64</v>
      </c>
      <c r="N403">
        <v>1</v>
      </c>
    </row>
    <row r="404" hidden="1" spans="1:14">
      <c r="A404">
        <v>505</v>
      </c>
      <c r="B404">
        <v>0</v>
      </c>
      <c r="C404" t="s">
        <v>132</v>
      </c>
      <c r="D404">
        <v>0</v>
      </c>
      <c r="E404">
        <v>91.5924</v>
      </c>
      <c r="F404">
        <v>24.9405</v>
      </c>
      <c r="G404">
        <v>1787.55</v>
      </c>
      <c r="H404" s="1">
        <v>33336</v>
      </c>
      <c r="I404" s="1">
        <v>33337</v>
      </c>
      <c r="J404" t="s">
        <v>15</v>
      </c>
      <c r="K404">
        <v>0</v>
      </c>
      <c r="L404">
        <v>0</v>
      </c>
      <c r="M404" t="s">
        <v>64</v>
      </c>
      <c r="N404">
        <v>1</v>
      </c>
    </row>
    <row r="405" hidden="1" spans="1:14">
      <c r="A405">
        <v>507</v>
      </c>
      <c r="B405">
        <v>0</v>
      </c>
      <c r="C405" t="s">
        <v>132</v>
      </c>
      <c r="D405">
        <v>0</v>
      </c>
      <c r="E405">
        <v>92.1857</v>
      </c>
      <c r="F405">
        <v>22.2146</v>
      </c>
      <c r="G405">
        <v>21359.24</v>
      </c>
      <c r="H405" s="1">
        <v>33357</v>
      </c>
      <c r="I405" s="1">
        <v>33368</v>
      </c>
      <c r="J405" t="s">
        <v>15</v>
      </c>
      <c r="K405">
        <v>138000</v>
      </c>
      <c r="L405">
        <v>10000000</v>
      </c>
      <c r="M405" t="s">
        <v>86</v>
      </c>
      <c r="N405">
        <v>1</v>
      </c>
    </row>
    <row r="406" hidden="1" spans="1:14">
      <c r="A406">
        <v>511</v>
      </c>
      <c r="B406">
        <v>0</v>
      </c>
      <c r="C406" t="s">
        <v>132</v>
      </c>
      <c r="D406">
        <v>0</v>
      </c>
      <c r="E406">
        <v>91.5273</v>
      </c>
      <c r="F406">
        <v>24.6228</v>
      </c>
      <c r="G406">
        <v>17480.05</v>
      </c>
      <c r="H406" s="1">
        <v>33372</v>
      </c>
      <c r="I406" s="1">
        <v>33389</v>
      </c>
      <c r="J406" t="s">
        <v>15</v>
      </c>
      <c r="K406">
        <v>100</v>
      </c>
      <c r="L406">
        <v>1000000</v>
      </c>
      <c r="M406" t="s">
        <v>16</v>
      </c>
      <c r="N406">
        <v>1</v>
      </c>
    </row>
    <row r="407" hidden="1" spans="1:14">
      <c r="A407">
        <v>525</v>
      </c>
      <c r="B407">
        <v>0</v>
      </c>
      <c r="C407" t="s">
        <v>132</v>
      </c>
      <c r="D407">
        <v>0</v>
      </c>
      <c r="E407">
        <v>91.3972</v>
      </c>
      <c r="F407">
        <v>22.9459</v>
      </c>
      <c r="G407">
        <v>30042.91</v>
      </c>
      <c r="H407" s="1">
        <v>33406</v>
      </c>
      <c r="I407" s="1">
        <v>33416</v>
      </c>
      <c r="J407" t="s">
        <v>15</v>
      </c>
      <c r="K407">
        <v>0</v>
      </c>
      <c r="L407">
        <v>160000</v>
      </c>
      <c r="M407" t="s">
        <v>23</v>
      </c>
      <c r="N407">
        <v>1</v>
      </c>
    </row>
    <row r="408" hidden="1" spans="1:14">
      <c r="A408">
        <v>531</v>
      </c>
      <c r="B408">
        <v>0</v>
      </c>
      <c r="C408" t="s">
        <v>132</v>
      </c>
      <c r="D408">
        <v>0</v>
      </c>
      <c r="E408">
        <v>89.3374</v>
      </c>
      <c r="F408">
        <v>24.0753</v>
      </c>
      <c r="G408">
        <v>4038.82</v>
      </c>
      <c r="H408" s="1">
        <v>33423</v>
      </c>
      <c r="I408" s="1">
        <v>33425</v>
      </c>
      <c r="J408" t="s">
        <v>15</v>
      </c>
      <c r="K408">
        <v>0</v>
      </c>
      <c r="L408">
        <v>40000</v>
      </c>
      <c r="M408" t="s">
        <v>16</v>
      </c>
      <c r="N408">
        <v>1</v>
      </c>
    </row>
    <row r="409" hidden="1" spans="1:14">
      <c r="A409">
        <v>537</v>
      </c>
      <c r="B409">
        <v>0</v>
      </c>
      <c r="C409" t="s">
        <v>132</v>
      </c>
      <c r="D409">
        <v>0</v>
      </c>
      <c r="E409">
        <v>89.6246</v>
      </c>
      <c r="F409">
        <v>23.8915</v>
      </c>
      <c r="G409">
        <v>20388.52</v>
      </c>
      <c r="H409" s="1">
        <v>33429</v>
      </c>
      <c r="I409" s="1">
        <v>33434</v>
      </c>
      <c r="J409" t="s">
        <v>15</v>
      </c>
      <c r="K409">
        <v>4</v>
      </c>
      <c r="L409">
        <v>70000</v>
      </c>
      <c r="M409" t="s">
        <v>16</v>
      </c>
      <c r="N409">
        <v>1</v>
      </c>
    </row>
    <row r="410" hidden="1" spans="1:14">
      <c r="A410">
        <v>541</v>
      </c>
      <c r="B410">
        <v>0</v>
      </c>
      <c r="C410" t="s">
        <v>132</v>
      </c>
      <c r="D410">
        <v>0</v>
      </c>
      <c r="E410">
        <v>90.0572</v>
      </c>
      <c r="F410">
        <v>24.1787</v>
      </c>
      <c r="G410">
        <v>55046.84</v>
      </c>
      <c r="H410" s="1">
        <v>33433</v>
      </c>
      <c r="I410" s="1">
        <v>33435</v>
      </c>
      <c r="J410" t="s">
        <v>15</v>
      </c>
      <c r="K410">
        <v>17</v>
      </c>
      <c r="L410">
        <v>300000</v>
      </c>
      <c r="M410" t="s">
        <v>16</v>
      </c>
      <c r="N410">
        <v>1</v>
      </c>
    </row>
    <row r="411" hidden="1" spans="1:14">
      <c r="A411">
        <v>556</v>
      </c>
      <c r="B411">
        <v>0</v>
      </c>
      <c r="C411" t="s">
        <v>132</v>
      </c>
      <c r="D411">
        <v>0</v>
      </c>
      <c r="E411">
        <v>91.9906</v>
      </c>
      <c r="F411">
        <v>21.9581</v>
      </c>
      <c r="G411">
        <v>13828.87</v>
      </c>
      <c r="H411" s="1">
        <v>33452</v>
      </c>
      <c r="I411" s="1">
        <v>33457</v>
      </c>
      <c r="J411" t="s">
        <v>15</v>
      </c>
      <c r="K411">
        <v>6</v>
      </c>
      <c r="L411">
        <v>50000</v>
      </c>
      <c r="M411" t="s">
        <v>16</v>
      </c>
      <c r="N411">
        <v>1</v>
      </c>
    </row>
    <row r="412" hidden="1" spans="1:14">
      <c r="A412">
        <v>563</v>
      </c>
      <c r="B412">
        <v>0</v>
      </c>
      <c r="C412" t="s">
        <v>132</v>
      </c>
      <c r="D412">
        <v>0</v>
      </c>
      <c r="E412">
        <v>90.2027</v>
      </c>
      <c r="F412">
        <v>24.6649</v>
      </c>
      <c r="G412">
        <v>7441.14</v>
      </c>
      <c r="H412" s="1">
        <v>33459</v>
      </c>
      <c r="I412" s="1">
        <v>33470</v>
      </c>
      <c r="J412" t="s">
        <v>15</v>
      </c>
      <c r="K412">
        <v>800</v>
      </c>
      <c r="L412">
        <v>0</v>
      </c>
      <c r="M412" t="s">
        <v>16</v>
      </c>
      <c r="N412">
        <v>1</v>
      </c>
    </row>
    <row r="413" hidden="1" spans="1:14">
      <c r="A413">
        <v>583</v>
      </c>
      <c r="B413">
        <v>0</v>
      </c>
      <c r="C413" t="s">
        <v>132</v>
      </c>
      <c r="D413">
        <v>0</v>
      </c>
      <c r="E413">
        <v>90.2142</v>
      </c>
      <c r="F413">
        <v>25.1817</v>
      </c>
      <c r="G413">
        <v>63025.31</v>
      </c>
      <c r="H413" s="1">
        <v>33492</v>
      </c>
      <c r="I413" s="1">
        <v>33498</v>
      </c>
      <c r="J413" t="s">
        <v>15</v>
      </c>
      <c r="K413">
        <v>112</v>
      </c>
      <c r="L413">
        <v>1000000</v>
      </c>
      <c r="M413" t="s">
        <v>23</v>
      </c>
      <c r="N413">
        <v>1</v>
      </c>
    </row>
    <row r="414" hidden="1" spans="1:14">
      <c r="A414">
        <v>590</v>
      </c>
      <c r="B414">
        <v>0</v>
      </c>
      <c r="C414" t="s">
        <v>132</v>
      </c>
      <c r="D414">
        <v>0</v>
      </c>
      <c r="E414">
        <v>89.5171</v>
      </c>
      <c r="F414">
        <v>24.6724</v>
      </c>
      <c r="G414">
        <v>2443.02</v>
      </c>
      <c r="H414" s="1">
        <v>33509</v>
      </c>
      <c r="I414" s="1">
        <v>33510</v>
      </c>
      <c r="J414" t="s">
        <v>15</v>
      </c>
      <c r="K414">
        <v>0</v>
      </c>
      <c r="L414">
        <v>50000</v>
      </c>
      <c r="M414" t="s">
        <v>25</v>
      </c>
      <c r="N414">
        <v>1</v>
      </c>
    </row>
    <row r="415" hidden="1" spans="1:14">
      <c r="A415">
        <v>659</v>
      </c>
      <c r="B415">
        <v>0</v>
      </c>
      <c r="C415" t="s">
        <v>132</v>
      </c>
      <c r="D415">
        <v>0</v>
      </c>
      <c r="E415">
        <v>92.2224</v>
      </c>
      <c r="F415">
        <v>22.0692</v>
      </c>
      <c r="G415">
        <v>21634.98</v>
      </c>
      <c r="H415" s="1">
        <v>33780</v>
      </c>
      <c r="I415" s="1">
        <v>33780</v>
      </c>
      <c r="J415" t="s">
        <v>15</v>
      </c>
      <c r="K415">
        <v>2</v>
      </c>
      <c r="L415">
        <v>50000</v>
      </c>
      <c r="M415" t="s">
        <v>23</v>
      </c>
      <c r="N415">
        <v>1</v>
      </c>
    </row>
    <row r="416" hidden="1" spans="1:14">
      <c r="A416">
        <v>830</v>
      </c>
      <c r="B416">
        <v>0</v>
      </c>
      <c r="C416" t="s">
        <v>132</v>
      </c>
      <c r="D416">
        <v>0</v>
      </c>
      <c r="E416">
        <v>92.0345</v>
      </c>
      <c r="F416">
        <v>22.4749</v>
      </c>
      <c r="G416">
        <v>6727.37</v>
      </c>
      <c r="H416" s="1">
        <v>34391</v>
      </c>
      <c r="I416" s="1">
        <v>34395</v>
      </c>
      <c r="J416" t="s">
        <v>15</v>
      </c>
      <c r="K416">
        <v>13</v>
      </c>
      <c r="L416">
        <v>0</v>
      </c>
      <c r="M416" t="s">
        <v>16</v>
      </c>
      <c r="N416">
        <v>1</v>
      </c>
    </row>
    <row r="417" hidden="1" spans="1:14">
      <c r="A417">
        <v>839</v>
      </c>
      <c r="B417">
        <v>0</v>
      </c>
      <c r="C417" t="s">
        <v>132</v>
      </c>
      <c r="D417">
        <v>0</v>
      </c>
      <c r="E417">
        <v>89.816</v>
      </c>
      <c r="F417">
        <v>23.9528</v>
      </c>
      <c r="G417">
        <v>2275.44</v>
      </c>
      <c r="H417" s="1">
        <v>34422</v>
      </c>
      <c r="I417" s="1">
        <v>34426</v>
      </c>
      <c r="J417" t="s">
        <v>15</v>
      </c>
      <c r="K417">
        <v>16</v>
      </c>
      <c r="L417">
        <v>100000</v>
      </c>
      <c r="M417" t="s">
        <v>16</v>
      </c>
      <c r="N417">
        <v>1</v>
      </c>
    </row>
    <row r="418" hidden="1" spans="1:14">
      <c r="A418">
        <v>842</v>
      </c>
      <c r="B418">
        <v>0</v>
      </c>
      <c r="C418" t="s">
        <v>132</v>
      </c>
      <c r="D418">
        <v>0</v>
      </c>
      <c r="E418">
        <v>92.0895</v>
      </c>
      <c r="F418">
        <v>22.5171</v>
      </c>
      <c r="G418">
        <v>22176.39</v>
      </c>
      <c r="H418" s="1">
        <v>34443</v>
      </c>
      <c r="I418" s="1">
        <v>34447</v>
      </c>
      <c r="J418" t="s">
        <v>15</v>
      </c>
      <c r="K418">
        <v>20</v>
      </c>
      <c r="L418">
        <v>12000</v>
      </c>
      <c r="M418" t="s">
        <v>86</v>
      </c>
      <c r="N418">
        <v>1</v>
      </c>
    </row>
    <row r="419" hidden="1" spans="1:14">
      <c r="A419">
        <v>849</v>
      </c>
      <c r="B419">
        <v>0</v>
      </c>
      <c r="C419" t="s">
        <v>132</v>
      </c>
      <c r="D419">
        <v>0</v>
      </c>
      <c r="E419">
        <v>91.803</v>
      </c>
      <c r="F419">
        <v>24.6457</v>
      </c>
      <c r="G419">
        <v>11309.84</v>
      </c>
      <c r="H419" s="1">
        <v>34486</v>
      </c>
      <c r="I419" s="1">
        <v>34491</v>
      </c>
      <c r="J419" t="s">
        <v>15</v>
      </c>
      <c r="K419">
        <v>6</v>
      </c>
      <c r="L419">
        <v>11000</v>
      </c>
      <c r="M419" t="s">
        <v>23</v>
      </c>
      <c r="N419">
        <v>1</v>
      </c>
    </row>
    <row r="420" hidden="1" spans="1:14">
      <c r="A420">
        <v>852</v>
      </c>
      <c r="B420">
        <v>0</v>
      </c>
      <c r="C420" t="s">
        <v>132</v>
      </c>
      <c r="D420">
        <v>0</v>
      </c>
      <c r="E420">
        <v>92.071</v>
      </c>
      <c r="F420">
        <v>21.8758</v>
      </c>
      <c r="G420">
        <v>6360.08</v>
      </c>
      <c r="H420" s="1">
        <v>34499</v>
      </c>
      <c r="I420" s="1">
        <v>34507</v>
      </c>
      <c r="J420" t="s">
        <v>15</v>
      </c>
      <c r="K420">
        <v>1</v>
      </c>
      <c r="L420">
        <v>0</v>
      </c>
      <c r="M420" t="s">
        <v>23</v>
      </c>
      <c r="N420">
        <v>1</v>
      </c>
    </row>
    <row r="421" hidden="1" spans="1:14">
      <c r="A421">
        <v>953</v>
      </c>
      <c r="B421">
        <v>0</v>
      </c>
      <c r="C421" t="s">
        <v>132</v>
      </c>
      <c r="D421">
        <v>0</v>
      </c>
      <c r="E421">
        <v>90.0958</v>
      </c>
      <c r="F421">
        <v>22.9967</v>
      </c>
      <c r="G421">
        <v>61217.96</v>
      </c>
      <c r="H421" s="1">
        <v>34836</v>
      </c>
      <c r="I421" s="1">
        <v>34843</v>
      </c>
      <c r="J421" t="s">
        <v>15</v>
      </c>
      <c r="K421">
        <v>41</v>
      </c>
      <c r="L421">
        <v>351000</v>
      </c>
      <c r="M421" t="s">
        <v>16</v>
      </c>
      <c r="N421">
        <v>1</v>
      </c>
    </row>
    <row r="422" hidden="1" spans="1:14">
      <c r="A422">
        <v>961</v>
      </c>
      <c r="B422">
        <v>0</v>
      </c>
      <c r="C422" t="s">
        <v>132</v>
      </c>
      <c r="D422">
        <v>0</v>
      </c>
      <c r="E422">
        <v>90.2429</v>
      </c>
      <c r="F422">
        <v>25.1211</v>
      </c>
      <c r="G422">
        <v>68353.34</v>
      </c>
      <c r="H422" s="1">
        <v>34866</v>
      </c>
      <c r="I422" s="1">
        <v>34873</v>
      </c>
      <c r="J422" t="s">
        <v>15</v>
      </c>
      <c r="K422">
        <v>105</v>
      </c>
      <c r="L422">
        <v>2000000</v>
      </c>
      <c r="M422" t="s">
        <v>23</v>
      </c>
      <c r="N422">
        <v>1</v>
      </c>
    </row>
    <row r="423" hidden="1" spans="1:14">
      <c r="A423">
        <v>972</v>
      </c>
      <c r="B423">
        <v>0</v>
      </c>
      <c r="C423" t="s">
        <v>132</v>
      </c>
      <c r="D423">
        <v>0</v>
      </c>
      <c r="E423">
        <v>88.9998</v>
      </c>
      <c r="F423">
        <v>25.7626</v>
      </c>
      <c r="G423">
        <v>15621.62</v>
      </c>
      <c r="H423" s="1">
        <v>34884</v>
      </c>
      <c r="I423" s="1">
        <v>34902</v>
      </c>
      <c r="J423" t="s">
        <v>15</v>
      </c>
      <c r="K423">
        <v>250</v>
      </c>
      <c r="L423">
        <v>15000000</v>
      </c>
      <c r="M423" t="s">
        <v>23</v>
      </c>
      <c r="N423">
        <v>1</v>
      </c>
    </row>
    <row r="424" hidden="1" spans="1:14">
      <c r="A424">
        <v>982</v>
      </c>
      <c r="B424">
        <v>0</v>
      </c>
      <c r="C424" t="s">
        <v>132</v>
      </c>
      <c r="D424">
        <v>0</v>
      </c>
      <c r="E424">
        <v>89.9406</v>
      </c>
      <c r="F424">
        <v>24.8678</v>
      </c>
      <c r="G424">
        <v>42133.44</v>
      </c>
      <c r="H424" s="1">
        <v>34927</v>
      </c>
      <c r="I424" s="1">
        <v>34934</v>
      </c>
      <c r="J424" t="s">
        <v>15</v>
      </c>
      <c r="K424">
        <v>26</v>
      </c>
      <c r="L424">
        <v>1000000</v>
      </c>
      <c r="M424" t="s">
        <v>23</v>
      </c>
      <c r="N424">
        <v>1</v>
      </c>
    </row>
    <row r="425" hidden="1" spans="1:14">
      <c r="A425">
        <v>1012</v>
      </c>
      <c r="B425">
        <v>0</v>
      </c>
      <c r="C425" t="s">
        <v>132</v>
      </c>
      <c r="D425">
        <v>0</v>
      </c>
      <c r="E425">
        <v>90.2429</v>
      </c>
      <c r="F425">
        <v>25.1334</v>
      </c>
      <c r="G425">
        <v>61580.93</v>
      </c>
      <c r="H425" s="1">
        <v>34971</v>
      </c>
      <c r="I425" s="1">
        <v>34988</v>
      </c>
      <c r="J425" t="s">
        <v>15</v>
      </c>
      <c r="K425">
        <v>400</v>
      </c>
      <c r="L425">
        <v>5300000</v>
      </c>
      <c r="M425" t="s">
        <v>23</v>
      </c>
      <c r="N425">
        <v>1</v>
      </c>
    </row>
    <row r="426" hidden="1" spans="1:14">
      <c r="A426">
        <v>1032</v>
      </c>
      <c r="B426">
        <v>0</v>
      </c>
      <c r="C426" t="s">
        <v>132</v>
      </c>
      <c r="D426">
        <v>0</v>
      </c>
      <c r="E426">
        <v>90.3001</v>
      </c>
      <c r="F426">
        <v>22.4166</v>
      </c>
      <c r="G426">
        <v>20679.76</v>
      </c>
      <c r="H426" s="1">
        <v>35013</v>
      </c>
      <c r="I426" s="1">
        <v>35016</v>
      </c>
      <c r="J426" t="s">
        <v>15</v>
      </c>
      <c r="K426">
        <v>45</v>
      </c>
      <c r="L426">
        <v>0</v>
      </c>
      <c r="M426" t="s">
        <v>86</v>
      </c>
      <c r="N426">
        <v>1</v>
      </c>
    </row>
    <row r="427" hidden="1" spans="1:14">
      <c r="A427">
        <v>1082</v>
      </c>
      <c r="B427">
        <v>0</v>
      </c>
      <c r="C427" t="s">
        <v>132</v>
      </c>
      <c r="D427">
        <v>0</v>
      </c>
      <c r="E427">
        <v>90.1016</v>
      </c>
      <c r="F427">
        <v>25.2408</v>
      </c>
      <c r="G427">
        <v>59266.77</v>
      </c>
      <c r="H427" s="1">
        <v>35243</v>
      </c>
      <c r="I427" s="1">
        <v>35255</v>
      </c>
      <c r="J427" t="s">
        <v>15</v>
      </c>
      <c r="K427">
        <v>6</v>
      </c>
      <c r="L427">
        <v>72000</v>
      </c>
      <c r="M427" t="s">
        <v>23</v>
      </c>
      <c r="N427">
        <v>1</v>
      </c>
    </row>
    <row r="428" hidden="1" spans="1:14">
      <c r="A428">
        <v>1094</v>
      </c>
      <c r="B428">
        <v>0</v>
      </c>
      <c r="C428" t="s">
        <v>132</v>
      </c>
      <c r="D428">
        <v>0</v>
      </c>
      <c r="E428">
        <v>89.9688</v>
      </c>
      <c r="F428">
        <v>23.0267</v>
      </c>
      <c r="G428">
        <v>69103.34</v>
      </c>
      <c r="H428" s="1">
        <v>35265</v>
      </c>
      <c r="I428" s="1">
        <v>35279</v>
      </c>
      <c r="J428" t="s">
        <v>15</v>
      </c>
      <c r="K428">
        <v>50</v>
      </c>
      <c r="L428">
        <v>2300000</v>
      </c>
      <c r="M428" t="s">
        <v>23</v>
      </c>
      <c r="N428">
        <v>1</v>
      </c>
    </row>
    <row r="429" hidden="1" spans="1:14">
      <c r="A429">
        <v>1105</v>
      </c>
      <c r="B429">
        <v>0</v>
      </c>
      <c r="C429" t="s">
        <v>132</v>
      </c>
      <c r="D429">
        <v>0</v>
      </c>
      <c r="E429">
        <v>90.2861</v>
      </c>
      <c r="F429">
        <v>25.3736</v>
      </c>
      <c r="G429">
        <v>26913.05</v>
      </c>
      <c r="H429" s="1">
        <v>35303</v>
      </c>
      <c r="I429" s="1">
        <v>35315</v>
      </c>
      <c r="J429" t="s">
        <v>15</v>
      </c>
      <c r="K429">
        <v>20</v>
      </c>
      <c r="L429">
        <v>100000</v>
      </c>
      <c r="M429" t="s">
        <v>49</v>
      </c>
      <c r="N429">
        <v>1</v>
      </c>
    </row>
    <row r="430" hidden="1" spans="1:14">
      <c r="A430">
        <v>1142</v>
      </c>
      <c r="B430">
        <v>0</v>
      </c>
      <c r="C430" t="s">
        <v>132</v>
      </c>
      <c r="D430">
        <v>0</v>
      </c>
      <c r="E430">
        <v>92.1256</v>
      </c>
      <c r="F430">
        <v>22.4865</v>
      </c>
      <c r="G430">
        <v>28272.06</v>
      </c>
      <c r="H430" s="1">
        <v>35508</v>
      </c>
      <c r="I430" s="1">
        <v>35513</v>
      </c>
      <c r="J430" t="s">
        <v>15</v>
      </c>
      <c r="K430">
        <v>25</v>
      </c>
      <c r="L430">
        <v>5000</v>
      </c>
      <c r="M430" t="s">
        <v>16</v>
      </c>
      <c r="N430">
        <v>1</v>
      </c>
    </row>
    <row r="431" hidden="1" spans="1:14">
      <c r="A431">
        <v>1155</v>
      </c>
      <c r="B431">
        <v>0</v>
      </c>
      <c r="C431" t="s">
        <v>132</v>
      </c>
      <c r="D431">
        <v>0</v>
      </c>
      <c r="E431">
        <v>92.071</v>
      </c>
      <c r="F431">
        <v>21.7744</v>
      </c>
      <c r="G431">
        <v>10108.25</v>
      </c>
      <c r="H431" s="1">
        <v>35595</v>
      </c>
      <c r="I431" s="1">
        <v>35601</v>
      </c>
      <c r="J431" t="s">
        <v>15</v>
      </c>
      <c r="K431">
        <v>0</v>
      </c>
      <c r="L431">
        <v>4000</v>
      </c>
      <c r="M431" t="s">
        <v>16</v>
      </c>
      <c r="N431">
        <v>1</v>
      </c>
    </row>
    <row r="432" hidden="1" spans="1:14">
      <c r="A432">
        <v>1162</v>
      </c>
      <c r="B432">
        <v>0</v>
      </c>
      <c r="C432" t="s">
        <v>132</v>
      </c>
      <c r="D432">
        <v>0</v>
      </c>
      <c r="E432">
        <v>91.9783</v>
      </c>
      <c r="F432">
        <v>22.3517</v>
      </c>
      <c r="G432">
        <v>9613.73</v>
      </c>
      <c r="H432" s="1">
        <v>35614</v>
      </c>
      <c r="I432" s="1">
        <v>35626</v>
      </c>
      <c r="J432" t="s">
        <v>15</v>
      </c>
      <c r="K432">
        <v>100</v>
      </c>
      <c r="L432">
        <v>200000</v>
      </c>
      <c r="M432" t="s">
        <v>16</v>
      </c>
      <c r="N432">
        <v>1</v>
      </c>
    </row>
    <row r="433" hidden="1" spans="1:14">
      <c r="A433">
        <v>1165</v>
      </c>
      <c r="B433">
        <v>0</v>
      </c>
      <c r="C433" t="s">
        <v>132</v>
      </c>
      <c r="D433">
        <v>0</v>
      </c>
      <c r="E433">
        <v>91.961</v>
      </c>
      <c r="F433">
        <v>22.0189</v>
      </c>
      <c r="G433">
        <v>10101.18</v>
      </c>
      <c r="H433" s="1">
        <v>35640</v>
      </c>
      <c r="I433" s="1">
        <v>35646</v>
      </c>
      <c r="J433" t="s">
        <v>15</v>
      </c>
      <c r="K433">
        <v>15</v>
      </c>
      <c r="L433">
        <v>30000</v>
      </c>
      <c r="M433" t="s">
        <v>16</v>
      </c>
      <c r="N433">
        <v>1</v>
      </c>
    </row>
    <row r="434" hidden="1" spans="1:14">
      <c r="A434">
        <v>1363</v>
      </c>
      <c r="B434">
        <v>0</v>
      </c>
      <c r="C434" t="s">
        <v>132</v>
      </c>
      <c r="D434">
        <v>0</v>
      </c>
      <c r="E434">
        <v>90.0268</v>
      </c>
      <c r="F434">
        <v>23.4505</v>
      </c>
      <c r="G434">
        <v>34065.64</v>
      </c>
      <c r="H434" s="1">
        <v>35935</v>
      </c>
      <c r="I434" s="1">
        <v>35945</v>
      </c>
      <c r="J434" t="s">
        <v>15</v>
      </c>
      <c r="K434">
        <v>0</v>
      </c>
      <c r="L434">
        <v>0</v>
      </c>
      <c r="M434" t="s">
        <v>86</v>
      </c>
      <c r="N434">
        <v>1</v>
      </c>
    </row>
    <row r="435" hidden="1" spans="1:14">
      <c r="A435">
        <v>1384</v>
      </c>
      <c r="B435">
        <v>0</v>
      </c>
      <c r="C435" t="s">
        <v>132</v>
      </c>
      <c r="D435" t="s">
        <v>131</v>
      </c>
      <c r="E435">
        <v>93.1722</v>
      </c>
      <c r="F435">
        <v>26.7913</v>
      </c>
      <c r="G435">
        <v>136001.75</v>
      </c>
      <c r="H435" s="1">
        <v>35955</v>
      </c>
      <c r="I435" s="1">
        <v>35958</v>
      </c>
      <c r="J435" t="s">
        <v>15</v>
      </c>
      <c r="K435">
        <v>77</v>
      </c>
      <c r="L435">
        <v>2000</v>
      </c>
      <c r="M435" t="s">
        <v>23</v>
      </c>
      <c r="N435">
        <v>1</v>
      </c>
    </row>
    <row r="436" hidden="1" spans="1:14">
      <c r="A436">
        <v>1527</v>
      </c>
      <c r="B436">
        <v>0</v>
      </c>
      <c r="C436" t="s">
        <v>132</v>
      </c>
      <c r="D436" t="s">
        <v>131</v>
      </c>
      <c r="E436">
        <v>89.6291</v>
      </c>
      <c r="F436">
        <v>25.5968</v>
      </c>
      <c r="G436">
        <v>132357.54</v>
      </c>
      <c r="H436" s="1">
        <v>36352</v>
      </c>
      <c r="I436" s="1">
        <v>36375</v>
      </c>
      <c r="J436" t="s">
        <v>15</v>
      </c>
      <c r="K436">
        <v>356</v>
      </c>
      <c r="L436">
        <v>33100003</v>
      </c>
      <c r="M436" t="s">
        <v>23</v>
      </c>
      <c r="N436">
        <v>1</v>
      </c>
    </row>
    <row r="437" hidden="1" spans="1:14">
      <c r="A437">
        <v>1540</v>
      </c>
      <c r="B437">
        <v>0</v>
      </c>
      <c r="C437" t="s">
        <v>132</v>
      </c>
      <c r="D437" t="s">
        <v>131</v>
      </c>
      <c r="E437">
        <v>90.5917</v>
      </c>
      <c r="F437">
        <v>23.9425</v>
      </c>
      <c r="G437">
        <v>66372.4</v>
      </c>
      <c r="H437" s="1">
        <v>36383</v>
      </c>
      <c r="I437" s="1">
        <v>36387</v>
      </c>
      <c r="J437" t="s">
        <v>15</v>
      </c>
      <c r="K437">
        <v>18</v>
      </c>
      <c r="L437">
        <v>50000</v>
      </c>
      <c r="M437" t="s">
        <v>16</v>
      </c>
      <c r="N437">
        <v>1</v>
      </c>
    </row>
    <row r="438" hidden="1" spans="1:14">
      <c r="A438">
        <v>1603</v>
      </c>
      <c r="B438">
        <v>0</v>
      </c>
      <c r="C438" t="s">
        <v>132</v>
      </c>
      <c r="D438">
        <v>0</v>
      </c>
      <c r="E438">
        <v>91.7119</v>
      </c>
      <c r="F438">
        <v>23.5072</v>
      </c>
      <c r="G438">
        <v>40362.73</v>
      </c>
      <c r="H438" s="1">
        <v>36673</v>
      </c>
      <c r="I438" s="1">
        <v>36696</v>
      </c>
      <c r="J438" t="s">
        <v>15</v>
      </c>
      <c r="K438">
        <v>36</v>
      </c>
      <c r="L438">
        <v>10000</v>
      </c>
      <c r="M438" t="s">
        <v>23</v>
      </c>
      <c r="N438">
        <v>1</v>
      </c>
    </row>
    <row r="439" hidden="1" spans="1:14">
      <c r="A439">
        <v>1611</v>
      </c>
      <c r="B439">
        <v>0</v>
      </c>
      <c r="C439" t="s">
        <v>132</v>
      </c>
      <c r="D439">
        <v>0</v>
      </c>
      <c r="E439">
        <v>89.7361</v>
      </c>
      <c r="F439">
        <v>25.5567</v>
      </c>
      <c r="G439">
        <v>33982.24</v>
      </c>
      <c r="H439" s="1">
        <v>36696</v>
      </c>
      <c r="I439" s="1">
        <v>36703</v>
      </c>
      <c r="J439" t="s">
        <v>15</v>
      </c>
      <c r="K439">
        <v>14</v>
      </c>
      <c r="L439">
        <v>20000</v>
      </c>
      <c r="M439" t="s">
        <v>23</v>
      </c>
      <c r="N439">
        <v>1</v>
      </c>
    </row>
    <row r="440" hidden="1" spans="1:14">
      <c r="A440">
        <v>1766</v>
      </c>
      <c r="B440">
        <v>0</v>
      </c>
      <c r="C440" t="s">
        <v>132</v>
      </c>
      <c r="D440" t="s">
        <v>131</v>
      </c>
      <c r="E440">
        <v>89.5736</v>
      </c>
      <c r="F440">
        <v>25.9309</v>
      </c>
      <c r="G440">
        <v>190726.68</v>
      </c>
      <c r="H440" s="1">
        <v>37103</v>
      </c>
      <c r="I440" s="1">
        <v>37135</v>
      </c>
      <c r="J440" t="s">
        <v>15</v>
      </c>
      <c r="K440">
        <v>36</v>
      </c>
      <c r="L440">
        <v>2750000</v>
      </c>
      <c r="M440" t="s">
        <v>23</v>
      </c>
      <c r="N440">
        <v>1</v>
      </c>
    </row>
    <row r="441" hidden="1" spans="1:14">
      <c r="A441">
        <v>1908</v>
      </c>
      <c r="B441">
        <v>0</v>
      </c>
      <c r="C441" t="s">
        <v>132</v>
      </c>
      <c r="D441">
        <v>0</v>
      </c>
      <c r="E441">
        <v>91.52</v>
      </c>
      <c r="F441">
        <v>24.9818</v>
      </c>
      <c r="G441">
        <v>4848.3</v>
      </c>
      <c r="H441" s="1">
        <v>37364</v>
      </c>
      <c r="I441" s="1">
        <v>37375</v>
      </c>
      <c r="J441" t="s">
        <v>15</v>
      </c>
      <c r="K441">
        <v>0</v>
      </c>
      <c r="L441">
        <v>0</v>
      </c>
      <c r="M441" t="s">
        <v>25</v>
      </c>
      <c r="N441">
        <v>1</v>
      </c>
    </row>
    <row r="442" hidden="1" spans="1:14">
      <c r="A442">
        <v>1930</v>
      </c>
      <c r="B442">
        <v>0</v>
      </c>
      <c r="C442" t="s">
        <v>132</v>
      </c>
      <c r="D442">
        <v>0</v>
      </c>
      <c r="E442">
        <v>91.7747</v>
      </c>
      <c r="F442">
        <v>24.4963</v>
      </c>
      <c r="G442">
        <v>4349.44</v>
      </c>
      <c r="H442" s="1">
        <v>37399</v>
      </c>
      <c r="I442" s="1">
        <v>37407</v>
      </c>
      <c r="J442" t="s">
        <v>15</v>
      </c>
      <c r="K442">
        <v>0</v>
      </c>
      <c r="L442">
        <v>0</v>
      </c>
      <c r="M442" t="s">
        <v>16</v>
      </c>
      <c r="N442">
        <v>1</v>
      </c>
    </row>
    <row r="443" hidden="1" spans="1:14">
      <c r="A443">
        <v>1960</v>
      </c>
      <c r="B443">
        <v>0</v>
      </c>
      <c r="C443" t="s">
        <v>132</v>
      </c>
      <c r="D443">
        <v>0</v>
      </c>
      <c r="E443">
        <v>90.9923</v>
      </c>
      <c r="F443">
        <v>25.2225</v>
      </c>
      <c r="G443">
        <v>18368.62</v>
      </c>
      <c r="H443" s="1">
        <v>37425</v>
      </c>
      <c r="I443" s="1">
        <v>37431</v>
      </c>
      <c r="J443" t="s">
        <v>15</v>
      </c>
      <c r="K443">
        <v>4</v>
      </c>
      <c r="L443">
        <v>20000</v>
      </c>
      <c r="M443" t="s">
        <v>23</v>
      </c>
      <c r="N443">
        <v>1</v>
      </c>
    </row>
    <row r="444" hidden="1" spans="1:14">
      <c r="A444">
        <v>2248</v>
      </c>
      <c r="B444">
        <v>0</v>
      </c>
      <c r="C444" t="s">
        <v>132</v>
      </c>
      <c r="D444" t="s">
        <v>131</v>
      </c>
      <c r="E444">
        <v>90.8538</v>
      </c>
      <c r="F444">
        <v>26.1706</v>
      </c>
      <c r="G444">
        <v>702361.66</v>
      </c>
      <c r="H444" s="1">
        <v>37783</v>
      </c>
      <c r="I444" s="1">
        <v>37904</v>
      </c>
      <c r="J444" t="s">
        <v>15</v>
      </c>
      <c r="K444">
        <v>600</v>
      </c>
      <c r="L444">
        <v>9500000</v>
      </c>
      <c r="M444" t="s">
        <v>23</v>
      </c>
      <c r="N444">
        <v>2</v>
      </c>
    </row>
    <row r="445" hidden="1" spans="1:14">
      <c r="A445">
        <v>2257</v>
      </c>
      <c r="B445">
        <v>0</v>
      </c>
      <c r="C445" t="s">
        <v>132</v>
      </c>
      <c r="D445">
        <v>0</v>
      </c>
      <c r="E445">
        <v>91.9327</v>
      </c>
      <c r="F445">
        <v>21.9239</v>
      </c>
      <c r="G445">
        <v>4231</v>
      </c>
      <c r="H445" s="1">
        <v>37791</v>
      </c>
      <c r="I445" s="1">
        <v>37805</v>
      </c>
      <c r="J445" t="s">
        <v>15</v>
      </c>
      <c r="K445">
        <v>55</v>
      </c>
      <c r="L445">
        <v>20000</v>
      </c>
      <c r="M445" t="s">
        <v>23</v>
      </c>
      <c r="N445">
        <v>1</v>
      </c>
    </row>
    <row r="446" hidden="1" spans="1:14">
      <c r="A446">
        <v>2473</v>
      </c>
      <c r="B446">
        <v>0</v>
      </c>
      <c r="C446" t="s">
        <v>132</v>
      </c>
      <c r="D446" t="s">
        <v>131</v>
      </c>
      <c r="E446">
        <v>91.6947</v>
      </c>
      <c r="F446">
        <v>24.8942</v>
      </c>
      <c r="G446">
        <v>29066.34</v>
      </c>
      <c r="H446" s="1">
        <v>38091</v>
      </c>
      <c r="I446" s="1">
        <v>38110</v>
      </c>
      <c r="J446" t="s">
        <v>15</v>
      </c>
      <c r="K446">
        <v>12</v>
      </c>
      <c r="L446">
        <v>50000</v>
      </c>
      <c r="M446" t="s">
        <v>16</v>
      </c>
      <c r="N446">
        <v>1</v>
      </c>
    </row>
    <row r="447" hidden="1" spans="1:14">
      <c r="A447">
        <v>2657</v>
      </c>
      <c r="B447">
        <v>0</v>
      </c>
      <c r="C447" t="s">
        <v>132</v>
      </c>
      <c r="D447">
        <v>0</v>
      </c>
      <c r="E447">
        <v>91.6424</v>
      </c>
      <c r="F447">
        <v>24.598</v>
      </c>
      <c r="G447">
        <v>12730.18</v>
      </c>
      <c r="H447" s="1">
        <v>38497</v>
      </c>
      <c r="I447" s="1">
        <v>38500</v>
      </c>
      <c r="J447" t="s">
        <v>15</v>
      </c>
      <c r="K447">
        <v>13</v>
      </c>
      <c r="L447">
        <v>50000</v>
      </c>
      <c r="M447" t="s">
        <v>16</v>
      </c>
      <c r="N447">
        <v>1</v>
      </c>
    </row>
    <row r="448" hidden="1" spans="1:14">
      <c r="A448">
        <v>2676</v>
      </c>
      <c r="B448">
        <v>0</v>
      </c>
      <c r="C448" t="s">
        <v>132</v>
      </c>
      <c r="D448">
        <v>0</v>
      </c>
      <c r="E448">
        <v>89.1145</v>
      </c>
      <c r="F448">
        <v>25.9614</v>
      </c>
      <c r="G448">
        <v>15321.96</v>
      </c>
      <c r="H448" s="1">
        <v>38526</v>
      </c>
      <c r="I448" s="1">
        <v>38533</v>
      </c>
      <c r="J448" t="s">
        <v>15</v>
      </c>
      <c r="K448">
        <v>5</v>
      </c>
      <c r="L448">
        <v>70000</v>
      </c>
      <c r="M448" t="s">
        <v>23</v>
      </c>
      <c r="N448">
        <v>1</v>
      </c>
    </row>
    <row r="449" hidden="1" spans="1:14">
      <c r="A449">
        <v>2747</v>
      </c>
      <c r="B449">
        <v>0</v>
      </c>
      <c r="C449" t="s">
        <v>132</v>
      </c>
      <c r="D449">
        <v>0</v>
      </c>
      <c r="E449">
        <v>88.977</v>
      </c>
      <c r="F449">
        <v>25.6406</v>
      </c>
      <c r="G449">
        <v>22573.98</v>
      </c>
      <c r="H449" s="1">
        <v>38628</v>
      </c>
      <c r="I449" s="1">
        <v>38647</v>
      </c>
      <c r="J449" t="s">
        <v>15</v>
      </c>
      <c r="K449">
        <v>19</v>
      </c>
      <c r="L449">
        <v>100000</v>
      </c>
      <c r="M449" t="s">
        <v>16</v>
      </c>
      <c r="N449">
        <v>1</v>
      </c>
    </row>
    <row r="450" hidden="1" spans="1:14">
      <c r="A450">
        <v>2961</v>
      </c>
      <c r="B450" t="s">
        <v>133</v>
      </c>
      <c r="C450" t="s">
        <v>132</v>
      </c>
      <c r="D450">
        <v>0</v>
      </c>
      <c r="E450">
        <v>89.2727</v>
      </c>
      <c r="F450">
        <v>23.2295</v>
      </c>
      <c r="G450">
        <v>28078.51</v>
      </c>
      <c r="H450" s="1">
        <v>38953</v>
      </c>
      <c r="I450" s="1">
        <v>38980</v>
      </c>
      <c r="J450" t="s">
        <v>15</v>
      </c>
      <c r="K450">
        <v>0</v>
      </c>
      <c r="L450">
        <v>0</v>
      </c>
      <c r="M450" t="s">
        <v>23</v>
      </c>
      <c r="N450">
        <v>1</v>
      </c>
    </row>
    <row r="451" hidden="1" spans="1:14">
      <c r="A451">
        <v>3097</v>
      </c>
      <c r="B451" t="s">
        <v>134</v>
      </c>
      <c r="C451" t="s">
        <v>132</v>
      </c>
      <c r="E451">
        <v>91.9535</v>
      </c>
      <c r="F451">
        <v>22.3975</v>
      </c>
      <c r="G451">
        <v>77805.48</v>
      </c>
      <c r="H451" s="1">
        <v>39244</v>
      </c>
      <c r="I451" s="1">
        <v>39257</v>
      </c>
      <c r="J451" t="s">
        <v>15</v>
      </c>
      <c r="K451">
        <v>126</v>
      </c>
      <c r="L451">
        <v>80000</v>
      </c>
      <c r="M451" t="s">
        <v>23</v>
      </c>
      <c r="N451">
        <v>1</v>
      </c>
    </row>
    <row r="452" hidden="1" spans="1:14">
      <c r="A452">
        <v>3136</v>
      </c>
      <c r="B452">
        <v>0</v>
      </c>
      <c r="C452" t="s">
        <v>132</v>
      </c>
      <c r="E452">
        <v>91.2336</v>
      </c>
      <c r="F452">
        <v>23.9164</v>
      </c>
      <c r="G452">
        <v>150899.96</v>
      </c>
      <c r="H452" s="1">
        <v>39284</v>
      </c>
      <c r="I452" s="1">
        <v>39370</v>
      </c>
      <c r="J452" t="s">
        <v>15</v>
      </c>
      <c r="K452">
        <v>1071</v>
      </c>
      <c r="L452">
        <v>5000000</v>
      </c>
      <c r="M452" t="s">
        <v>23</v>
      </c>
      <c r="N452">
        <v>1</v>
      </c>
    </row>
    <row r="453" hidden="1" spans="1:14">
      <c r="A453">
        <v>3226</v>
      </c>
      <c r="B453" t="s">
        <v>135</v>
      </c>
      <c r="C453" t="s">
        <v>132</v>
      </c>
      <c r="D453">
        <v>0</v>
      </c>
      <c r="E453">
        <v>90.1508</v>
      </c>
      <c r="F453">
        <v>22.6104</v>
      </c>
      <c r="G453">
        <v>31641.92</v>
      </c>
      <c r="H453" s="1">
        <v>39401</v>
      </c>
      <c r="I453" s="1">
        <v>39417</v>
      </c>
      <c r="J453" t="s">
        <v>15</v>
      </c>
      <c r="K453">
        <v>3447</v>
      </c>
      <c r="L453">
        <v>3000000</v>
      </c>
      <c r="M453" t="s">
        <v>86</v>
      </c>
      <c r="N453">
        <v>1</v>
      </c>
    </row>
    <row r="454" hidden="1" spans="1:14">
      <c r="A454">
        <v>3322</v>
      </c>
      <c r="B454" t="s">
        <v>136</v>
      </c>
      <c r="C454" t="s">
        <v>132</v>
      </c>
      <c r="D454">
        <v>0</v>
      </c>
      <c r="E454">
        <v>90.1165</v>
      </c>
      <c r="F454">
        <v>25.2159</v>
      </c>
      <c r="G454">
        <v>57410.55</v>
      </c>
      <c r="H454" s="1">
        <v>39619</v>
      </c>
      <c r="I454" s="1">
        <v>39621</v>
      </c>
      <c r="J454" t="s">
        <v>15</v>
      </c>
      <c r="K454">
        <v>0</v>
      </c>
      <c r="L454">
        <v>15000</v>
      </c>
      <c r="M454" t="s">
        <v>137</v>
      </c>
      <c r="N454">
        <v>1</v>
      </c>
    </row>
    <row r="455" hidden="1" spans="1:14">
      <c r="A455">
        <v>3371</v>
      </c>
      <c r="B455">
        <v>0</v>
      </c>
      <c r="C455" t="s">
        <v>132</v>
      </c>
      <c r="D455">
        <v>0</v>
      </c>
      <c r="E455">
        <v>90.21</v>
      </c>
      <c r="F455">
        <v>25.0288</v>
      </c>
      <c r="G455">
        <v>59248.82</v>
      </c>
      <c r="H455" s="1">
        <v>39690</v>
      </c>
      <c r="I455" s="1">
        <v>39699</v>
      </c>
      <c r="J455" t="s">
        <v>15</v>
      </c>
      <c r="K455">
        <v>0</v>
      </c>
      <c r="L455">
        <v>600000</v>
      </c>
      <c r="M455" t="s">
        <v>138</v>
      </c>
      <c r="N455">
        <v>1.5</v>
      </c>
    </row>
    <row r="456" hidden="1" spans="1:14">
      <c r="A456">
        <v>3485</v>
      </c>
      <c r="C456" t="s">
        <v>132</v>
      </c>
      <c r="D456">
        <v>0</v>
      </c>
      <c r="E456">
        <v>89.0861</v>
      </c>
      <c r="F456">
        <v>22.164</v>
      </c>
      <c r="G456">
        <v>27819.11</v>
      </c>
      <c r="H456" s="1">
        <v>39923</v>
      </c>
      <c r="I456" s="1">
        <v>39948</v>
      </c>
      <c r="J456" t="s">
        <v>15</v>
      </c>
      <c r="K456">
        <v>21</v>
      </c>
      <c r="L456">
        <v>15000</v>
      </c>
      <c r="M456" t="s">
        <v>49</v>
      </c>
      <c r="N456">
        <v>1.5</v>
      </c>
    </row>
    <row r="457" hidden="1" spans="1:14">
      <c r="A457">
        <v>3495</v>
      </c>
      <c r="B457" t="s">
        <v>139</v>
      </c>
      <c r="C457" t="s">
        <v>132</v>
      </c>
      <c r="D457">
        <v>0</v>
      </c>
      <c r="E457">
        <v>89.0861</v>
      </c>
      <c r="F457">
        <v>25.2562</v>
      </c>
      <c r="G457">
        <v>49031.89</v>
      </c>
      <c r="H457" s="1">
        <v>39997</v>
      </c>
      <c r="I457" s="1">
        <v>40000</v>
      </c>
      <c r="J457" t="s">
        <v>15</v>
      </c>
      <c r="K457">
        <v>20</v>
      </c>
      <c r="L457">
        <v>700000</v>
      </c>
      <c r="M457" t="s">
        <v>52</v>
      </c>
      <c r="N457">
        <v>1</v>
      </c>
    </row>
    <row r="458" hidden="1" spans="1:14">
      <c r="A458">
        <v>3633</v>
      </c>
      <c r="B458" t="s">
        <v>140</v>
      </c>
      <c r="C458" t="s">
        <v>132</v>
      </c>
      <c r="D458">
        <v>0</v>
      </c>
      <c r="E458">
        <v>89.5099</v>
      </c>
      <c r="F458">
        <v>22.1528</v>
      </c>
      <c r="G458">
        <v>7062.71</v>
      </c>
      <c r="H458" s="1">
        <v>40264</v>
      </c>
      <c r="I458" s="1">
        <v>40275</v>
      </c>
      <c r="J458">
        <v>0</v>
      </c>
      <c r="K458">
        <v>104</v>
      </c>
      <c r="L458">
        <v>0</v>
      </c>
      <c r="M458" t="s">
        <v>49</v>
      </c>
      <c r="N458">
        <v>1</v>
      </c>
    </row>
    <row r="459" hidden="1" spans="1:14">
      <c r="A459">
        <v>3679</v>
      </c>
      <c r="B459">
        <v>0</v>
      </c>
      <c r="C459" t="s">
        <v>132</v>
      </c>
      <c r="D459">
        <v>0</v>
      </c>
      <c r="E459">
        <v>90.0355</v>
      </c>
      <c r="F459">
        <v>23.9949</v>
      </c>
      <c r="G459">
        <v>24987.26</v>
      </c>
      <c r="H459" s="1">
        <v>40360</v>
      </c>
      <c r="I459" s="1">
        <v>40372</v>
      </c>
      <c r="J459">
        <v>0</v>
      </c>
      <c r="K459">
        <v>0</v>
      </c>
      <c r="L459">
        <v>600000</v>
      </c>
      <c r="M459" t="s">
        <v>54</v>
      </c>
      <c r="N459">
        <v>1</v>
      </c>
    </row>
    <row r="460" hidden="1" spans="1:14">
      <c r="A460">
        <v>3716</v>
      </c>
      <c r="B460">
        <v>0</v>
      </c>
      <c r="C460" t="s">
        <v>132</v>
      </c>
      <c r="D460">
        <v>0</v>
      </c>
      <c r="E460">
        <v>89.64</v>
      </c>
      <c r="F460">
        <v>25.425</v>
      </c>
      <c r="G460">
        <v>7364.9</v>
      </c>
      <c r="H460" s="1">
        <v>40430</v>
      </c>
      <c r="I460" s="1">
        <v>40451</v>
      </c>
      <c r="J460" t="s">
        <v>15</v>
      </c>
      <c r="K460">
        <v>0</v>
      </c>
      <c r="L460">
        <v>140000</v>
      </c>
      <c r="M460" t="s">
        <v>138</v>
      </c>
      <c r="N460">
        <v>1.5</v>
      </c>
    </row>
    <row r="461" hidden="1" spans="1:14">
      <c r="A461">
        <v>3732</v>
      </c>
      <c r="B461">
        <v>0</v>
      </c>
      <c r="C461" t="s">
        <v>132</v>
      </c>
      <c r="D461">
        <v>0</v>
      </c>
      <c r="E461">
        <v>91.035</v>
      </c>
      <c r="F461">
        <v>24.21</v>
      </c>
      <c r="G461">
        <v>29265.76</v>
      </c>
      <c r="H461" s="1">
        <v>40452</v>
      </c>
      <c r="I461" s="1">
        <v>40463</v>
      </c>
      <c r="J461" t="s">
        <v>15</v>
      </c>
      <c r="K461">
        <v>15</v>
      </c>
      <c r="L461">
        <v>500000</v>
      </c>
      <c r="M461" t="s">
        <v>141</v>
      </c>
      <c r="N461">
        <v>1.5</v>
      </c>
    </row>
    <row r="462" hidden="1" spans="1:14">
      <c r="A462">
        <v>3843</v>
      </c>
      <c r="C462" t="s">
        <v>132</v>
      </c>
      <c r="E462">
        <v>89.0463</v>
      </c>
      <c r="F462">
        <v>22.5641</v>
      </c>
      <c r="G462">
        <v>19191.59</v>
      </c>
      <c r="H462" s="1">
        <v>40745</v>
      </c>
      <c r="I462" s="1">
        <v>40753</v>
      </c>
      <c r="J462" t="s">
        <v>15</v>
      </c>
      <c r="K462">
        <v>6</v>
      </c>
      <c r="L462">
        <v>10000</v>
      </c>
      <c r="M462" t="s">
        <v>54</v>
      </c>
      <c r="N462">
        <v>1.5</v>
      </c>
    </row>
    <row r="463" hidden="1" spans="1:14">
      <c r="A463">
        <v>3939</v>
      </c>
      <c r="C463" t="s">
        <v>132</v>
      </c>
      <c r="E463">
        <v>92.0988</v>
      </c>
      <c r="F463">
        <v>22.1723</v>
      </c>
      <c r="G463">
        <v>9560.29</v>
      </c>
      <c r="H463" s="1">
        <v>41084</v>
      </c>
      <c r="I463" s="1">
        <v>41092</v>
      </c>
      <c r="J463" t="s">
        <v>15</v>
      </c>
      <c r="K463">
        <v>106</v>
      </c>
      <c r="L463">
        <v>102000</v>
      </c>
      <c r="M463" t="s">
        <v>54</v>
      </c>
      <c r="N463">
        <v>1.5</v>
      </c>
    </row>
    <row r="464" hidden="1" spans="1:14">
      <c r="A464">
        <v>4056</v>
      </c>
      <c r="B464" t="s">
        <v>142</v>
      </c>
      <c r="C464" t="s">
        <v>132</v>
      </c>
      <c r="D464" t="s">
        <v>143</v>
      </c>
      <c r="E464">
        <v>91.194</v>
      </c>
      <c r="F464">
        <v>23.6387</v>
      </c>
      <c r="G464">
        <v>72847.78</v>
      </c>
      <c r="H464" s="1">
        <v>41408</v>
      </c>
      <c r="I464" s="1">
        <v>41410</v>
      </c>
      <c r="J464" t="s">
        <v>15</v>
      </c>
      <c r="K464">
        <v>19</v>
      </c>
      <c r="L464">
        <v>1166000</v>
      </c>
      <c r="M464" t="s">
        <v>144</v>
      </c>
      <c r="N464">
        <v>1.5</v>
      </c>
    </row>
    <row r="465" hidden="1" spans="1:14">
      <c r="A465">
        <v>4161</v>
      </c>
      <c r="C465" t="s">
        <v>132</v>
      </c>
      <c r="E465">
        <v>90.5498</v>
      </c>
      <c r="F465">
        <v>22.3313</v>
      </c>
      <c r="G465">
        <v>217.529</v>
      </c>
      <c r="H465" s="1">
        <v>41833</v>
      </c>
      <c r="I465" s="1">
        <v>41834</v>
      </c>
      <c r="J465" t="s">
        <v>15</v>
      </c>
      <c r="K465">
        <v>0</v>
      </c>
      <c r="L465">
        <v>30000</v>
      </c>
      <c r="M465" t="s">
        <v>145</v>
      </c>
      <c r="N465">
        <v>1.5</v>
      </c>
    </row>
    <row r="466" hidden="1" spans="1:14">
      <c r="A466">
        <v>4178</v>
      </c>
      <c r="C466" t="s">
        <v>132</v>
      </c>
      <c r="E466">
        <v>90.6333</v>
      </c>
      <c r="F466">
        <v>24.5661</v>
      </c>
      <c r="G466">
        <v>35999.91</v>
      </c>
      <c r="H466" s="1">
        <v>41871</v>
      </c>
      <c r="I466" s="1">
        <v>41890</v>
      </c>
      <c r="J466" t="s">
        <v>15</v>
      </c>
      <c r="K466">
        <v>17</v>
      </c>
      <c r="L466">
        <v>500000</v>
      </c>
      <c r="M466" t="s">
        <v>54</v>
      </c>
      <c r="N466">
        <v>1.5</v>
      </c>
    </row>
    <row r="467" hidden="1" spans="1:14">
      <c r="A467">
        <v>4263</v>
      </c>
      <c r="C467" t="s">
        <v>132</v>
      </c>
      <c r="E467">
        <v>91.9942</v>
      </c>
      <c r="F467">
        <v>22.4079</v>
      </c>
      <c r="G467">
        <v>12508.17</v>
      </c>
      <c r="H467" s="1">
        <v>42179</v>
      </c>
      <c r="I467" s="1">
        <v>42184</v>
      </c>
      <c r="J467" t="s">
        <v>15</v>
      </c>
      <c r="K467">
        <v>0</v>
      </c>
      <c r="L467">
        <v>23</v>
      </c>
      <c r="M467" t="s">
        <v>52</v>
      </c>
      <c r="N467">
        <v>1.5</v>
      </c>
    </row>
    <row r="468" hidden="1" spans="1:14">
      <c r="A468">
        <v>4382</v>
      </c>
      <c r="B468" t="s">
        <v>146</v>
      </c>
      <c r="C468" t="s">
        <v>132</v>
      </c>
      <c r="E468">
        <v>90.0395</v>
      </c>
      <c r="F468">
        <v>24.095</v>
      </c>
      <c r="G468">
        <v>45667.11</v>
      </c>
      <c r="H468" s="1">
        <v>42576</v>
      </c>
      <c r="I468" s="1">
        <v>42608</v>
      </c>
      <c r="J468" t="s">
        <v>15</v>
      </c>
      <c r="K468">
        <v>42</v>
      </c>
      <c r="L468">
        <v>25000</v>
      </c>
      <c r="M468" t="s">
        <v>54</v>
      </c>
      <c r="N468">
        <v>1.5</v>
      </c>
    </row>
    <row r="469" hidden="1" spans="1:14">
      <c r="A469">
        <v>4459</v>
      </c>
      <c r="C469" t="s">
        <v>132</v>
      </c>
      <c r="E469">
        <v>90.6828</v>
      </c>
      <c r="F469">
        <v>24.3178</v>
      </c>
      <c r="G469">
        <v>16281.3</v>
      </c>
      <c r="H469" s="1">
        <v>42824</v>
      </c>
      <c r="I469" s="1">
        <v>42843</v>
      </c>
      <c r="J469" t="s">
        <v>15</v>
      </c>
      <c r="K469">
        <v>0</v>
      </c>
      <c r="L469">
        <v>0</v>
      </c>
      <c r="M469" t="s">
        <v>49</v>
      </c>
      <c r="N469">
        <v>1</v>
      </c>
    </row>
    <row r="470" hidden="1" spans="1:14">
      <c r="A470">
        <v>4466</v>
      </c>
      <c r="C470" t="s">
        <v>132</v>
      </c>
      <c r="D470" t="s">
        <v>131</v>
      </c>
      <c r="E470">
        <v>89.5446</v>
      </c>
      <c r="F470">
        <v>25.3101</v>
      </c>
      <c r="G470">
        <v>37654.52</v>
      </c>
      <c r="H470" s="1">
        <v>42841</v>
      </c>
      <c r="I470" s="1">
        <v>42857</v>
      </c>
      <c r="J470" t="s">
        <v>15</v>
      </c>
      <c r="K470">
        <v>20</v>
      </c>
      <c r="L470">
        <v>0</v>
      </c>
      <c r="M470" t="s">
        <v>49</v>
      </c>
      <c r="N470">
        <v>1</v>
      </c>
    </row>
    <row r="471" hidden="1" spans="1:14">
      <c r="A471">
        <v>4484</v>
      </c>
      <c r="B471" t="s">
        <v>147</v>
      </c>
      <c r="C471" t="s">
        <v>132</v>
      </c>
      <c r="E471">
        <v>92.1427</v>
      </c>
      <c r="F471">
        <v>22.2842</v>
      </c>
      <c r="G471">
        <v>30486.14</v>
      </c>
      <c r="H471" s="1">
        <v>42897</v>
      </c>
      <c r="I471" s="1">
        <v>42900</v>
      </c>
      <c r="J471" t="s">
        <v>15</v>
      </c>
      <c r="K471">
        <v>60</v>
      </c>
      <c r="L471">
        <v>0</v>
      </c>
      <c r="M471" t="s">
        <v>54</v>
      </c>
      <c r="N471">
        <v>1.5</v>
      </c>
    </row>
    <row r="472" hidden="1" spans="1:14">
      <c r="A472">
        <v>4508</v>
      </c>
      <c r="B472" t="s">
        <v>148</v>
      </c>
      <c r="C472" t="s">
        <v>132</v>
      </c>
      <c r="E472">
        <v>90.0148</v>
      </c>
      <c r="F472">
        <v>24.5912</v>
      </c>
      <c r="G472">
        <v>100009.94</v>
      </c>
      <c r="H472" s="1">
        <v>42957</v>
      </c>
      <c r="I472" s="1">
        <v>42973</v>
      </c>
      <c r="J472" t="s">
        <v>15</v>
      </c>
      <c r="K472">
        <v>117</v>
      </c>
      <c r="L472">
        <v>300000</v>
      </c>
      <c r="M472" t="s">
        <v>54</v>
      </c>
      <c r="N472">
        <v>1.5</v>
      </c>
    </row>
    <row r="473" hidden="1" spans="1:14">
      <c r="A473">
        <v>4617</v>
      </c>
      <c r="C473" t="s">
        <v>132</v>
      </c>
      <c r="E473">
        <v>92.1303</v>
      </c>
      <c r="F473">
        <v>23.2262</v>
      </c>
      <c r="G473">
        <v>3882.39</v>
      </c>
      <c r="H473" s="1">
        <v>43240</v>
      </c>
      <c r="I473" s="1">
        <v>43242</v>
      </c>
      <c r="J473" t="s">
        <v>15</v>
      </c>
      <c r="K473">
        <v>21</v>
      </c>
      <c r="L473">
        <v>14000</v>
      </c>
      <c r="M473" t="s">
        <v>52</v>
      </c>
      <c r="N473">
        <v>1.5</v>
      </c>
    </row>
    <row r="474" hidden="1" spans="1:14">
      <c r="A474">
        <v>4769</v>
      </c>
      <c r="C474" t="s">
        <v>132</v>
      </c>
      <c r="E474">
        <v>89.3518</v>
      </c>
      <c r="F474">
        <v>25.1859</v>
      </c>
      <c r="G474">
        <v>34209.79</v>
      </c>
      <c r="H474" s="1">
        <v>43656</v>
      </c>
      <c r="I474" s="1">
        <v>43659</v>
      </c>
      <c r="J474" t="s">
        <v>56</v>
      </c>
      <c r="K474">
        <v>0</v>
      </c>
      <c r="L474">
        <v>10000</v>
      </c>
      <c r="M474" t="s">
        <v>54</v>
      </c>
      <c r="N474">
        <v>1</v>
      </c>
    </row>
    <row r="475" hidden="1" spans="1:14">
      <c r="A475">
        <v>4939</v>
      </c>
      <c r="C475" t="s">
        <v>132</v>
      </c>
      <c r="E475">
        <v>89.8168</v>
      </c>
      <c r="F475">
        <v>24.7648</v>
      </c>
      <c r="G475">
        <v>44109.91</v>
      </c>
      <c r="H475" s="1">
        <v>44012</v>
      </c>
      <c r="I475" s="1">
        <v>44042</v>
      </c>
      <c r="J475" t="s">
        <v>56</v>
      </c>
      <c r="K475">
        <v>0</v>
      </c>
      <c r="L475">
        <v>30000</v>
      </c>
      <c r="M475" t="s">
        <v>54</v>
      </c>
      <c r="N475">
        <v>1.5</v>
      </c>
    </row>
    <row r="476" hidden="1" spans="1:14">
      <c r="A476">
        <v>5106</v>
      </c>
      <c r="C476" t="s">
        <v>132</v>
      </c>
      <c r="E476">
        <v>92.1303</v>
      </c>
      <c r="F476">
        <v>21.875</v>
      </c>
      <c r="G476">
        <v>6303.83</v>
      </c>
      <c r="H476" s="1">
        <v>44404</v>
      </c>
      <c r="I476" s="1">
        <v>44407</v>
      </c>
      <c r="J476" t="s">
        <v>56</v>
      </c>
      <c r="K476">
        <v>8</v>
      </c>
      <c r="L476">
        <v>0</v>
      </c>
      <c r="M476" t="s">
        <v>54</v>
      </c>
      <c r="N476">
        <v>1.5</v>
      </c>
    </row>
    <row r="477" hidden="1" spans="1:14">
      <c r="A477">
        <v>146</v>
      </c>
      <c r="B477">
        <v>0</v>
      </c>
      <c r="C477" t="s">
        <v>149</v>
      </c>
      <c r="E477">
        <v>91.8011</v>
      </c>
      <c r="F477">
        <v>24.7767</v>
      </c>
      <c r="G477">
        <v>240065.2</v>
      </c>
      <c r="H477" s="1">
        <v>31981</v>
      </c>
      <c r="I477" s="1">
        <v>32044</v>
      </c>
      <c r="J477" t="s">
        <v>15</v>
      </c>
      <c r="K477">
        <v>880</v>
      </c>
      <c r="L477">
        <v>500000</v>
      </c>
      <c r="M477" t="s">
        <v>16</v>
      </c>
      <c r="N477">
        <v>2</v>
      </c>
    </row>
    <row r="478" hidden="1" spans="1:14">
      <c r="A478">
        <v>188</v>
      </c>
      <c r="B478">
        <v>0</v>
      </c>
      <c r="C478" t="s">
        <v>149</v>
      </c>
      <c r="D478">
        <v>0</v>
      </c>
      <c r="E478">
        <v>89.2694</v>
      </c>
      <c r="F478">
        <v>22.9348</v>
      </c>
      <c r="G478">
        <v>66355.79</v>
      </c>
      <c r="H478" s="1">
        <v>32308</v>
      </c>
      <c r="I478" s="1">
        <v>32314</v>
      </c>
      <c r="J478" t="s">
        <v>15</v>
      </c>
      <c r="K478">
        <v>8</v>
      </c>
      <c r="L478">
        <v>15000</v>
      </c>
      <c r="M478" t="s">
        <v>16</v>
      </c>
      <c r="N478">
        <v>1</v>
      </c>
    </row>
    <row r="479" hidden="1" spans="1:14">
      <c r="A479">
        <v>193</v>
      </c>
      <c r="B479">
        <v>0</v>
      </c>
      <c r="C479" t="s">
        <v>149</v>
      </c>
      <c r="D479">
        <v>0</v>
      </c>
      <c r="E479">
        <v>90.7053</v>
      </c>
      <c r="F479">
        <v>24.0121</v>
      </c>
      <c r="G479">
        <v>98283.8</v>
      </c>
      <c r="H479" s="1">
        <v>32321</v>
      </c>
      <c r="I479" s="1">
        <v>32370</v>
      </c>
      <c r="J479" t="s">
        <v>15</v>
      </c>
      <c r="K479">
        <v>254</v>
      </c>
      <c r="L479">
        <v>5250000</v>
      </c>
      <c r="M479" t="s">
        <v>23</v>
      </c>
      <c r="N479">
        <v>1</v>
      </c>
    </row>
    <row r="480" hidden="1" spans="1:14">
      <c r="A480">
        <v>227</v>
      </c>
      <c r="B480">
        <v>0</v>
      </c>
      <c r="C480" t="s">
        <v>149</v>
      </c>
      <c r="D480">
        <v>0</v>
      </c>
      <c r="E480">
        <v>90.3467</v>
      </c>
      <c r="F480">
        <v>23.8201</v>
      </c>
      <c r="G480">
        <v>138855.34</v>
      </c>
      <c r="H480" s="1">
        <v>32375</v>
      </c>
      <c r="I480" s="1">
        <v>32419</v>
      </c>
      <c r="J480" t="s">
        <v>15</v>
      </c>
      <c r="K480">
        <v>0</v>
      </c>
      <c r="L480">
        <v>0</v>
      </c>
      <c r="M480" t="s">
        <v>23</v>
      </c>
      <c r="N480">
        <v>2</v>
      </c>
    </row>
    <row r="481" hidden="1" spans="1:14">
      <c r="A481">
        <v>1517</v>
      </c>
      <c r="B481">
        <v>0</v>
      </c>
      <c r="C481" t="s">
        <v>149</v>
      </c>
      <c r="D481">
        <v>0</v>
      </c>
      <c r="E481">
        <v>91.5543</v>
      </c>
      <c r="F481">
        <v>24.721</v>
      </c>
      <c r="G481">
        <v>71740.1</v>
      </c>
      <c r="H481" s="1">
        <v>36332</v>
      </c>
      <c r="I481" s="1">
        <v>36347</v>
      </c>
      <c r="J481" t="s">
        <v>15</v>
      </c>
      <c r="K481">
        <v>19</v>
      </c>
      <c r="L481">
        <v>100000</v>
      </c>
      <c r="M481" t="s">
        <v>18</v>
      </c>
      <c r="N481">
        <v>1</v>
      </c>
    </row>
    <row r="482" hidden="1" spans="1:14">
      <c r="A482">
        <v>1813</v>
      </c>
      <c r="B482">
        <v>0</v>
      </c>
      <c r="C482" t="s">
        <v>149</v>
      </c>
      <c r="D482">
        <v>0</v>
      </c>
      <c r="E482">
        <v>89.1688</v>
      </c>
      <c r="F482">
        <v>22.6475</v>
      </c>
      <c r="G482">
        <v>900.151</v>
      </c>
      <c r="H482" s="1">
        <v>37181</v>
      </c>
      <c r="I482" s="1">
        <v>37183</v>
      </c>
      <c r="J482" t="s">
        <v>15</v>
      </c>
      <c r="K482">
        <v>0</v>
      </c>
      <c r="L482">
        <v>1200</v>
      </c>
      <c r="M482" t="s">
        <v>25</v>
      </c>
      <c r="N482">
        <v>1</v>
      </c>
    </row>
    <row r="483" hidden="1" spans="1:14">
      <c r="A483">
        <v>428</v>
      </c>
      <c r="B483">
        <v>0</v>
      </c>
      <c r="C483" t="s">
        <v>150</v>
      </c>
      <c r="D483">
        <v>0</v>
      </c>
      <c r="E483">
        <v>92.1228</v>
      </c>
      <c r="F483">
        <v>22.4252</v>
      </c>
      <c r="G483">
        <v>49249.02</v>
      </c>
      <c r="H483" s="1">
        <v>33050</v>
      </c>
      <c r="I483" s="1">
        <v>33062</v>
      </c>
      <c r="J483" t="s">
        <v>15</v>
      </c>
      <c r="K483">
        <v>23</v>
      </c>
      <c r="L483">
        <v>800000</v>
      </c>
      <c r="M483" t="s">
        <v>16</v>
      </c>
      <c r="N483">
        <v>1</v>
      </c>
    </row>
    <row r="484" hidden="1" spans="1:14">
      <c r="A484">
        <v>765</v>
      </c>
      <c r="B484">
        <v>0</v>
      </c>
      <c r="C484" t="s">
        <v>151</v>
      </c>
      <c r="D484" t="s">
        <v>152</v>
      </c>
      <c r="E484">
        <v>27.5231</v>
      </c>
      <c r="F484">
        <v>52.3665</v>
      </c>
      <c r="G484">
        <v>85364.07</v>
      </c>
      <c r="H484" s="1">
        <v>34175</v>
      </c>
      <c r="I484" s="1">
        <v>34193</v>
      </c>
      <c r="J484" t="s">
        <v>15</v>
      </c>
      <c r="K484">
        <v>6</v>
      </c>
      <c r="L484">
        <v>42000</v>
      </c>
      <c r="M484" t="s">
        <v>16</v>
      </c>
      <c r="N484">
        <v>1</v>
      </c>
    </row>
    <row r="485" hidden="1" spans="1:14">
      <c r="A485">
        <v>1503</v>
      </c>
      <c r="B485">
        <v>0</v>
      </c>
      <c r="C485" t="s">
        <v>151</v>
      </c>
      <c r="D485">
        <v>0</v>
      </c>
      <c r="E485">
        <v>25.9533</v>
      </c>
      <c r="F485">
        <v>52.406</v>
      </c>
      <c r="G485">
        <v>130388.15</v>
      </c>
      <c r="H485" s="1">
        <v>36226</v>
      </c>
      <c r="I485" s="1">
        <v>36260</v>
      </c>
      <c r="J485" t="s">
        <v>15</v>
      </c>
      <c r="K485">
        <v>0</v>
      </c>
      <c r="L485">
        <v>2000</v>
      </c>
      <c r="M485" t="s">
        <v>39</v>
      </c>
      <c r="N485">
        <v>1</v>
      </c>
    </row>
    <row r="486" hidden="1" spans="1:14">
      <c r="A486">
        <v>2193</v>
      </c>
      <c r="B486">
        <v>0</v>
      </c>
      <c r="C486" t="s">
        <v>151</v>
      </c>
      <c r="D486" t="s">
        <v>152</v>
      </c>
      <c r="E486">
        <v>25.203</v>
      </c>
      <c r="F486">
        <v>52.5773</v>
      </c>
      <c r="G486">
        <v>285012.04</v>
      </c>
      <c r="H486" s="1">
        <v>37702</v>
      </c>
      <c r="I486" s="1">
        <v>37746</v>
      </c>
      <c r="J486" t="s">
        <v>15</v>
      </c>
      <c r="K486">
        <v>0</v>
      </c>
      <c r="L486">
        <v>0</v>
      </c>
      <c r="M486" t="s">
        <v>153</v>
      </c>
      <c r="N486">
        <v>1</v>
      </c>
    </row>
    <row r="487" hidden="1" spans="1:14">
      <c r="A487">
        <v>1717</v>
      </c>
      <c r="B487">
        <v>0</v>
      </c>
      <c r="C487" t="s">
        <v>154</v>
      </c>
      <c r="D487">
        <v>0</v>
      </c>
      <c r="E487">
        <v>29.032</v>
      </c>
      <c r="F487">
        <v>52.0567</v>
      </c>
      <c r="G487">
        <v>17380.55</v>
      </c>
      <c r="H487" s="1">
        <v>37010</v>
      </c>
      <c r="I487" s="1">
        <v>37012</v>
      </c>
      <c r="J487" t="s">
        <v>15</v>
      </c>
      <c r="K487">
        <v>0</v>
      </c>
      <c r="L487">
        <v>0</v>
      </c>
      <c r="M487" t="s">
        <v>39</v>
      </c>
      <c r="N487">
        <v>1</v>
      </c>
    </row>
    <row r="488" hidden="1" spans="1:14">
      <c r="A488">
        <v>1442</v>
      </c>
      <c r="B488">
        <v>0</v>
      </c>
      <c r="C488" t="s">
        <v>155</v>
      </c>
      <c r="D488" t="s">
        <v>156</v>
      </c>
      <c r="E488">
        <v>4.98754</v>
      </c>
      <c r="F488">
        <v>51.0242</v>
      </c>
      <c r="G488">
        <v>26853.61</v>
      </c>
      <c r="H488" s="1">
        <v>36052</v>
      </c>
      <c r="I488" s="1">
        <v>36054</v>
      </c>
      <c r="J488" t="s">
        <v>15</v>
      </c>
      <c r="K488">
        <v>1</v>
      </c>
      <c r="L488">
        <v>400</v>
      </c>
      <c r="M488" t="s">
        <v>16</v>
      </c>
      <c r="N488">
        <v>2</v>
      </c>
    </row>
    <row r="489" hidden="1" spans="1:14">
      <c r="A489">
        <v>3748</v>
      </c>
      <c r="B489">
        <v>0</v>
      </c>
      <c r="C489" t="s">
        <v>155</v>
      </c>
      <c r="D489">
        <v>0</v>
      </c>
      <c r="E489">
        <v>4.35761</v>
      </c>
      <c r="F489">
        <v>50.8534</v>
      </c>
      <c r="G489">
        <v>8458.94</v>
      </c>
      <c r="H489" s="1">
        <v>40494</v>
      </c>
      <c r="I489" s="1">
        <v>40497</v>
      </c>
      <c r="J489" t="s">
        <v>15</v>
      </c>
      <c r="K489">
        <v>3</v>
      </c>
      <c r="L489">
        <v>0</v>
      </c>
      <c r="M489" t="s">
        <v>49</v>
      </c>
      <c r="N489">
        <v>1.5</v>
      </c>
    </row>
    <row r="490" hidden="1" spans="1:14">
      <c r="A490">
        <v>1643</v>
      </c>
      <c r="B490">
        <v>0</v>
      </c>
      <c r="C490" t="s">
        <v>157</v>
      </c>
      <c r="D490" t="s">
        <v>158</v>
      </c>
      <c r="E490">
        <v>-88.3995</v>
      </c>
      <c r="F490">
        <v>18.2855</v>
      </c>
      <c r="G490">
        <v>3925.89</v>
      </c>
      <c r="H490" s="1">
        <v>36800</v>
      </c>
      <c r="I490" s="1">
        <v>36804</v>
      </c>
      <c r="J490" t="s">
        <v>15</v>
      </c>
      <c r="K490">
        <v>14</v>
      </c>
      <c r="L490">
        <v>10621</v>
      </c>
      <c r="M490" t="s">
        <v>18</v>
      </c>
      <c r="N490">
        <v>1</v>
      </c>
    </row>
    <row r="491" hidden="1" spans="1:14">
      <c r="A491">
        <v>3316</v>
      </c>
      <c r="B491" t="s">
        <v>159</v>
      </c>
      <c r="C491" t="s">
        <v>157</v>
      </c>
      <c r="D491">
        <v>0</v>
      </c>
      <c r="E491">
        <v>-89.1136</v>
      </c>
      <c r="F491">
        <v>17.3019</v>
      </c>
      <c r="G491">
        <v>33638.36</v>
      </c>
      <c r="H491" s="1">
        <v>39599</v>
      </c>
      <c r="I491" s="1">
        <v>39604</v>
      </c>
      <c r="J491" t="s">
        <v>15</v>
      </c>
      <c r="K491">
        <v>2</v>
      </c>
      <c r="L491">
        <v>0</v>
      </c>
      <c r="M491" t="s">
        <v>160</v>
      </c>
      <c r="N491">
        <v>1</v>
      </c>
    </row>
    <row r="492" hidden="1" spans="1:14">
      <c r="A492">
        <v>59</v>
      </c>
      <c r="B492">
        <v>0</v>
      </c>
      <c r="C492" t="s">
        <v>161</v>
      </c>
      <c r="D492">
        <v>0</v>
      </c>
      <c r="E492">
        <v>2.17876</v>
      </c>
      <c r="F492">
        <v>7.37547</v>
      </c>
      <c r="G492">
        <v>29267.71</v>
      </c>
      <c r="H492" s="1">
        <v>31330</v>
      </c>
      <c r="I492" s="1">
        <v>31348</v>
      </c>
      <c r="J492" t="s">
        <v>15</v>
      </c>
      <c r="K492">
        <v>78</v>
      </c>
      <c r="L492">
        <v>48000</v>
      </c>
      <c r="M492" t="s">
        <v>49</v>
      </c>
      <c r="N492">
        <v>1</v>
      </c>
    </row>
    <row r="493" hidden="1" spans="1:14">
      <c r="A493">
        <v>542</v>
      </c>
      <c r="B493">
        <v>0</v>
      </c>
      <c r="C493" t="s">
        <v>161</v>
      </c>
      <c r="D493">
        <v>0</v>
      </c>
      <c r="E493">
        <v>2.15443</v>
      </c>
      <c r="F493">
        <v>7.48633</v>
      </c>
      <c r="G493">
        <v>17907.33</v>
      </c>
      <c r="H493" s="1">
        <v>33434</v>
      </c>
      <c r="I493" s="1">
        <v>33439</v>
      </c>
      <c r="J493" t="s">
        <v>15</v>
      </c>
      <c r="K493">
        <v>2</v>
      </c>
      <c r="L493">
        <v>200000</v>
      </c>
      <c r="M493" t="s">
        <v>16</v>
      </c>
      <c r="N493">
        <v>1</v>
      </c>
    </row>
    <row r="494" hidden="1" spans="1:14">
      <c r="A494">
        <v>1021</v>
      </c>
      <c r="B494">
        <v>0</v>
      </c>
      <c r="C494" t="s">
        <v>161</v>
      </c>
      <c r="D494">
        <v>0</v>
      </c>
      <c r="E494">
        <v>2.10776</v>
      </c>
      <c r="F494">
        <v>7.43332</v>
      </c>
      <c r="G494">
        <v>18117.44</v>
      </c>
      <c r="H494" s="1">
        <v>34982</v>
      </c>
      <c r="I494" s="1">
        <v>35012</v>
      </c>
      <c r="J494" t="s">
        <v>15</v>
      </c>
      <c r="K494">
        <v>0</v>
      </c>
      <c r="L494">
        <v>57500</v>
      </c>
      <c r="M494" t="s">
        <v>16</v>
      </c>
      <c r="N494">
        <v>1</v>
      </c>
    </row>
    <row r="495" hidden="1" spans="1:14">
      <c r="A495">
        <v>1452</v>
      </c>
      <c r="B495">
        <v>0</v>
      </c>
      <c r="C495" t="s">
        <v>161</v>
      </c>
      <c r="D495">
        <v>0</v>
      </c>
      <c r="E495">
        <v>2.31523</v>
      </c>
      <c r="F495">
        <v>11.0162</v>
      </c>
      <c r="G495">
        <v>63075.85</v>
      </c>
      <c r="H495" s="1">
        <v>36039</v>
      </c>
      <c r="I495" s="1">
        <v>36062</v>
      </c>
      <c r="J495" t="s">
        <v>15</v>
      </c>
      <c r="K495">
        <v>5</v>
      </c>
      <c r="L495">
        <v>5500</v>
      </c>
      <c r="M495" t="s">
        <v>16</v>
      </c>
      <c r="N495">
        <v>1</v>
      </c>
    </row>
    <row r="496" hidden="1" spans="1:14">
      <c r="A496">
        <v>3499</v>
      </c>
      <c r="B496" t="s">
        <v>162</v>
      </c>
      <c r="C496" t="s">
        <v>161</v>
      </c>
      <c r="D496">
        <v>0</v>
      </c>
      <c r="E496">
        <v>2.38057</v>
      </c>
      <c r="F496">
        <v>8.28454</v>
      </c>
      <c r="G496">
        <v>55064.21</v>
      </c>
      <c r="H496" s="1">
        <v>39995</v>
      </c>
      <c r="I496" s="1">
        <v>40011</v>
      </c>
      <c r="J496">
        <v>0</v>
      </c>
      <c r="K496">
        <v>0</v>
      </c>
      <c r="L496">
        <v>3000</v>
      </c>
      <c r="M496" t="s">
        <v>49</v>
      </c>
      <c r="N496">
        <v>1</v>
      </c>
    </row>
    <row r="497" hidden="1" spans="1:14">
      <c r="A497">
        <v>3730</v>
      </c>
      <c r="B497">
        <v>0</v>
      </c>
      <c r="C497" t="s">
        <v>161</v>
      </c>
      <c r="E497">
        <v>5.31</v>
      </c>
      <c r="F497">
        <v>4.86</v>
      </c>
      <c r="G497">
        <v>26788.65</v>
      </c>
      <c r="H497" s="1">
        <v>40433</v>
      </c>
      <c r="I497" s="1">
        <v>40497</v>
      </c>
      <c r="J497" t="s">
        <v>15</v>
      </c>
      <c r="K497">
        <v>272</v>
      </c>
      <c r="L497">
        <v>2000</v>
      </c>
      <c r="M497" t="s">
        <v>49</v>
      </c>
      <c r="N497">
        <v>1.5</v>
      </c>
    </row>
    <row r="498" hidden="1" spans="1:14">
      <c r="A498">
        <v>5115</v>
      </c>
      <c r="C498" t="s">
        <v>161</v>
      </c>
      <c r="E498">
        <v>2.17534</v>
      </c>
      <c r="F498">
        <v>7.4037</v>
      </c>
      <c r="G498">
        <v>18289.23</v>
      </c>
      <c r="H498" s="1">
        <v>44428</v>
      </c>
      <c r="I498" s="1">
        <v>44433</v>
      </c>
      <c r="J498" t="s">
        <v>56</v>
      </c>
      <c r="K498">
        <v>1</v>
      </c>
      <c r="L498">
        <v>0</v>
      </c>
      <c r="M498" t="s">
        <v>49</v>
      </c>
      <c r="N498">
        <v>1</v>
      </c>
    </row>
    <row r="499" hidden="1" spans="1:14">
      <c r="A499">
        <v>349</v>
      </c>
      <c r="B499">
        <v>0</v>
      </c>
      <c r="C499" t="s">
        <v>163</v>
      </c>
      <c r="D499">
        <v>0</v>
      </c>
      <c r="E499">
        <v>-64.7489</v>
      </c>
      <c r="F499">
        <v>32.3152</v>
      </c>
      <c r="G499">
        <v>53.2858</v>
      </c>
      <c r="H499" s="1">
        <v>32726</v>
      </c>
      <c r="I499" s="1">
        <v>32727</v>
      </c>
      <c r="J499" t="s">
        <v>15</v>
      </c>
      <c r="K499">
        <v>0</v>
      </c>
      <c r="L499">
        <v>60</v>
      </c>
      <c r="M499" t="s">
        <v>86</v>
      </c>
      <c r="N499">
        <v>1</v>
      </c>
    </row>
    <row r="500" hidden="1" spans="1:14">
      <c r="A500">
        <v>4387</v>
      </c>
      <c r="B500" t="s">
        <v>164</v>
      </c>
      <c r="C500" t="s">
        <v>165</v>
      </c>
      <c r="E500">
        <v>90.5344</v>
      </c>
      <c r="F500">
        <v>27.1694</v>
      </c>
      <c r="G500">
        <v>17884.1</v>
      </c>
      <c r="H500" s="1">
        <v>42572</v>
      </c>
      <c r="I500" s="1">
        <v>42585</v>
      </c>
      <c r="J500" t="s">
        <v>15</v>
      </c>
      <c r="K500">
        <v>4</v>
      </c>
      <c r="L500">
        <v>0</v>
      </c>
      <c r="M500" t="s">
        <v>54</v>
      </c>
      <c r="N500">
        <v>1.5</v>
      </c>
    </row>
    <row r="501" hidden="1" spans="1:14">
      <c r="A501">
        <v>2416</v>
      </c>
      <c r="B501">
        <v>0</v>
      </c>
      <c r="C501" t="s">
        <v>166</v>
      </c>
      <c r="D501">
        <v>0</v>
      </c>
      <c r="E501">
        <v>-64.8904</v>
      </c>
      <c r="F501">
        <v>-14.8766</v>
      </c>
      <c r="G501">
        <v>3573.26</v>
      </c>
      <c r="H501" s="1">
        <v>37996</v>
      </c>
      <c r="I501" s="1">
        <v>37997</v>
      </c>
      <c r="J501" t="s">
        <v>15</v>
      </c>
      <c r="K501">
        <v>0</v>
      </c>
      <c r="L501">
        <v>40000</v>
      </c>
      <c r="M501" t="s">
        <v>16</v>
      </c>
      <c r="N501">
        <v>1</v>
      </c>
    </row>
    <row r="502" hidden="1" spans="1:14">
      <c r="A502">
        <v>10</v>
      </c>
      <c r="B502">
        <v>0</v>
      </c>
      <c r="C502" t="s">
        <v>167</v>
      </c>
      <c r="D502">
        <v>0</v>
      </c>
      <c r="E502">
        <v>-63.2887</v>
      </c>
      <c r="F502">
        <v>-21.2244</v>
      </c>
      <c r="G502">
        <v>69706.89</v>
      </c>
      <c r="H502" s="1">
        <v>31103</v>
      </c>
      <c r="I502" s="1">
        <v>31106</v>
      </c>
      <c r="J502" t="s">
        <v>15</v>
      </c>
      <c r="K502">
        <v>2</v>
      </c>
      <c r="L502">
        <v>1000</v>
      </c>
      <c r="M502" t="s">
        <v>49</v>
      </c>
      <c r="N502">
        <v>1</v>
      </c>
    </row>
    <row r="503" hidden="1" spans="1:14">
      <c r="A503">
        <v>71</v>
      </c>
      <c r="B503">
        <v>0</v>
      </c>
      <c r="C503" t="s">
        <v>167</v>
      </c>
      <c r="D503">
        <v>0</v>
      </c>
      <c r="E503">
        <v>-66.0628</v>
      </c>
      <c r="F503">
        <v>-16.5525</v>
      </c>
      <c r="G503">
        <v>62629.39</v>
      </c>
      <c r="H503" s="1">
        <v>31418</v>
      </c>
      <c r="I503" s="1">
        <v>31505</v>
      </c>
      <c r="J503" t="s">
        <v>15</v>
      </c>
      <c r="K503">
        <v>30</v>
      </c>
      <c r="L503">
        <v>11300</v>
      </c>
      <c r="M503" t="s">
        <v>16</v>
      </c>
      <c r="N503">
        <v>2</v>
      </c>
    </row>
    <row r="504" hidden="1" spans="1:14">
      <c r="A504">
        <v>120</v>
      </c>
      <c r="B504">
        <v>0</v>
      </c>
      <c r="C504" t="s">
        <v>167</v>
      </c>
      <c r="D504">
        <v>0</v>
      </c>
      <c r="E504">
        <v>-64.817</v>
      </c>
      <c r="F504">
        <v>-16.7537</v>
      </c>
      <c r="G504">
        <v>12805.09</v>
      </c>
      <c r="H504" s="1">
        <v>31797</v>
      </c>
      <c r="I504" s="1">
        <v>31807</v>
      </c>
      <c r="J504" t="s">
        <v>15</v>
      </c>
      <c r="K504">
        <v>20</v>
      </c>
      <c r="L504">
        <v>3000</v>
      </c>
      <c r="M504" t="s">
        <v>16</v>
      </c>
      <c r="N504">
        <v>1</v>
      </c>
    </row>
    <row r="505" hidden="1" spans="1:14">
      <c r="A505">
        <v>630</v>
      </c>
      <c r="B505">
        <v>0</v>
      </c>
      <c r="C505" t="s">
        <v>167</v>
      </c>
      <c r="D505">
        <v>0</v>
      </c>
      <c r="E505">
        <v>-64.7527</v>
      </c>
      <c r="F505">
        <v>-13.5322</v>
      </c>
      <c r="G505">
        <v>204590.55</v>
      </c>
      <c r="H505" s="1">
        <v>33673</v>
      </c>
      <c r="I505" s="1">
        <v>33674</v>
      </c>
      <c r="J505" t="s">
        <v>15</v>
      </c>
      <c r="K505">
        <v>4</v>
      </c>
      <c r="L505">
        <v>5125</v>
      </c>
      <c r="M505" t="s">
        <v>16</v>
      </c>
      <c r="N505">
        <v>1</v>
      </c>
    </row>
    <row r="506" hidden="1" spans="1:14">
      <c r="A506">
        <v>1144</v>
      </c>
      <c r="B506">
        <v>0</v>
      </c>
      <c r="C506" t="s">
        <v>167</v>
      </c>
      <c r="D506">
        <v>0</v>
      </c>
      <c r="E506">
        <v>-65.0131</v>
      </c>
      <c r="F506">
        <v>-16.7329</v>
      </c>
      <c r="G506">
        <v>689139.65</v>
      </c>
      <c r="H506" s="1">
        <v>35462</v>
      </c>
      <c r="I506" s="1">
        <v>35476</v>
      </c>
      <c r="J506" t="s">
        <v>15</v>
      </c>
      <c r="K506">
        <v>40</v>
      </c>
      <c r="L506">
        <v>30000</v>
      </c>
      <c r="M506" t="s">
        <v>16</v>
      </c>
      <c r="N506">
        <v>2</v>
      </c>
    </row>
    <row r="507" hidden="1" spans="1:14">
      <c r="A507">
        <v>1218</v>
      </c>
      <c r="B507">
        <v>0</v>
      </c>
      <c r="C507" t="s">
        <v>167</v>
      </c>
      <c r="D507">
        <v>0</v>
      </c>
      <c r="E507">
        <v>-65.6191</v>
      </c>
      <c r="F507">
        <v>-13.0626</v>
      </c>
      <c r="G507">
        <v>365814.53</v>
      </c>
      <c r="H507" s="1">
        <v>35490</v>
      </c>
      <c r="I507" s="1">
        <v>35493</v>
      </c>
      <c r="J507" t="s">
        <v>15</v>
      </c>
      <c r="K507">
        <v>16</v>
      </c>
      <c r="L507">
        <v>0</v>
      </c>
      <c r="M507" t="s">
        <v>16</v>
      </c>
      <c r="N507">
        <v>2</v>
      </c>
    </row>
    <row r="508" hidden="1" spans="1:14">
      <c r="A508">
        <v>1306</v>
      </c>
      <c r="B508">
        <v>0</v>
      </c>
      <c r="C508" t="s">
        <v>167</v>
      </c>
      <c r="D508">
        <v>0</v>
      </c>
      <c r="E508">
        <v>-64.425</v>
      </c>
      <c r="F508">
        <v>-15.6996</v>
      </c>
      <c r="G508">
        <v>376693.59</v>
      </c>
      <c r="H508" s="1">
        <v>35837</v>
      </c>
      <c r="I508" s="1">
        <v>35839</v>
      </c>
      <c r="J508" t="s">
        <v>15</v>
      </c>
      <c r="K508">
        <v>60</v>
      </c>
      <c r="L508">
        <v>1500</v>
      </c>
      <c r="M508" t="s">
        <v>16</v>
      </c>
      <c r="N508">
        <v>1</v>
      </c>
    </row>
    <row r="509" hidden="1" spans="1:14">
      <c r="A509">
        <v>1500</v>
      </c>
      <c r="B509">
        <v>0</v>
      </c>
      <c r="C509" t="s">
        <v>167</v>
      </c>
      <c r="D509">
        <v>0</v>
      </c>
      <c r="E509">
        <v>-66.7448</v>
      </c>
      <c r="F509">
        <v>-12.6952</v>
      </c>
      <c r="G509">
        <v>285348.93</v>
      </c>
      <c r="H509" s="1">
        <v>36234</v>
      </c>
      <c r="I509" s="1">
        <v>36237</v>
      </c>
      <c r="J509" t="s">
        <v>15</v>
      </c>
      <c r="K509">
        <v>0</v>
      </c>
      <c r="L509">
        <v>1000</v>
      </c>
      <c r="M509" t="s">
        <v>16</v>
      </c>
      <c r="N509">
        <v>1</v>
      </c>
    </row>
    <row r="510" hidden="1" spans="1:14">
      <c r="A510">
        <v>1689</v>
      </c>
      <c r="B510">
        <v>0</v>
      </c>
      <c r="C510" t="s">
        <v>167</v>
      </c>
      <c r="D510">
        <v>0</v>
      </c>
      <c r="E510">
        <v>-67.148</v>
      </c>
      <c r="F510">
        <v>-14.9061</v>
      </c>
      <c r="G510">
        <v>107078.76</v>
      </c>
      <c r="H510" s="1">
        <v>36892</v>
      </c>
      <c r="I510" s="1">
        <v>36972</v>
      </c>
      <c r="J510" t="s">
        <v>15</v>
      </c>
      <c r="K510">
        <v>18</v>
      </c>
      <c r="L510">
        <v>300000</v>
      </c>
      <c r="M510" t="s">
        <v>16</v>
      </c>
      <c r="N510">
        <v>1</v>
      </c>
    </row>
    <row r="511" hidden="1" spans="1:14">
      <c r="A511">
        <v>1884</v>
      </c>
      <c r="B511">
        <v>0</v>
      </c>
      <c r="C511" t="s">
        <v>167</v>
      </c>
      <c r="D511">
        <v>0</v>
      </c>
      <c r="E511">
        <v>-68.1292</v>
      </c>
      <c r="F511">
        <v>-16.5008</v>
      </c>
      <c r="G511">
        <v>699.028</v>
      </c>
      <c r="H511" s="1">
        <v>37306</v>
      </c>
      <c r="I511" s="1">
        <v>37308</v>
      </c>
      <c r="J511" t="s">
        <v>15</v>
      </c>
      <c r="K511">
        <v>69</v>
      </c>
      <c r="L511">
        <v>850</v>
      </c>
      <c r="M511" t="s">
        <v>16</v>
      </c>
      <c r="N511">
        <v>1</v>
      </c>
    </row>
    <row r="512" hidden="1" spans="1:14">
      <c r="A512">
        <v>2120</v>
      </c>
      <c r="B512">
        <v>0</v>
      </c>
      <c r="C512" t="s">
        <v>167</v>
      </c>
      <c r="D512">
        <v>0</v>
      </c>
      <c r="E512">
        <v>-64.945</v>
      </c>
      <c r="F512">
        <v>-16.4857</v>
      </c>
      <c r="G512">
        <v>19475.5</v>
      </c>
      <c r="H512" s="1">
        <v>37624</v>
      </c>
      <c r="I512" s="1">
        <v>37629</v>
      </c>
      <c r="J512" t="s">
        <v>15</v>
      </c>
      <c r="K512">
        <v>1</v>
      </c>
      <c r="L512">
        <v>6000</v>
      </c>
      <c r="M512" t="s">
        <v>16</v>
      </c>
      <c r="N512">
        <v>1</v>
      </c>
    </row>
    <row r="513" hidden="1" spans="1:14">
      <c r="A513">
        <v>2132</v>
      </c>
      <c r="B513">
        <v>0</v>
      </c>
      <c r="C513" t="s">
        <v>167</v>
      </c>
      <c r="D513">
        <v>0</v>
      </c>
      <c r="E513">
        <v>-68.1304</v>
      </c>
      <c r="F513">
        <v>-16.4938</v>
      </c>
      <c r="G513">
        <v>212.606</v>
      </c>
      <c r="H513" s="1">
        <v>37642</v>
      </c>
      <c r="I513" s="1">
        <v>37643</v>
      </c>
      <c r="J513" t="s">
        <v>15</v>
      </c>
      <c r="K513">
        <v>4</v>
      </c>
      <c r="L513">
        <v>300</v>
      </c>
      <c r="M513" t="s">
        <v>18</v>
      </c>
      <c r="N513">
        <v>1</v>
      </c>
    </row>
    <row r="514" hidden="1" spans="1:14">
      <c r="A514">
        <v>2409</v>
      </c>
      <c r="B514">
        <v>0</v>
      </c>
      <c r="C514" t="s">
        <v>167</v>
      </c>
      <c r="D514">
        <v>0</v>
      </c>
      <c r="E514">
        <v>-65.0585</v>
      </c>
      <c r="F514">
        <v>-16.7225</v>
      </c>
      <c r="G514">
        <v>8232.15</v>
      </c>
      <c r="H514" s="1">
        <v>37977</v>
      </c>
      <c r="I514" s="1">
        <v>37981</v>
      </c>
      <c r="J514" t="s">
        <v>15</v>
      </c>
      <c r="K514">
        <v>35</v>
      </c>
      <c r="L514">
        <v>0</v>
      </c>
      <c r="M514" t="s">
        <v>16</v>
      </c>
      <c r="N514">
        <v>1</v>
      </c>
    </row>
    <row r="515" hidden="1" spans="1:14">
      <c r="A515">
        <v>2443</v>
      </c>
      <c r="B515">
        <v>0</v>
      </c>
      <c r="C515" t="s">
        <v>167</v>
      </c>
      <c r="D515" t="s">
        <v>88</v>
      </c>
      <c r="E515">
        <v>-63.6763</v>
      </c>
      <c r="F515">
        <v>-12.8522</v>
      </c>
      <c r="G515">
        <v>209386.98</v>
      </c>
      <c r="H515" s="1">
        <v>38040</v>
      </c>
      <c r="I515" s="1">
        <v>38078</v>
      </c>
      <c r="J515" t="s">
        <v>15</v>
      </c>
      <c r="K515">
        <v>0</v>
      </c>
      <c r="L515">
        <v>0</v>
      </c>
      <c r="M515" t="s">
        <v>16</v>
      </c>
      <c r="N515">
        <v>1</v>
      </c>
    </row>
    <row r="516" hidden="1" spans="1:14">
      <c r="A516">
        <v>2628</v>
      </c>
      <c r="B516">
        <v>0</v>
      </c>
      <c r="C516" t="s">
        <v>167</v>
      </c>
      <c r="D516">
        <v>0</v>
      </c>
      <c r="E516">
        <v>-62.8697</v>
      </c>
      <c r="F516">
        <v>-17.634</v>
      </c>
      <c r="G516">
        <v>10544.88</v>
      </c>
      <c r="H516" s="1">
        <v>38402</v>
      </c>
      <c r="I516" s="1">
        <v>38405</v>
      </c>
      <c r="J516" t="s">
        <v>15</v>
      </c>
      <c r="K516">
        <v>0</v>
      </c>
      <c r="L516">
        <v>0</v>
      </c>
      <c r="M516" t="s">
        <v>16</v>
      </c>
      <c r="N516">
        <v>1</v>
      </c>
    </row>
    <row r="517" hidden="1" spans="1:14">
      <c r="A517">
        <v>2786</v>
      </c>
      <c r="B517" t="s">
        <v>168</v>
      </c>
      <c r="C517" t="s">
        <v>167</v>
      </c>
      <c r="D517">
        <v>0</v>
      </c>
      <c r="E517">
        <v>-63.4256</v>
      </c>
      <c r="F517">
        <v>-16.0334</v>
      </c>
      <c r="G517">
        <v>955843.2</v>
      </c>
      <c r="H517" s="1">
        <v>38742</v>
      </c>
      <c r="I517" s="1">
        <v>38824</v>
      </c>
      <c r="J517" t="s">
        <v>15</v>
      </c>
      <c r="K517">
        <v>23</v>
      </c>
      <c r="L517">
        <v>100000</v>
      </c>
      <c r="M517" t="s">
        <v>16</v>
      </c>
      <c r="N517">
        <v>1</v>
      </c>
    </row>
    <row r="518" hidden="1" spans="1:14">
      <c r="A518">
        <v>3019</v>
      </c>
      <c r="B518" t="s">
        <v>169</v>
      </c>
      <c r="C518" t="s">
        <v>167</v>
      </c>
      <c r="D518">
        <v>0</v>
      </c>
      <c r="E518">
        <v>-61.9602</v>
      </c>
      <c r="F518">
        <v>-16.9738</v>
      </c>
      <c r="G518">
        <v>801034.98</v>
      </c>
      <c r="H518" s="1">
        <v>39092</v>
      </c>
      <c r="I518" s="1">
        <v>39203</v>
      </c>
      <c r="J518" t="s">
        <v>15</v>
      </c>
      <c r="K518">
        <v>41</v>
      </c>
      <c r="L518">
        <v>62687</v>
      </c>
      <c r="M518" t="s">
        <v>16</v>
      </c>
      <c r="N518">
        <v>1.5</v>
      </c>
    </row>
    <row r="519" hidden="1" spans="1:14">
      <c r="A519">
        <v>3246</v>
      </c>
      <c r="B519" t="s">
        <v>170</v>
      </c>
      <c r="C519" t="s">
        <v>167</v>
      </c>
      <c r="D519">
        <v>0</v>
      </c>
      <c r="E519">
        <v>-65.3015</v>
      </c>
      <c r="F519">
        <v>-17.6622</v>
      </c>
      <c r="G519">
        <v>972453.79</v>
      </c>
      <c r="H519" s="1">
        <v>39431</v>
      </c>
      <c r="I519" s="1">
        <v>39444</v>
      </c>
      <c r="J519" t="s">
        <v>15</v>
      </c>
      <c r="K519">
        <v>8</v>
      </c>
      <c r="L519">
        <v>20000</v>
      </c>
      <c r="M519" t="s">
        <v>16</v>
      </c>
      <c r="N519">
        <v>1</v>
      </c>
    </row>
    <row r="520" hidden="1" spans="1:14">
      <c r="A520">
        <v>3457</v>
      </c>
      <c r="B520" t="s">
        <v>171</v>
      </c>
      <c r="C520" t="s">
        <v>167</v>
      </c>
      <c r="D520">
        <v>0</v>
      </c>
      <c r="E520">
        <v>-62.618</v>
      </c>
      <c r="F520">
        <v>-18.7599</v>
      </c>
      <c r="G520">
        <v>167873.59</v>
      </c>
      <c r="H520" s="1">
        <v>39845</v>
      </c>
      <c r="I520" s="1">
        <v>39860</v>
      </c>
      <c r="J520" t="s">
        <v>15</v>
      </c>
      <c r="K520">
        <v>0</v>
      </c>
      <c r="L520">
        <v>0</v>
      </c>
      <c r="M520" t="s">
        <v>49</v>
      </c>
      <c r="N520">
        <v>1</v>
      </c>
    </row>
    <row r="521" hidden="1" spans="1:14">
      <c r="A521">
        <v>3593</v>
      </c>
      <c r="B521" t="s">
        <v>172</v>
      </c>
      <c r="C521" t="s">
        <v>167</v>
      </c>
      <c r="D521">
        <v>0</v>
      </c>
      <c r="E521">
        <v>-63.6012</v>
      </c>
      <c r="F521">
        <v>-17.8267</v>
      </c>
      <c r="G521">
        <v>102220.84</v>
      </c>
      <c r="H521" s="1">
        <v>40179</v>
      </c>
      <c r="I521" s="1">
        <v>40191</v>
      </c>
      <c r="J521">
        <v>0</v>
      </c>
      <c r="K521">
        <v>5</v>
      </c>
      <c r="L521">
        <v>4500</v>
      </c>
      <c r="M521" t="s">
        <v>49</v>
      </c>
      <c r="N521">
        <v>1</v>
      </c>
    </row>
    <row r="522" hidden="1" spans="1:14">
      <c r="A522">
        <v>3601</v>
      </c>
      <c r="B522">
        <v>0</v>
      </c>
      <c r="C522" t="s">
        <v>167</v>
      </c>
      <c r="D522">
        <v>0</v>
      </c>
      <c r="E522">
        <v>-66.4995</v>
      </c>
      <c r="F522">
        <v>-17.4593</v>
      </c>
      <c r="G522">
        <v>292808.94</v>
      </c>
      <c r="H522" s="1">
        <v>40205</v>
      </c>
      <c r="I522" s="1">
        <v>40214</v>
      </c>
      <c r="J522">
        <v>0</v>
      </c>
      <c r="K522">
        <v>0</v>
      </c>
      <c r="L522">
        <v>0</v>
      </c>
      <c r="M522" t="s">
        <v>49</v>
      </c>
      <c r="N522">
        <v>1</v>
      </c>
    </row>
    <row r="523" hidden="1" spans="1:14">
      <c r="A523">
        <v>3775</v>
      </c>
      <c r="B523" t="s">
        <v>173</v>
      </c>
      <c r="C523" t="s">
        <v>167</v>
      </c>
      <c r="E523">
        <v>-64.0418</v>
      </c>
      <c r="F523">
        <v>-21.091</v>
      </c>
      <c r="G523">
        <v>85174.87</v>
      </c>
      <c r="H523" s="1">
        <v>40573</v>
      </c>
      <c r="I523" s="1">
        <v>40574</v>
      </c>
      <c r="J523" t="s">
        <v>15</v>
      </c>
      <c r="K523">
        <v>31</v>
      </c>
      <c r="L523">
        <v>500</v>
      </c>
      <c r="M523" t="s">
        <v>52</v>
      </c>
      <c r="N523">
        <v>1</v>
      </c>
    </row>
    <row r="524" hidden="1" spans="1:14">
      <c r="A524">
        <v>3782</v>
      </c>
      <c r="C524" t="s">
        <v>167</v>
      </c>
      <c r="D524" t="s">
        <v>174</v>
      </c>
      <c r="E524">
        <v>-65.5997</v>
      </c>
      <c r="F524">
        <v>-16.4659</v>
      </c>
      <c r="G524">
        <v>122139.84</v>
      </c>
      <c r="H524" s="1">
        <v>40588</v>
      </c>
      <c r="I524" s="1">
        <v>40600</v>
      </c>
      <c r="J524" t="s">
        <v>15</v>
      </c>
      <c r="K524">
        <v>3</v>
      </c>
      <c r="L524">
        <v>10000</v>
      </c>
      <c r="M524" t="s">
        <v>52</v>
      </c>
      <c r="N524">
        <v>1.5</v>
      </c>
    </row>
    <row r="525" hidden="1" spans="1:14">
      <c r="A525">
        <v>4117</v>
      </c>
      <c r="B525" t="s">
        <v>175</v>
      </c>
      <c r="C525" t="s">
        <v>167</v>
      </c>
      <c r="E525">
        <v>-64.0135</v>
      </c>
      <c r="F525">
        <v>-13.3888</v>
      </c>
      <c r="G525">
        <v>381576.65</v>
      </c>
      <c r="H525" s="1">
        <v>41649</v>
      </c>
      <c r="I525" s="1">
        <v>41760</v>
      </c>
      <c r="J525" t="s">
        <v>15</v>
      </c>
      <c r="K525">
        <v>60</v>
      </c>
      <c r="L525">
        <v>84000</v>
      </c>
      <c r="M525" t="s">
        <v>49</v>
      </c>
      <c r="N525">
        <v>2</v>
      </c>
    </row>
    <row r="526" hidden="1" spans="1:14">
      <c r="A526">
        <v>4220</v>
      </c>
      <c r="B526" t="s">
        <v>176</v>
      </c>
      <c r="C526" t="s">
        <v>167</v>
      </c>
      <c r="E526">
        <v>-63.7661</v>
      </c>
      <c r="F526">
        <v>-16.4638</v>
      </c>
      <c r="G526">
        <v>137629.71</v>
      </c>
      <c r="H526" s="1">
        <v>42009</v>
      </c>
      <c r="I526" s="1">
        <v>42044</v>
      </c>
      <c r="J526" t="s">
        <v>15</v>
      </c>
      <c r="K526">
        <v>23</v>
      </c>
      <c r="L526">
        <v>1000</v>
      </c>
      <c r="M526" t="s">
        <v>49</v>
      </c>
      <c r="N526">
        <v>1.5</v>
      </c>
    </row>
    <row r="527" hidden="1" spans="1:14">
      <c r="A527">
        <v>4225</v>
      </c>
      <c r="C527" t="s">
        <v>167</v>
      </c>
      <c r="D527" t="s">
        <v>174</v>
      </c>
      <c r="E527">
        <v>-65.8445</v>
      </c>
      <c r="F527">
        <v>-11.5042</v>
      </c>
      <c r="G527">
        <v>487370.75</v>
      </c>
      <c r="H527" s="1">
        <v>42055</v>
      </c>
      <c r="I527" s="1">
        <v>42059</v>
      </c>
      <c r="J527" t="s">
        <v>15</v>
      </c>
      <c r="K527">
        <v>0</v>
      </c>
      <c r="L527">
        <v>4000</v>
      </c>
      <c r="M527" t="s">
        <v>54</v>
      </c>
      <c r="N527">
        <v>1.5</v>
      </c>
    </row>
    <row r="528" hidden="1" spans="1:14">
      <c r="A528">
        <v>4335</v>
      </c>
      <c r="C528" t="s">
        <v>167</v>
      </c>
      <c r="E528">
        <v>-64.929</v>
      </c>
      <c r="F528">
        <v>-12.843</v>
      </c>
      <c r="G528">
        <v>190581.43</v>
      </c>
      <c r="H528" s="1">
        <v>42428</v>
      </c>
      <c r="I528" s="1">
        <v>42439</v>
      </c>
      <c r="J528" t="s">
        <v>15</v>
      </c>
      <c r="K528">
        <v>0</v>
      </c>
      <c r="L528">
        <v>120</v>
      </c>
      <c r="M528" t="s">
        <v>49</v>
      </c>
      <c r="N528">
        <v>1</v>
      </c>
    </row>
    <row r="529" hidden="1" spans="1:14">
      <c r="A529">
        <v>4421</v>
      </c>
      <c r="C529" t="s">
        <v>167</v>
      </c>
      <c r="E529">
        <v>-65.894</v>
      </c>
      <c r="F529">
        <v>-12.843</v>
      </c>
      <c r="G529">
        <v>301195.25</v>
      </c>
      <c r="H529" s="1">
        <v>42707</v>
      </c>
      <c r="I529" s="1">
        <v>42711</v>
      </c>
      <c r="J529" t="s">
        <v>15</v>
      </c>
      <c r="K529">
        <v>0</v>
      </c>
      <c r="L529">
        <v>4</v>
      </c>
      <c r="M529" t="s">
        <v>49</v>
      </c>
      <c r="N529">
        <v>1</v>
      </c>
    </row>
    <row r="530" hidden="1" spans="1:14">
      <c r="A530">
        <v>4577</v>
      </c>
      <c r="B530" t="s">
        <v>177</v>
      </c>
      <c r="C530" t="s">
        <v>167</v>
      </c>
      <c r="E530">
        <v>-64.0135</v>
      </c>
      <c r="F530">
        <v>-14.4053</v>
      </c>
      <c r="G530">
        <v>245647.66</v>
      </c>
      <c r="H530" s="1">
        <v>43141</v>
      </c>
      <c r="I530" s="1">
        <v>43152</v>
      </c>
      <c r="J530" t="s">
        <v>15</v>
      </c>
      <c r="K530">
        <v>6</v>
      </c>
      <c r="L530">
        <v>12000</v>
      </c>
      <c r="M530" t="s">
        <v>49</v>
      </c>
      <c r="N530">
        <v>1.5</v>
      </c>
    </row>
    <row r="531" hidden="1" spans="1:14">
      <c r="A531">
        <v>4887</v>
      </c>
      <c r="C531" t="s">
        <v>167</v>
      </c>
      <c r="E531">
        <v>-64.5579</v>
      </c>
      <c r="F531">
        <v>-15.8678</v>
      </c>
      <c r="G531">
        <v>130235.52</v>
      </c>
      <c r="H531" s="1">
        <v>43892</v>
      </c>
      <c r="I531" s="1">
        <v>43900</v>
      </c>
      <c r="J531" t="s">
        <v>56</v>
      </c>
      <c r="K531">
        <v>0</v>
      </c>
      <c r="L531">
        <v>600</v>
      </c>
      <c r="M531" t="s">
        <v>49</v>
      </c>
      <c r="N531">
        <v>1</v>
      </c>
    </row>
    <row r="532" hidden="1" spans="1:14">
      <c r="A532">
        <v>5036</v>
      </c>
      <c r="C532" t="s">
        <v>167</v>
      </c>
      <c r="E532">
        <v>-67.2797</v>
      </c>
      <c r="F532">
        <v>-11.5529</v>
      </c>
      <c r="G532">
        <v>128782.47</v>
      </c>
      <c r="H532" s="1">
        <v>44249</v>
      </c>
      <c r="I532" s="1">
        <v>44266</v>
      </c>
      <c r="J532" t="s">
        <v>56</v>
      </c>
      <c r="K532">
        <v>0</v>
      </c>
      <c r="L532">
        <v>300</v>
      </c>
      <c r="M532" t="s">
        <v>49</v>
      </c>
      <c r="N532">
        <v>1</v>
      </c>
    </row>
    <row r="533" hidden="1" spans="1:14">
      <c r="A533">
        <v>1695</v>
      </c>
      <c r="B533">
        <v>0</v>
      </c>
      <c r="C533" t="s">
        <v>178</v>
      </c>
      <c r="D533">
        <v>0</v>
      </c>
      <c r="E533">
        <v>-63.9475</v>
      </c>
      <c r="F533">
        <v>-19.7861</v>
      </c>
      <c r="G533">
        <v>652.467</v>
      </c>
      <c r="H533" s="1">
        <v>36938</v>
      </c>
      <c r="I533" s="1">
        <v>36944</v>
      </c>
      <c r="J533" t="s">
        <v>15</v>
      </c>
      <c r="K533">
        <v>19</v>
      </c>
      <c r="L533">
        <v>200000</v>
      </c>
      <c r="M533" t="s">
        <v>16</v>
      </c>
      <c r="N533">
        <v>1</v>
      </c>
    </row>
    <row r="534" hidden="1" spans="1:14">
      <c r="A534">
        <v>1118</v>
      </c>
      <c r="B534">
        <v>0</v>
      </c>
      <c r="C534" t="s">
        <v>179</v>
      </c>
      <c r="D534">
        <v>0</v>
      </c>
      <c r="E534">
        <v>17.0015</v>
      </c>
      <c r="F534">
        <v>44.4291</v>
      </c>
      <c r="G534">
        <v>24391.06</v>
      </c>
      <c r="H534" s="1">
        <v>35328</v>
      </c>
      <c r="I534" s="1">
        <v>35332</v>
      </c>
      <c r="J534" t="s">
        <v>15</v>
      </c>
      <c r="K534">
        <v>1</v>
      </c>
      <c r="L534">
        <v>0</v>
      </c>
      <c r="M534" t="s">
        <v>49</v>
      </c>
      <c r="N534">
        <v>2</v>
      </c>
    </row>
    <row r="535" hidden="1" spans="1:14">
      <c r="A535">
        <v>4759</v>
      </c>
      <c r="C535" t="s">
        <v>179</v>
      </c>
      <c r="D535" t="s">
        <v>180</v>
      </c>
      <c r="E535">
        <v>19.2978</v>
      </c>
      <c r="F535">
        <v>44.0893</v>
      </c>
      <c r="G535">
        <v>27244.66</v>
      </c>
      <c r="H535" s="1">
        <v>43617</v>
      </c>
      <c r="I535" s="1">
        <v>43621</v>
      </c>
      <c r="J535" t="s">
        <v>181</v>
      </c>
      <c r="K535">
        <v>0</v>
      </c>
      <c r="L535">
        <v>159</v>
      </c>
      <c r="M535" t="s">
        <v>49</v>
      </c>
      <c r="N535">
        <v>1</v>
      </c>
    </row>
    <row r="536" hidden="1" spans="1:14">
      <c r="A536">
        <v>3665</v>
      </c>
      <c r="B536">
        <v>0</v>
      </c>
      <c r="C536" t="s">
        <v>182</v>
      </c>
      <c r="D536">
        <v>0</v>
      </c>
      <c r="E536">
        <v>17.705</v>
      </c>
      <c r="F536">
        <v>43.9872</v>
      </c>
      <c r="G536">
        <v>28641.6</v>
      </c>
      <c r="H536" s="1">
        <v>40351</v>
      </c>
      <c r="I536" s="1">
        <v>40355</v>
      </c>
      <c r="J536">
        <v>0</v>
      </c>
      <c r="K536">
        <v>46</v>
      </c>
      <c r="L536">
        <v>0</v>
      </c>
      <c r="M536" t="s">
        <v>49</v>
      </c>
      <c r="N536">
        <v>1</v>
      </c>
    </row>
    <row r="537" hidden="1" spans="1:14">
      <c r="A537">
        <v>3456</v>
      </c>
      <c r="B537" t="s">
        <v>183</v>
      </c>
      <c r="C537" t="s">
        <v>184</v>
      </c>
      <c r="D537">
        <v>0</v>
      </c>
      <c r="E537">
        <v>18.1786</v>
      </c>
      <c r="F537">
        <v>43.5036</v>
      </c>
      <c r="G537">
        <v>20487.47</v>
      </c>
      <c r="H537" s="1">
        <v>39849</v>
      </c>
      <c r="I537" s="1">
        <v>39860</v>
      </c>
      <c r="J537" t="s">
        <v>15</v>
      </c>
      <c r="K537">
        <v>0</v>
      </c>
      <c r="L537">
        <v>0</v>
      </c>
      <c r="M537" t="s">
        <v>49</v>
      </c>
      <c r="N537">
        <v>1</v>
      </c>
    </row>
    <row r="538" hidden="1" spans="1:14">
      <c r="A538">
        <v>3507</v>
      </c>
      <c r="B538" t="s">
        <v>185</v>
      </c>
      <c r="C538" t="s">
        <v>186</v>
      </c>
      <c r="D538">
        <v>0</v>
      </c>
      <c r="E538">
        <v>17.4846</v>
      </c>
      <c r="F538">
        <v>44.8711</v>
      </c>
      <c r="G538">
        <v>6060.99</v>
      </c>
      <c r="H538" s="1">
        <v>40001</v>
      </c>
      <c r="I538" s="1">
        <v>40009</v>
      </c>
      <c r="J538">
        <v>0</v>
      </c>
      <c r="K538">
        <v>0</v>
      </c>
      <c r="L538">
        <v>0</v>
      </c>
      <c r="M538" t="s">
        <v>49</v>
      </c>
      <c r="N538">
        <v>1</v>
      </c>
    </row>
    <row r="539" hidden="1" spans="1:14">
      <c r="A539">
        <v>2460</v>
      </c>
      <c r="B539">
        <v>0</v>
      </c>
      <c r="C539" t="s">
        <v>187</v>
      </c>
      <c r="D539" t="s">
        <v>188</v>
      </c>
      <c r="E539">
        <v>18.0251</v>
      </c>
      <c r="F539">
        <v>45.289</v>
      </c>
      <c r="G539">
        <v>47165.16</v>
      </c>
      <c r="H539" s="1">
        <v>38069</v>
      </c>
      <c r="I539" s="1">
        <v>38080</v>
      </c>
      <c r="J539" t="s">
        <v>15</v>
      </c>
      <c r="K539">
        <v>0</v>
      </c>
      <c r="L539">
        <v>0</v>
      </c>
      <c r="M539" t="s">
        <v>16</v>
      </c>
      <c r="N539">
        <v>1</v>
      </c>
    </row>
    <row r="540" hidden="1" spans="1:14">
      <c r="A540">
        <v>2469</v>
      </c>
      <c r="B540">
        <v>0</v>
      </c>
      <c r="C540" t="s">
        <v>187</v>
      </c>
      <c r="D540" t="s">
        <v>188</v>
      </c>
      <c r="E540">
        <v>17.7749</v>
      </c>
      <c r="F540">
        <v>44.8661</v>
      </c>
      <c r="G540">
        <v>104997.2</v>
      </c>
      <c r="H540" s="1">
        <v>38089</v>
      </c>
      <c r="I540" s="1">
        <v>38109</v>
      </c>
      <c r="J540" t="s">
        <v>15</v>
      </c>
      <c r="K540">
        <v>0</v>
      </c>
      <c r="L540">
        <v>1200</v>
      </c>
      <c r="M540" t="s">
        <v>16</v>
      </c>
      <c r="N540">
        <v>1</v>
      </c>
    </row>
    <row r="541" hidden="1" spans="1:14">
      <c r="A541">
        <v>937</v>
      </c>
      <c r="B541">
        <v>0</v>
      </c>
      <c r="C541" t="s">
        <v>189</v>
      </c>
      <c r="D541">
        <v>0</v>
      </c>
      <c r="E541">
        <v>27.5316</v>
      </c>
      <c r="F541">
        <v>-22.711</v>
      </c>
      <c r="G541">
        <v>31143.95</v>
      </c>
      <c r="H541" s="1">
        <v>34753</v>
      </c>
      <c r="I541" s="1">
        <v>34760</v>
      </c>
      <c r="J541" t="s">
        <v>15</v>
      </c>
      <c r="K541">
        <v>20</v>
      </c>
      <c r="L541">
        <v>2000</v>
      </c>
      <c r="M541" t="s">
        <v>16</v>
      </c>
      <c r="N541">
        <v>1</v>
      </c>
    </row>
    <row r="542" hidden="1" spans="1:14">
      <c r="A542">
        <v>3493</v>
      </c>
      <c r="B542" t="s">
        <v>190</v>
      </c>
      <c r="C542" t="s">
        <v>189</v>
      </c>
      <c r="E542">
        <v>23.312</v>
      </c>
      <c r="F542">
        <v>-16.6984</v>
      </c>
      <c r="G542">
        <v>571677.32</v>
      </c>
      <c r="H542" s="1">
        <v>39985</v>
      </c>
      <c r="I542" s="1">
        <v>39992</v>
      </c>
      <c r="J542" t="s">
        <v>15</v>
      </c>
      <c r="K542">
        <v>13</v>
      </c>
      <c r="L542">
        <v>0</v>
      </c>
      <c r="M542" t="s">
        <v>49</v>
      </c>
      <c r="N542">
        <v>1.5</v>
      </c>
    </row>
    <row r="543" hidden="1" spans="1:14">
      <c r="A543">
        <v>4026</v>
      </c>
      <c r="B543" t="s">
        <v>191</v>
      </c>
      <c r="C543" t="s">
        <v>189</v>
      </c>
      <c r="D543" t="s">
        <v>192</v>
      </c>
      <c r="E543">
        <v>25.0646</v>
      </c>
      <c r="F543">
        <v>-20.3766</v>
      </c>
      <c r="G543">
        <v>198590.48</v>
      </c>
      <c r="H543" s="1">
        <v>41289</v>
      </c>
      <c r="I543" s="1">
        <v>41306</v>
      </c>
      <c r="J543" t="s">
        <v>15</v>
      </c>
      <c r="K543">
        <v>0</v>
      </c>
      <c r="L543">
        <v>400</v>
      </c>
      <c r="M543" t="s">
        <v>49</v>
      </c>
      <c r="N543">
        <v>1.5</v>
      </c>
    </row>
    <row r="544" hidden="1" spans="1:14">
      <c r="A544">
        <v>2</v>
      </c>
      <c r="B544">
        <v>0</v>
      </c>
      <c r="C544" t="s">
        <v>88</v>
      </c>
      <c r="D544">
        <v>0</v>
      </c>
      <c r="E544">
        <v>-45.3489</v>
      </c>
      <c r="F544">
        <v>-18.7111</v>
      </c>
      <c r="G544">
        <v>678498.82</v>
      </c>
      <c r="H544" s="1">
        <v>31062</v>
      </c>
      <c r="I544" s="1">
        <v>31080</v>
      </c>
      <c r="J544" t="s">
        <v>15</v>
      </c>
      <c r="K544">
        <v>229</v>
      </c>
      <c r="L544">
        <v>80000</v>
      </c>
      <c r="M544" t="s">
        <v>16</v>
      </c>
      <c r="N544">
        <v>2</v>
      </c>
    </row>
    <row r="545" hidden="1" spans="1:14">
      <c r="A545">
        <v>15</v>
      </c>
      <c r="B545">
        <v>0</v>
      </c>
      <c r="C545" t="s">
        <v>88</v>
      </c>
      <c r="D545">
        <v>0</v>
      </c>
      <c r="E545">
        <v>-48.0987</v>
      </c>
      <c r="F545">
        <v>-4.13519</v>
      </c>
      <c r="G545">
        <v>1970402.21</v>
      </c>
      <c r="H545" s="1">
        <v>31139</v>
      </c>
      <c r="I545" s="1">
        <v>31154</v>
      </c>
      <c r="J545" t="s">
        <v>15</v>
      </c>
      <c r="K545">
        <v>32</v>
      </c>
      <c r="L545">
        <v>700000</v>
      </c>
      <c r="M545" t="s">
        <v>16</v>
      </c>
      <c r="N545">
        <v>2</v>
      </c>
    </row>
    <row r="546" hidden="1" spans="1:14">
      <c r="A546">
        <v>76</v>
      </c>
      <c r="B546">
        <v>0</v>
      </c>
      <c r="C546" t="s">
        <v>88</v>
      </c>
      <c r="D546">
        <v>0</v>
      </c>
      <c r="E546">
        <v>-43.7954</v>
      </c>
      <c r="F546">
        <v>-9.79844</v>
      </c>
      <c r="G546">
        <v>155406.32</v>
      </c>
      <c r="H546" s="1">
        <v>31525</v>
      </c>
      <c r="I546" s="1">
        <v>31527</v>
      </c>
      <c r="J546" t="s">
        <v>15</v>
      </c>
      <c r="K546">
        <v>11</v>
      </c>
      <c r="L546">
        <v>0</v>
      </c>
      <c r="M546" t="s">
        <v>64</v>
      </c>
      <c r="N546">
        <v>1</v>
      </c>
    </row>
    <row r="547" hidden="1" spans="1:14">
      <c r="A547">
        <v>116</v>
      </c>
      <c r="B547">
        <v>0</v>
      </c>
      <c r="C547" t="s">
        <v>88</v>
      </c>
      <c r="D547">
        <v>0</v>
      </c>
      <c r="E547">
        <v>-44.4508</v>
      </c>
      <c r="F547">
        <v>-21.7074</v>
      </c>
      <c r="G547">
        <v>276038.24</v>
      </c>
      <c r="H547" s="1">
        <v>31769</v>
      </c>
      <c r="I547" s="1">
        <v>31778</v>
      </c>
      <c r="J547" t="s">
        <v>15</v>
      </c>
      <c r="K547">
        <v>29</v>
      </c>
      <c r="L547">
        <v>7000</v>
      </c>
      <c r="M547" t="s">
        <v>64</v>
      </c>
      <c r="N547">
        <v>1</v>
      </c>
    </row>
    <row r="548" hidden="1" spans="1:14">
      <c r="A548">
        <v>119</v>
      </c>
      <c r="B548">
        <v>0</v>
      </c>
      <c r="C548" t="s">
        <v>88</v>
      </c>
      <c r="D548">
        <v>0</v>
      </c>
      <c r="E548">
        <v>-46.6809</v>
      </c>
      <c r="F548">
        <v>-23.5772</v>
      </c>
      <c r="G548">
        <v>7036.99</v>
      </c>
      <c r="H548" s="1">
        <v>31803</v>
      </c>
      <c r="I548" s="1">
        <v>31805</v>
      </c>
      <c r="J548" t="s">
        <v>15</v>
      </c>
      <c r="K548">
        <v>69</v>
      </c>
      <c r="L548">
        <v>9000</v>
      </c>
      <c r="M548" t="s">
        <v>16</v>
      </c>
      <c r="N548">
        <v>2</v>
      </c>
    </row>
    <row r="549" hidden="1" spans="1:14">
      <c r="A549">
        <v>308</v>
      </c>
      <c r="B549">
        <v>0</v>
      </c>
      <c r="C549" t="s">
        <v>88</v>
      </c>
      <c r="D549">
        <v>0</v>
      </c>
      <c r="E549">
        <v>-38.1522</v>
      </c>
      <c r="F549">
        <v>-7.19221</v>
      </c>
      <c r="G549">
        <v>2734939.69</v>
      </c>
      <c r="H549" s="1">
        <v>32660</v>
      </c>
      <c r="I549" s="1">
        <v>32685</v>
      </c>
      <c r="J549" t="s">
        <v>15</v>
      </c>
      <c r="K549">
        <v>0</v>
      </c>
      <c r="L549">
        <v>0</v>
      </c>
      <c r="M549" t="s">
        <v>16</v>
      </c>
      <c r="N549">
        <v>1</v>
      </c>
    </row>
    <row r="550" hidden="1" spans="1:14">
      <c r="A550">
        <v>310</v>
      </c>
      <c r="B550">
        <v>0</v>
      </c>
      <c r="C550" t="s">
        <v>88</v>
      </c>
      <c r="D550">
        <v>0</v>
      </c>
      <c r="E550">
        <v>-43.4738</v>
      </c>
      <c r="F550">
        <v>-22.5905</v>
      </c>
      <c r="G550">
        <v>7980.02</v>
      </c>
      <c r="H550" s="1">
        <v>32675</v>
      </c>
      <c r="I550" s="1">
        <v>32677</v>
      </c>
      <c r="J550" t="s">
        <v>15</v>
      </c>
      <c r="K550">
        <v>9</v>
      </c>
      <c r="L550">
        <v>0</v>
      </c>
      <c r="M550" t="s">
        <v>16</v>
      </c>
      <c r="N550">
        <v>1</v>
      </c>
    </row>
    <row r="551" hidden="1" spans="1:14">
      <c r="A551">
        <v>312</v>
      </c>
      <c r="B551">
        <v>0</v>
      </c>
      <c r="C551" t="s">
        <v>88</v>
      </c>
      <c r="D551">
        <v>0</v>
      </c>
      <c r="E551">
        <v>-36.6973</v>
      </c>
      <c r="F551">
        <v>-9.65778</v>
      </c>
      <c r="G551">
        <v>27545.85</v>
      </c>
      <c r="H551" s="1">
        <v>32694</v>
      </c>
      <c r="I551" s="1">
        <v>32705</v>
      </c>
      <c r="J551" t="s">
        <v>15</v>
      </c>
      <c r="K551">
        <v>33</v>
      </c>
      <c r="L551">
        <v>410000</v>
      </c>
      <c r="M551" t="s">
        <v>16</v>
      </c>
      <c r="N551">
        <v>2</v>
      </c>
    </row>
    <row r="552" hidden="1" spans="1:14">
      <c r="A552">
        <v>297</v>
      </c>
      <c r="B552">
        <v>0</v>
      </c>
      <c r="C552" t="s">
        <v>88</v>
      </c>
      <c r="D552">
        <v>0</v>
      </c>
      <c r="E552">
        <v>-35.61</v>
      </c>
      <c r="F552">
        <v>-6.46177</v>
      </c>
      <c r="G552">
        <v>403770.26</v>
      </c>
      <c r="H552" s="1">
        <v>32606</v>
      </c>
      <c r="I552" s="1">
        <v>32613</v>
      </c>
      <c r="J552" t="s">
        <v>15</v>
      </c>
      <c r="K552">
        <v>34</v>
      </c>
      <c r="L552">
        <v>4080</v>
      </c>
      <c r="M552" t="s">
        <v>16</v>
      </c>
      <c r="N552">
        <v>1</v>
      </c>
    </row>
    <row r="553" hidden="1" spans="1:14">
      <c r="A553">
        <v>318</v>
      </c>
      <c r="B553">
        <v>0</v>
      </c>
      <c r="C553" t="s">
        <v>88</v>
      </c>
      <c r="D553">
        <v>0</v>
      </c>
      <c r="E553">
        <v>-53.4946</v>
      </c>
      <c r="F553">
        <v>-22.0228</v>
      </c>
      <c r="G553">
        <v>179799.43</v>
      </c>
      <c r="H553" s="1">
        <v>32716</v>
      </c>
      <c r="I553" s="1">
        <v>32720</v>
      </c>
      <c r="J553" t="s">
        <v>15</v>
      </c>
      <c r="K553">
        <v>36</v>
      </c>
      <c r="L553">
        <v>45000</v>
      </c>
      <c r="M553" t="s">
        <v>16</v>
      </c>
      <c r="N553">
        <v>1</v>
      </c>
    </row>
    <row r="554" hidden="1" spans="1:14">
      <c r="A554">
        <v>383</v>
      </c>
      <c r="B554">
        <v>0</v>
      </c>
      <c r="C554" t="s">
        <v>88</v>
      </c>
      <c r="D554">
        <v>0</v>
      </c>
      <c r="E554">
        <v>-41.3696</v>
      </c>
      <c r="F554">
        <v>-7.81604</v>
      </c>
      <c r="G554">
        <v>2339268.4</v>
      </c>
      <c r="H554" s="1">
        <v>32852</v>
      </c>
      <c r="I554" s="1">
        <v>32873</v>
      </c>
      <c r="J554" t="s">
        <v>15</v>
      </c>
      <c r="K554">
        <v>35</v>
      </c>
      <c r="L554">
        <v>200000</v>
      </c>
      <c r="M554" t="s">
        <v>16</v>
      </c>
      <c r="N554">
        <v>1</v>
      </c>
    </row>
    <row r="555" hidden="1" spans="1:14">
      <c r="A555">
        <v>366</v>
      </c>
      <c r="B555">
        <v>0</v>
      </c>
      <c r="C555" t="s">
        <v>88</v>
      </c>
      <c r="D555">
        <v>0</v>
      </c>
      <c r="E555">
        <v>-51.3989</v>
      </c>
      <c r="F555">
        <v>-24.589</v>
      </c>
      <c r="G555">
        <v>193153.57</v>
      </c>
      <c r="H555" s="1">
        <v>32761</v>
      </c>
      <c r="I555" s="1">
        <v>32764</v>
      </c>
      <c r="J555" t="s">
        <v>15</v>
      </c>
      <c r="K555">
        <v>12</v>
      </c>
      <c r="L555">
        <v>10000</v>
      </c>
      <c r="M555" t="s">
        <v>16</v>
      </c>
      <c r="N555">
        <v>1</v>
      </c>
    </row>
    <row r="556" hidden="1" spans="1:14">
      <c r="A556">
        <v>406</v>
      </c>
      <c r="B556">
        <v>0</v>
      </c>
      <c r="C556" t="s">
        <v>88</v>
      </c>
      <c r="D556">
        <v>0</v>
      </c>
      <c r="E556">
        <v>-42.9149</v>
      </c>
      <c r="F556">
        <v>-22.0775</v>
      </c>
      <c r="G556">
        <v>43455.7</v>
      </c>
      <c r="H556" s="1">
        <v>32981</v>
      </c>
      <c r="I556" s="1">
        <v>32982</v>
      </c>
      <c r="J556" t="s">
        <v>15</v>
      </c>
      <c r="K556">
        <v>7</v>
      </c>
      <c r="L556">
        <v>800</v>
      </c>
      <c r="M556" t="s">
        <v>16</v>
      </c>
      <c r="N556">
        <v>1</v>
      </c>
    </row>
    <row r="557" hidden="1" spans="1:14">
      <c r="A557">
        <v>440</v>
      </c>
      <c r="B557">
        <v>0</v>
      </c>
      <c r="C557" t="s">
        <v>88</v>
      </c>
      <c r="D557">
        <v>0</v>
      </c>
      <c r="E557">
        <v>-35.0511</v>
      </c>
      <c r="F557">
        <v>-8.03448</v>
      </c>
      <c r="G557">
        <v>1995.61</v>
      </c>
      <c r="H557" s="1">
        <v>33083</v>
      </c>
      <c r="I557" s="1">
        <v>33085</v>
      </c>
      <c r="J557" t="s">
        <v>15</v>
      </c>
      <c r="K557">
        <v>27</v>
      </c>
      <c r="L557">
        <v>0</v>
      </c>
      <c r="M557" t="s">
        <v>16</v>
      </c>
      <c r="N557">
        <v>1</v>
      </c>
    </row>
    <row r="558" hidden="1" spans="1:14">
      <c r="A558">
        <v>470</v>
      </c>
      <c r="B558">
        <v>0</v>
      </c>
      <c r="C558" t="s">
        <v>88</v>
      </c>
      <c r="D558">
        <v>0</v>
      </c>
      <c r="E558">
        <v>-49.2012</v>
      </c>
      <c r="F558">
        <v>-26.9091</v>
      </c>
      <c r="G558">
        <v>6236.17</v>
      </c>
      <c r="H558" s="1">
        <v>33160</v>
      </c>
      <c r="I558" s="1">
        <v>33161</v>
      </c>
      <c r="J558" t="s">
        <v>15</v>
      </c>
      <c r="K558">
        <v>17</v>
      </c>
      <c r="L558">
        <v>2000</v>
      </c>
      <c r="M558" t="s">
        <v>64</v>
      </c>
      <c r="N558">
        <v>1</v>
      </c>
    </row>
    <row r="559" hidden="1" spans="1:14">
      <c r="A559">
        <v>498</v>
      </c>
      <c r="B559">
        <v>0</v>
      </c>
      <c r="C559" t="s">
        <v>88</v>
      </c>
      <c r="D559">
        <v>0</v>
      </c>
      <c r="E559">
        <v>-45.0895</v>
      </c>
      <c r="F559">
        <v>-23.0116</v>
      </c>
      <c r="G559">
        <v>89512.55</v>
      </c>
      <c r="H559" s="1">
        <v>33316</v>
      </c>
      <c r="I559" s="1">
        <v>33328</v>
      </c>
      <c r="J559" t="s">
        <v>15</v>
      </c>
      <c r="K559">
        <v>20</v>
      </c>
      <c r="L559">
        <v>17000</v>
      </c>
      <c r="M559" t="s">
        <v>16</v>
      </c>
      <c r="N559">
        <v>2</v>
      </c>
    </row>
    <row r="560" hidden="1" spans="1:14">
      <c r="A560">
        <v>599</v>
      </c>
      <c r="B560">
        <v>0</v>
      </c>
      <c r="C560" t="s">
        <v>88</v>
      </c>
      <c r="D560">
        <v>0</v>
      </c>
      <c r="E560">
        <v>-51.1309</v>
      </c>
      <c r="F560">
        <v>-27.6365</v>
      </c>
      <c r="G560">
        <v>94625.19</v>
      </c>
      <c r="H560" s="1">
        <v>33558</v>
      </c>
      <c r="I560" s="1">
        <v>33559</v>
      </c>
      <c r="J560" t="s">
        <v>15</v>
      </c>
      <c r="K560">
        <v>12</v>
      </c>
      <c r="L560">
        <v>10000</v>
      </c>
      <c r="M560" t="s">
        <v>16</v>
      </c>
      <c r="N560">
        <v>1</v>
      </c>
    </row>
    <row r="561" hidden="1" spans="1:14">
      <c r="A561">
        <v>613</v>
      </c>
      <c r="B561">
        <v>0</v>
      </c>
      <c r="C561" t="s">
        <v>88</v>
      </c>
      <c r="D561">
        <v>0</v>
      </c>
      <c r="E561">
        <v>-43.3207</v>
      </c>
      <c r="F561">
        <v>-22.5599</v>
      </c>
      <c r="G561">
        <v>8222.23</v>
      </c>
      <c r="H561" s="1">
        <v>33607</v>
      </c>
      <c r="I561" s="1">
        <v>33608</v>
      </c>
      <c r="J561" t="s">
        <v>15</v>
      </c>
      <c r="K561">
        <v>25</v>
      </c>
      <c r="L561">
        <v>1000</v>
      </c>
      <c r="M561" t="s">
        <v>16</v>
      </c>
      <c r="N561">
        <v>1</v>
      </c>
    </row>
    <row r="562" hidden="1" spans="1:14">
      <c r="A562">
        <v>620</v>
      </c>
      <c r="B562">
        <v>0</v>
      </c>
      <c r="C562" t="s">
        <v>88</v>
      </c>
      <c r="D562">
        <v>0</v>
      </c>
      <c r="E562">
        <v>-44.1553</v>
      </c>
      <c r="F562">
        <v>-15.5843</v>
      </c>
      <c r="G562">
        <v>1073672.43</v>
      </c>
      <c r="H562" s="1">
        <v>33635</v>
      </c>
      <c r="I562" s="1">
        <v>33646</v>
      </c>
      <c r="J562" t="s">
        <v>15</v>
      </c>
      <c r="K562">
        <v>41</v>
      </c>
      <c r="L562">
        <v>15600</v>
      </c>
      <c r="M562" t="s">
        <v>16</v>
      </c>
      <c r="N562">
        <v>1</v>
      </c>
    </row>
    <row r="563" hidden="1" spans="1:14">
      <c r="A563">
        <v>935</v>
      </c>
      <c r="B563">
        <v>0</v>
      </c>
      <c r="C563" t="s">
        <v>88</v>
      </c>
      <c r="D563">
        <v>0</v>
      </c>
      <c r="E563">
        <v>-46.4554</v>
      </c>
      <c r="F563">
        <v>-23.5199</v>
      </c>
      <c r="G563">
        <v>17901.32</v>
      </c>
      <c r="H563" s="1">
        <v>34736</v>
      </c>
      <c r="I563" s="1">
        <v>34743</v>
      </c>
      <c r="J563" t="s">
        <v>15</v>
      </c>
      <c r="K563">
        <v>27</v>
      </c>
      <c r="L563">
        <v>3000</v>
      </c>
      <c r="M563" t="s">
        <v>16</v>
      </c>
      <c r="N563">
        <v>1</v>
      </c>
    </row>
    <row r="564" hidden="1" spans="1:14">
      <c r="A564">
        <v>1041</v>
      </c>
      <c r="B564">
        <v>0</v>
      </c>
      <c r="C564" t="s">
        <v>88</v>
      </c>
      <c r="D564">
        <v>0</v>
      </c>
      <c r="E564">
        <v>-46.9398</v>
      </c>
      <c r="F564">
        <v>-21.6968</v>
      </c>
      <c r="G564">
        <v>1407835.69</v>
      </c>
      <c r="H564" s="1">
        <v>35058</v>
      </c>
      <c r="I564" s="1">
        <v>35072</v>
      </c>
      <c r="J564" t="s">
        <v>15</v>
      </c>
      <c r="K564">
        <v>100</v>
      </c>
      <c r="L564">
        <v>30000</v>
      </c>
      <c r="M564" t="s">
        <v>16</v>
      </c>
      <c r="N564">
        <v>1</v>
      </c>
    </row>
    <row r="565" hidden="1" spans="1:14">
      <c r="A565">
        <v>1058</v>
      </c>
      <c r="B565">
        <v>0</v>
      </c>
      <c r="C565" t="s">
        <v>88</v>
      </c>
      <c r="D565">
        <v>0</v>
      </c>
      <c r="E565">
        <v>-45.6231</v>
      </c>
      <c r="F565">
        <v>-23.0627</v>
      </c>
      <c r="G565">
        <v>142941.34</v>
      </c>
      <c r="H565" s="1">
        <v>35108</v>
      </c>
      <c r="I565" s="1">
        <v>35110</v>
      </c>
      <c r="J565" t="s">
        <v>15</v>
      </c>
      <c r="K565">
        <v>87</v>
      </c>
      <c r="L565">
        <v>10000</v>
      </c>
      <c r="M565" t="s">
        <v>16</v>
      </c>
      <c r="N565">
        <v>2</v>
      </c>
    </row>
    <row r="566" hidden="1" spans="1:14">
      <c r="A566">
        <v>1066</v>
      </c>
      <c r="B566">
        <v>0</v>
      </c>
      <c r="C566" t="s">
        <v>88</v>
      </c>
      <c r="D566">
        <v>0</v>
      </c>
      <c r="E566">
        <v>-35.4933</v>
      </c>
      <c r="F566">
        <v>-8.16902</v>
      </c>
      <c r="G566">
        <v>18676.74</v>
      </c>
      <c r="H566" s="1">
        <v>35178</v>
      </c>
      <c r="I566" s="1">
        <v>35185</v>
      </c>
      <c r="J566" t="s">
        <v>15</v>
      </c>
      <c r="K566">
        <v>53</v>
      </c>
      <c r="L566">
        <v>3000</v>
      </c>
      <c r="M566" t="s">
        <v>16</v>
      </c>
      <c r="N566">
        <v>1</v>
      </c>
    </row>
    <row r="567" hidden="1" spans="1:14">
      <c r="A567">
        <v>1150</v>
      </c>
      <c r="B567">
        <v>0</v>
      </c>
      <c r="C567" t="s">
        <v>88</v>
      </c>
      <c r="D567">
        <v>0</v>
      </c>
      <c r="E567">
        <v>-70.2658</v>
      </c>
      <c r="F567">
        <v>-9.1371</v>
      </c>
      <c r="G567">
        <v>152482.11</v>
      </c>
      <c r="H567" s="1">
        <v>35445</v>
      </c>
      <c r="I567" s="1">
        <v>35504</v>
      </c>
      <c r="J567" t="s">
        <v>15</v>
      </c>
      <c r="K567">
        <v>9</v>
      </c>
      <c r="L567">
        <v>55000</v>
      </c>
      <c r="M567" t="s">
        <v>16</v>
      </c>
      <c r="N567">
        <v>2</v>
      </c>
    </row>
    <row r="568" hidden="1" spans="1:14">
      <c r="A568">
        <v>1191</v>
      </c>
      <c r="B568">
        <v>0</v>
      </c>
      <c r="C568" t="s">
        <v>88</v>
      </c>
      <c r="D568" t="s">
        <v>87</v>
      </c>
      <c r="E568">
        <v>-53.1347</v>
      </c>
      <c r="F568">
        <v>-25.9956</v>
      </c>
      <c r="G568">
        <v>140125.04</v>
      </c>
      <c r="H568" s="1">
        <v>35708</v>
      </c>
      <c r="I568" s="1">
        <v>35718</v>
      </c>
      <c r="J568" t="s">
        <v>15</v>
      </c>
      <c r="K568">
        <v>0</v>
      </c>
      <c r="L568">
        <v>3600</v>
      </c>
      <c r="M568" t="s">
        <v>16</v>
      </c>
      <c r="N568">
        <v>1</v>
      </c>
    </row>
    <row r="569" hidden="1" spans="1:14">
      <c r="A569">
        <v>1193</v>
      </c>
      <c r="B569">
        <v>0</v>
      </c>
      <c r="C569" t="s">
        <v>88</v>
      </c>
      <c r="D569">
        <v>0</v>
      </c>
      <c r="E569">
        <v>-52.7608</v>
      </c>
      <c r="F569">
        <v>-27.4068</v>
      </c>
      <c r="G569">
        <v>465786.57</v>
      </c>
      <c r="H569" s="1">
        <v>35718</v>
      </c>
      <c r="I569" s="1">
        <v>35725</v>
      </c>
      <c r="J569" t="s">
        <v>15</v>
      </c>
      <c r="K569">
        <v>0</v>
      </c>
      <c r="L569">
        <v>21000</v>
      </c>
      <c r="M569" t="s">
        <v>16</v>
      </c>
      <c r="N569">
        <v>1</v>
      </c>
    </row>
    <row r="570" hidden="1" spans="1:14">
      <c r="A570">
        <v>1202</v>
      </c>
      <c r="B570">
        <v>0</v>
      </c>
      <c r="C570" t="s">
        <v>88</v>
      </c>
      <c r="D570">
        <v>0</v>
      </c>
      <c r="E570">
        <v>-49.0558</v>
      </c>
      <c r="F570">
        <v>-23.8999</v>
      </c>
      <c r="G570">
        <v>97027.22</v>
      </c>
      <c r="H570" s="1">
        <v>35452</v>
      </c>
      <c r="I570" s="1">
        <v>35457</v>
      </c>
      <c r="J570" t="s">
        <v>15</v>
      </c>
      <c r="K570">
        <v>10</v>
      </c>
      <c r="L570">
        <v>11000</v>
      </c>
      <c r="M570" t="s">
        <v>16</v>
      </c>
      <c r="N570">
        <v>1</v>
      </c>
    </row>
    <row r="571" hidden="1" spans="1:14">
      <c r="A571">
        <v>1207</v>
      </c>
      <c r="B571">
        <v>0</v>
      </c>
      <c r="C571" t="s">
        <v>88</v>
      </c>
      <c r="D571">
        <v>0</v>
      </c>
      <c r="E571">
        <v>-44.4386</v>
      </c>
      <c r="F571">
        <v>-19.298</v>
      </c>
      <c r="G571">
        <v>346997.05</v>
      </c>
      <c r="H571" s="1">
        <v>35431</v>
      </c>
      <c r="I571" s="1">
        <v>35438</v>
      </c>
      <c r="J571" t="s">
        <v>15</v>
      </c>
      <c r="K571">
        <v>81</v>
      </c>
      <c r="L571">
        <v>43000</v>
      </c>
      <c r="M571" t="s">
        <v>16</v>
      </c>
      <c r="N571">
        <v>1</v>
      </c>
    </row>
    <row r="572" hidden="1" spans="1:14">
      <c r="A572">
        <v>1318</v>
      </c>
      <c r="B572">
        <v>0</v>
      </c>
      <c r="C572" t="s">
        <v>88</v>
      </c>
      <c r="D572">
        <v>0</v>
      </c>
      <c r="E572">
        <v>-52.2934</v>
      </c>
      <c r="F572">
        <v>-31.3201</v>
      </c>
      <c r="G572">
        <v>54369.93</v>
      </c>
      <c r="H572" s="1">
        <v>35846</v>
      </c>
      <c r="I572" s="1">
        <v>35847</v>
      </c>
      <c r="J572" t="s">
        <v>15</v>
      </c>
      <c r="K572">
        <v>1</v>
      </c>
      <c r="L572">
        <v>0</v>
      </c>
      <c r="M572" t="s">
        <v>16</v>
      </c>
      <c r="N572">
        <v>1</v>
      </c>
    </row>
    <row r="573" hidden="1" spans="1:14">
      <c r="A573">
        <v>1339</v>
      </c>
      <c r="B573">
        <v>0</v>
      </c>
      <c r="C573" t="s">
        <v>88</v>
      </c>
      <c r="D573">
        <v>0</v>
      </c>
      <c r="E573">
        <v>-51.6527</v>
      </c>
      <c r="F573">
        <v>-28.1884</v>
      </c>
      <c r="G573">
        <v>209608.83</v>
      </c>
      <c r="H573" s="1">
        <v>35896</v>
      </c>
      <c r="I573" s="1">
        <v>35896</v>
      </c>
      <c r="J573" t="s">
        <v>15</v>
      </c>
      <c r="K573">
        <v>0</v>
      </c>
      <c r="L573">
        <v>11200</v>
      </c>
      <c r="M573" t="s">
        <v>16</v>
      </c>
      <c r="N573">
        <v>1</v>
      </c>
    </row>
    <row r="574" hidden="1" spans="1:14">
      <c r="A574">
        <v>1458</v>
      </c>
      <c r="B574">
        <v>0</v>
      </c>
      <c r="C574" t="s">
        <v>88</v>
      </c>
      <c r="D574">
        <v>0</v>
      </c>
      <c r="E574">
        <v>-51.261</v>
      </c>
      <c r="F574">
        <v>-25.2628</v>
      </c>
      <c r="G574">
        <v>119111.56</v>
      </c>
      <c r="H574" s="1">
        <v>36071</v>
      </c>
      <c r="I574" s="1">
        <v>36082</v>
      </c>
      <c r="J574" t="s">
        <v>15</v>
      </c>
      <c r="K574">
        <v>0</v>
      </c>
      <c r="L574">
        <v>8500</v>
      </c>
      <c r="M574" t="s">
        <v>16</v>
      </c>
      <c r="N574">
        <v>1</v>
      </c>
    </row>
    <row r="575" hidden="1" spans="1:14">
      <c r="A575">
        <v>1857</v>
      </c>
      <c r="B575">
        <v>0</v>
      </c>
      <c r="C575" t="s">
        <v>88</v>
      </c>
      <c r="D575">
        <v>0</v>
      </c>
      <c r="E575">
        <v>-50.2531</v>
      </c>
      <c r="F575">
        <v>-15.8146</v>
      </c>
      <c r="G575">
        <v>776.394</v>
      </c>
      <c r="H575" s="1">
        <v>37258</v>
      </c>
      <c r="I575" s="1">
        <v>37260</v>
      </c>
      <c r="J575" t="s">
        <v>15</v>
      </c>
      <c r="K575">
        <v>0</v>
      </c>
      <c r="L575">
        <v>0</v>
      </c>
      <c r="M575" t="s">
        <v>16</v>
      </c>
      <c r="N575">
        <v>2</v>
      </c>
    </row>
    <row r="576" hidden="1" spans="1:14">
      <c r="A576">
        <v>1872</v>
      </c>
      <c r="B576">
        <v>0</v>
      </c>
      <c r="C576" t="s">
        <v>88</v>
      </c>
      <c r="D576">
        <v>0</v>
      </c>
      <c r="E576">
        <v>-41.6614</v>
      </c>
      <c r="F576">
        <v>-17.771</v>
      </c>
      <c r="G576">
        <v>2254.64</v>
      </c>
      <c r="H576" s="1">
        <v>37290</v>
      </c>
      <c r="I576" s="1">
        <v>37292</v>
      </c>
      <c r="J576" t="s">
        <v>15</v>
      </c>
      <c r="K576">
        <v>10</v>
      </c>
      <c r="L576">
        <v>2000</v>
      </c>
      <c r="M576" t="s">
        <v>16</v>
      </c>
      <c r="N576">
        <v>1</v>
      </c>
    </row>
    <row r="577" hidden="1" spans="1:14">
      <c r="A577">
        <v>1885</v>
      </c>
      <c r="B577">
        <v>0</v>
      </c>
      <c r="C577" t="s">
        <v>88</v>
      </c>
      <c r="D577">
        <v>0</v>
      </c>
      <c r="E577">
        <v>-50.4819</v>
      </c>
      <c r="F577">
        <v>-11.8781</v>
      </c>
      <c r="G577">
        <v>139112.79</v>
      </c>
      <c r="H577" s="1">
        <v>37271</v>
      </c>
      <c r="I577" s="1">
        <v>37348</v>
      </c>
      <c r="J577" t="s">
        <v>15</v>
      </c>
      <c r="K577">
        <v>0</v>
      </c>
      <c r="L577">
        <v>0</v>
      </c>
      <c r="M577" t="s">
        <v>16</v>
      </c>
      <c r="N577">
        <v>1</v>
      </c>
    </row>
    <row r="578" hidden="1" spans="1:14">
      <c r="A578">
        <v>1956</v>
      </c>
      <c r="B578">
        <v>0</v>
      </c>
      <c r="C578" t="s">
        <v>88</v>
      </c>
      <c r="D578">
        <v>0</v>
      </c>
      <c r="E578">
        <v>-51.5303</v>
      </c>
      <c r="F578">
        <v>-29.9438</v>
      </c>
      <c r="G578">
        <v>18939.9</v>
      </c>
      <c r="H578" s="1">
        <v>37419</v>
      </c>
      <c r="I578" s="1">
        <v>37426</v>
      </c>
      <c r="J578" t="s">
        <v>15</v>
      </c>
      <c r="K578">
        <v>0</v>
      </c>
      <c r="L578">
        <v>2000</v>
      </c>
      <c r="M578" t="s">
        <v>16</v>
      </c>
      <c r="N578">
        <v>1</v>
      </c>
    </row>
    <row r="579" hidden="1" spans="1:14">
      <c r="A579">
        <v>2101</v>
      </c>
      <c r="B579">
        <v>0</v>
      </c>
      <c r="C579" t="s">
        <v>88</v>
      </c>
      <c r="D579">
        <v>0</v>
      </c>
      <c r="E579">
        <v>-44.3263</v>
      </c>
      <c r="F579">
        <v>-23.0153</v>
      </c>
      <c r="G579">
        <v>82.0525</v>
      </c>
      <c r="H579" s="1">
        <v>37599</v>
      </c>
      <c r="I579" s="1">
        <v>37601</v>
      </c>
      <c r="J579" t="s">
        <v>15</v>
      </c>
      <c r="K579">
        <v>39</v>
      </c>
      <c r="L579">
        <v>2000</v>
      </c>
      <c r="M579" t="s">
        <v>16</v>
      </c>
      <c r="N579">
        <v>2</v>
      </c>
    </row>
    <row r="580" hidden="1" spans="1:14">
      <c r="A580">
        <v>2124</v>
      </c>
      <c r="B580">
        <v>0</v>
      </c>
      <c r="C580" t="s">
        <v>88</v>
      </c>
      <c r="D580">
        <v>0</v>
      </c>
      <c r="E580">
        <v>-43.1439</v>
      </c>
      <c r="F580">
        <v>-22.4922</v>
      </c>
      <c r="G580">
        <v>115919.99</v>
      </c>
      <c r="H580" s="1">
        <v>37632</v>
      </c>
      <c r="I580" s="1">
        <v>37656</v>
      </c>
      <c r="J580" t="s">
        <v>15</v>
      </c>
      <c r="K580">
        <v>29</v>
      </c>
      <c r="L580">
        <v>16000</v>
      </c>
      <c r="M580" t="s">
        <v>16</v>
      </c>
      <c r="N580">
        <v>1</v>
      </c>
    </row>
    <row r="581" hidden="1" spans="1:14">
      <c r="A581">
        <v>2131</v>
      </c>
      <c r="B581">
        <v>0</v>
      </c>
      <c r="C581" t="s">
        <v>88</v>
      </c>
      <c r="D581">
        <v>0</v>
      </c>
      <c r="E581">
        <v>-43.823</v>
      </c>
      <c r="F581">
        <v>-19.7931</v>
      </c>
      <c r="G581">
        <v>6742.45</v>
      </c>
      <c r="H581" s="1">
        <v>37635</v>
      </c>
      <c r="I581" s="1">
        <v>37645</v>
      </c>
      <c r="J581" t="s">
        <v>15</v>
      </c>
      <c r="K581">
        <v>44</v>
      </c>
      <c r="L581">
        <v>10000</v>
      </c>
      <c r="M581" t="s">
        <v>16</v>
      </c>
      <c r="N581">
        <v>1</v>
      </c>
    </row>
    <row r="582" hidden="1" spans="1:14">
      <c r="A582">
        <v>2173</v>
      </c>
      <c r="B582">
        <v>0</v>
      </c>
      <c r="C582" t="s">
        <v>88</v>
      </c>
      <c r="D582">
        <v>0</v>
      </c>
      <c r="E582">
        <v>-50.4819</v>
      </c>
      <c r="F582">
        <v>-11.8781</v>
      </c>
      <c r="G582">
        <v>139112.79</v>
      </c>
      <c r="H582" s="1">
        <v>37632</v>
      </c>
      <c r="I582" s="1">
        <v>37733</v>
      </c>
      <c r="J582" t="s">
        <v>15</v>
      </c>
      <c r="K582">
        <v>0</v>
      </c>
      <c r="L582">
        <v>0</v>
      </c>
      <c r="M582" t="s">
        <v>193</v>
      </c>
      <c r="N582">
        <v>1</v>
      </c>
    </row>
    <row r="583" hidden="1" spans="1:14">
      <c r="A583">
        <v>2372</v>
      </c>
      <c r="B583">
        <v>0</v>
      </c>
      <c r="C583" t="s">
        <v>88</v>
      </c>
      <c r="D583">
        <v>0</v>
      </c>
      <c r="E583">
        <v>-53.2687</v>
      </c>
      <c r="F583">
        <v>-29.9288</v>
      </c>
      <c r="G583">
        <v>73221.49</v>
      </c>
      <c r="H583" s="1">
        <v>37921</v>
      </c>
      <c r="I583" s="1">
        <v>37925</v>
      </c>
      <c r="J583" t="s">
        <v>15</v>
      </c>
      <c r="K583">
        <v>0</v>
      </c>
      <c r="L583">
        <v>0</v>
      </c>
      <c r="M583" t="s">
        <v>16</v>
      </c>
      <c r="N583">
        <v>1</v>
      </c>
    </row>
    <row r="584" hidden="1" spans="1:14">
      <c r="A584">
        <v>2393</v>
      </c>
      <c r="B584">
        <v>0</v>
      </c>
      <c r="C584" t="s">
        <v>88</v>
      </c>
      <c r="D584">
        <v>0</v>
      </c>
      <c r="E584">
        <v>-43.3561</v>
      </c>
      <c r="F584">
        <v>-22.6439</v>
      </c>
      <c r="G584">
        <v>3338.3</v>
      </c>
      <c r="H584" s="1">
        <v>37954</v>
      </c>
      <c r="I584" s="1">
        <v>37955</v>
      </c>
      <c r="J584" t="s">
        <v>15</v>
      </c>
      <c r="K584">
        <v>7</v>
      </c>
      <c r="L584">
        <v>2000</v>
      </c>
      <c r="M584" t="s">
        <v>16</v>
      </c>
      <c r="N584">
        <v>1</v>
      </c>
    </row>
    <row r="585" hidden="1" spans="1:14">
      <c r="A585">
        <v>2418</v>
      </c>
      <c r="B585">
        <v>0</v>
      </c>
      <c r="C585" t="s">
        <v>88</v>
      </c>
      <c r="D585">
        <v>0</v>
      </c>
      <c r="E585">
        <v>-44.6785</v>
      </c>
      <c r="F585">
        <v>-22.525</v>
      </c>
      <c r="G585">
        <v>2018522.23</v>
      </c>
      <c r="H585" s="1">
        <v>37996</v>
      </c>
      <c r="I585" s="1">
        <v>38054</v>
      </c>
      <c r="J585" t="s">
        <v>15</v>
      </c>
      <c r="K585">
        <v>161</v>
      </c>
      <c r="L585">
        <v>230000</v>
      </c>
      <c r="M585" t="s">
        <v>16</v>
      </c>
      <c r="N585">
        <v>1</v>
      </c>
    </row>
    <row r="586" hidden="1" spans="1:14">
      <c r="A586">
        <v>2440</v>
      </c>
      <c r="B586">
        <v>0</v>
      </c>
      <c r="C586" t="s">
        <v>88</v>
      </c>
      <c r="D586">
        <v>0</v>
      </c>
      <c r="E586">
        <v>-50.4819</v>
      </c>
      <c r="F586">
        <v>-11.8781</v>
      </c>
      <c r="G586">
        <v>139112.79</v>
      </c>
      <c r="H586" s="1">
        <v>38028</v>
      </c>
      <c r="I586" s="1">
        <v>38112</v>
      </c>
      <c r="J586" t="s">
        <v>15</v>
      </c>
      <c r="K586">
        <v>0</v>
      </c>
      <c r="L586">
        <v>0</v>
      </c>
      <c r="M586" t="s">
        <v>16</v>
      </c>
      <c r="N586">
        <v>1</v>
      </c>
    </row>
    <row r="587" hidden="1" spans="1:14">
      <c r="A587">
        <v>2451</v>
      </c>
      <c r="B587">
        <v>0</v>
      </c>
      <c r="C587" t="s">
        <v>88</v>
      </c>
      <c r="D587">
        <v>0</v>
      </c>
      <c r="E587">
        <v>-38.5546</v>
      </c>
      <c r="F587">
        <v>-3.88165</v>
      </c>
      <c r="G587">
        <v>2879.29</v>
      </c>
      <c r="H587" s="1">
        <v>38052</v>
      </c>
      <c r="I587" s="1">
        <v>38054</v>
      </c>
      <c r="J587" t="s">
        <v>15</v>
      </c>
      <c r="K587">
        <v>4</v>
      </c>
      <c r="L587">
        <v>60000</v>
      </c>
      <c r="M587" t="s">
        <v>16</v>
      </c>
      <c r="N587">
        <v>1</v>
      </c>
    </row>
    <row r="588" hidden="1" spans="1:14">
      <c r="A588">
        <v>2490</v>
      </c>
      <c r="B588">
        <v>0</v>
      </c>
      <c r="C588" t="s">
        <v>88</v>
      </c>
      <c r="D588">
        <v>0</v>
      </c>
      <c r="E588">
        <v>-35.7698</v>
      </c>
      <c r="F588">
        <v>-9.68179</v>
      </c>
      <c r="G588">
        <v>149.54</v>
      </c>
      <c r="H588" s="1">
        <v>38139</v>
      </c>
      <c r="I588" s="1">
        <v>38140</v>
      </c>
      <c r="J588" t="s">
        <v>15</v>
      </c>
      <c r="K588">
        <v>22</v>
      </c>
      <c r="L588">
        <v>2250</v>
      </c>
      <c r="M588" t="s">
        <v>16</v>
      </c>
      <c r="N588">
        <v>1</v>
      </c>
    </row>
    <row r="589" hidden="1" spans="1:14">
      <c r="A589">
        <v>2504</v>
      </c>
      <c r="B589">
        <v>0</v>
      </c>
      <c r="C589" t="s">
        <v>88</v>
      </c>
      <c r="D589">
        <v>0</v>
      </c>
      <c r="E589">
        <v>-35.5898</v>
      </c>
      <c r="F589">
        <v>-7.04642</v>
      </c>
      <c r="G589">
        <v>153.021</v>
      </c>
      <c r="H589" s="1">
        <v>38155</v>
      </c>
      <c r="I589" s="1">
        <v>38156</v>
      </c>
      <c r="J589" t="s">
        <v>15</v>
      </c>
      <c r="K589">
        <v>7</v>
      </c>
      <c r="L589">
        <v>3000</v>
      </c>
      <c r="M589" t="s">
        <v>25</v>
      </c>
      <c r="N589">
        <v>1</v>
      </c>
    </row>
    <row r="590" hidden="1" spans="1:14">
      <c r="A590">
        <v>2618</v>
      </c>
      <c r="B590">
        <v>0</v>
      </c>
      <c r="C590" t="s">
        <v>88</v>
      </c>
      <c r="D590">
        <v>0</v>
      </c>
      <c r="E590">
        <v>-49.3471</v>
      </c>
      <c r="F590">
        <v>-22.1329</v>
      </c>
      <c r="G590">
        <v>127862.24</v>
      </c>
      <c r="H590" s="1">
        <v>38381</v>
      </c>
      <c r="I590" s="1">
        <v>38383</v>
      </c>
      <c r="J590" t="s">
        <v>15</v>
      </c>
      <c r="K590">
        <v>10</v>
      </c>
      <c r="L590">
        <v>0</v>
      </c>
      <c r="M590" t="s">
        <v>16</v>
      </c>
      <c r="N590">
        <v>1</v>
      </c>
    </row>
    <row r="591" hidden="1" spans="1:14">
      <c r="A591">
        <v>2621</v>
      </c>
      <c r="B591">
        <v>0</v>
      </c>
      <c r="C591" t="s">
        <v>88</v>
      </c>
      <c r="D591">
        <v>0</v>
      </c>
      <c r="E591">
        <v>-45.999</v>
      </c>
      <c r="F591">
        <v>-16.3459</v>
      </c>
      <c r="G591">
        <v>56393.19</v>
      </c>
      <c r="H591" s="1">
        <v>38384</v>
      </c>
      <c r="I591" s="1">
        <v>38394</v>
      </c>
      <c r="J591" t="s">
        <v>15</v>
      </c>
      <c r="K591">
        <v>9</v>
      </c>
      <c r="L591">
        <v>9000</v>
      </c>
      <c r="M591" t="s">
        <v>16</v>
      </c>
      <c r="N591">
        <v>1</v>
      </c>
    </row>
    <row r="592" hidden="1" spans="1:14">
      <c r="A592">
        <v>2656</v>
      </c>
      <c r="B592">
        <v>0</v>
      </c>
      <c r="C592" t="s">
        <v>88</v>
      </c>
      <c r="D592">
        <v>0</v>
      </c>
      <c r="E592">
        <v>-46.6149</v>
      </c>
      <c r="F592">
        <v>-23.5269</v>
      </c>
      <c r="G592">
        <v>928.544</v>
      </c>
      <c r="H592" s="1">
        <v>38496</v>
      </c>
      <c r="I592" s="1">
        <v>38499</v>
      </c>
      <c r="J592" t="s">
        <v>15</v>
      </c>
      <c r="K592">
        <v>5</v>
      </c>
      <c r="L592">
        <v>0</v>
      </c>
      <c r="M592" t="s">
        <v>18</v>
      </c>
      <c r="N592">
        <v>1</v>
      </c>
    </row>
    <row r="593" hidden="1" spans="1:14">
      <c r="A593">
        <v>2664</v>
      </c>
      <c r="B593">
        <v>0</v>
      </c>
      <c r="C593" t="s">
        <v>88</v>
      </c>
      <c r="D593">
        <v>0</v>
      </c>
      <c r="E593">
        <v>-35.3711</v>
      </c>
      <c r="F593">
        <v>-8.02432</v>
      </c>
      <c r="G593">
        <v>6052.27</v>
      </c>
      <c r="H593" s="1">
        <v>38504</v>
      </c>
      <c r="I593" s="1">
        <v>38507</v>
      </c>
      <c r="J593" t="s">
        <v>15</v>
      </c>
      <c r="K593">
        <v>28</v>
      </c>
      <c r="L593">
        <v>31000</v>
      </c>
      <c r="M593" t="s">
        <v>16</v>
      </c>
      <c r="N593">
        <v>1</v>
      </c>
    </row>
    <row r="594" hidden="1" spans="1:14">
      <c r="A594">
        <v>2787</v>
      </c>
      <c r="B594" t="s">
        <v>194</v>
      </c>
      <c r="C594" t="s">
        <v>88</v>
      </c>
      <c r="D594">
        <v>0</v>
      </c>
      <c r="E594">
        <v>-43.3569</v>
      </c>
      <c r="F594">
        <v>-22.5574</v>
      </c>
      <c r="G594">
        <v>9335.39</v>
      </c>
      <c r="H594" s="1">
        <v>38744</v>
      </c>
      <c r="I594" s="1">
        <v>38747</v>
      </c>
      <c r="J594" t="s">
        <v>15</v>
      </c>
      <c r="K594">
        <v>12</v>
      </c>
      <c r="L594">
        <v>0</v>
      </c>
      <c r="M594" t="s">
        <v>18</v>
      </c>
      <c r="N594">
        <v>1</v>
      </c>
    </row>
    <row r="595" hidden="1" spans="1:14">
      <c r="A595">
        <v>2806</v>
      </c>
      <c r="B595">
        <v>0</v>
      </c>
      <c r="C595" t="s">
        <v>88</v>
      </c>
      <c r="D595">
        <v>0</v>
      </c>
      <c r="E595">
        <v>-70.2968</v>
      </c>
      <c r="F595">
        <v>-9.14637</v>
      </c>
      <c r="G595">
        <v>149086.15</v>
      </c>
      <c r="H595" s="1">
        <v>38761</v>
      </c>
      <c r="I595" s="1">
        <v>38796</v>
      </c>
      <c r="J595" t="s">
        <v>15</v>
      </c>
      <c r="K595">
        <v>3</v>
      </c>
      <c r="L595">
        <v>33000</v>
      </c>
      <c r="M595" t="s">
        <v>16</v>
      </c>
      <c r="N595">
        <v>1</v>
      </c>
    </row>
    <row r="596" hidden="1" spans="1:14">
      <c r="A596">
        <v>2842</v>
      </c>
      <c r="B596">
        <v>0</v>
      </c>
      <c r="C596" t="s">
        <v>88</v>
      </c>
      <c r="D596">
        <v>0</v>
      </c>
      <c r="E596">
        <v>-52.288</v>
      </c>
      <c r="F596">
        <v>-2.80933</v>
      </c>
      <c r="G596">
        <v>1164021.58</v>
      </c>
      <c r="H596" s="1">
        <v>38801</v>
      </c>
      <c r="I596" s="1">
        <v>38830</v>
      </c>
      <c r="J596" t="s">
        <v>15</v>
      </c>
      <c r="K596">
        <v>8</v>
      </c>
      <c r="L596">
        <v>116000</v>
      </c>
      <c r="M596" t="s">
        <v>16</v>
      </c>
      <c r="N596">
        <v>1</v>
      </c>
    </row>
    <row r="597" hidden="1" spans="1:14">
      <c r="A597">
        <v>3010</v>
      </c>
      <c r="B597" t="s">
        <v>195</v>
      </c>
      <c r="C597" t="s">
        <v>88</v>
      </c>
      <c r="D597">
        <v>0</v>
      </c>
      <c r="E597">
        <v>-44.0032</v>
      </c>
      <c r="F597">
        <v>-22.4155</v>
      </c>
      <c r="G597">
        <v>210595.93</v>
      </c>
      <c r="H597" s="1">
        <v>39083</v>
      </c>
      <c r="I597" s="1">
        <v>39094</v>
      </c>
      <c r="J597" t="s">
        <v>15</v>
      </c>
      <c r="K597">
        <v>59</v>
      </c>
      <c r="L597">
        <v>17000</v>
      </c>
      <c r="M597" t="s">
        <v>16</v>
      </c>
      <c r="N597">
        <v>1</v>
      </c>
    </row>
    <row r="598" hidden="1" spans="1:14">
      <c r="A598">
        <v>3198</v>
      </c>
      <c r="B598">
        <v>0</v>
      </c>
      <c r="C598" t="s">
        <v>88</v>
      </c>
      <c r="D598">
        <v>0</v>
      </c>
      <c r="E598">
        <v>-52.6714</v>
      </c>
      <c r="F598">
        <v>-30.2516</v>
      </c>
      <c r="G598">
        <v>127363.09</v>
      </c>
      <c r="H598" s="1">
        <v>39349</v>
      </c>
      <c r="I598" s="1">
        <v>39357</v>
      </c>
      <c r="J598" t="s">
        <v>15</v>
      </c>
      <c r="K598">
        <v>4</v>
      </c>
      <c r="L598">
        <v>4000</v>
      </c>
      <c r="M598" t="s">
        <v>16</v>
      </c>
      <c r="N598">
        <v>1</v>
      </c>
    </row>
    <row r="599" hidden="1" spans="1:14">
      <c r="A599">
        <v>3213</v>
      </c>
      <c r="B599">
        <v>0</v>
      </c>
      <c r="C599" t="s">
        <v>88</v>
      </c>
      <c r="D599">
        <v>0</v>
      </c>
      <c r="E599">
        <v>-43.4153</v>
      </c>
      <c r="F599">
        <v>-22.7177</v>
      </c>
      <c r="G599">
        <v>734.173</v>
      </c>
      <c r="H599" s="1">
        <v>39379</v>
      </c>
      <c r="I599" s="1">
        <v>39382</v>
      </c>
      <c r="J599" t="s">
        <v>15</v>
      </c>
      <c r="K599">
        <v>6</v>
      </c>
      <c r="L599">
        <v>2272</v>
      </c>
      <c r="M599" t="s">
        <v>16</v>
      </c>
      <c r="N599">
        <v>1</v>
      </c>
    </row>
    <row r="600" hidden="1" spans="1:14">
      <c r="A600">
        <v>3256</v>
      </c>
      <c r="B600" t="s">
        <v>196</v>
      </c>
      <c r="C600" t="s">
        <v>88</v>
      </c>
      <c r="D600">
        <v>0</v>
      </c>
      <c r="E600">
        <v>-47.8777</v>
      </c>
      <c r="F600">
        <v>-24.4957</v>
      </c>
      <c r="G600">
        <v>23022.69</v>
      </c>
      <c r="H600" s="1">
        <v>39459</v>
      </c>
      <c r="I600" s="1">
        <v>39473</v>
      </c>
      <c r="J600" t="s">
        <v>15</v>
      </c>
      <c r="K600">
        <v>4</v>
      </c>
      <c r="L600">
        <v>15000</v>
      </c>
      <c r="M600" t="s">
        <v>16</v>
      </c>
      <c r="N600">
        <v>1</v>
      </c>
    </row>
    <row r="601" hidden="1" spans="1:14">
      <c r="A601">
        <v>3266</v>
      </c>
      <c r="B601">
        <v>0</v>
      </c>
      <c r="C601" t="s">
        <v>88</v>
      </c>
      <c r="D601">
        <v>0</v>
      </c>
      <c r="E601">
        <v>-43.1261</v>
      </c>
      <c r="F601">
        <v>-22.3705</v>
      </c>
      <c r="G601">
        <v>291.287</v>
      </c>
      <c r="H601" s="1">
        <v>39480</v>
      </c>
      <c r="I601" s="1">
        <v>39485</v>
      </c>
      <c r="J601" t="s">
        <v>15</v>
      </c>
      <c r="K601">
        <v>9</v>
      </c>
      <c r="L601">
        <v>12858</v>
      </c>
      <c r="M601" t="s">
        <v>18</v>
      </c>
      <c r="N601">
        <v>1</v>
      </c>
    </row>
    <row r="602" hidden="1" spans="1:14">
      <c r="A602">
        <v>3291</v>
      </c>
      <c r="B602" t="s">
        <v>197</v>
      </c>
      <c r="C602" t="s">
        <v>88</v>
      </c>
      <c r="D602">
        <v>0</v>
      </c>
      <c r="E602">
        <v>-42.6843</v>
      </c>
      <c r="F602">
        <v>-5.35934</v>
      </c>
      <c r="G602">
        <v>1126557.79</v>
      </c>
      <c r="H602" s="1">
        <v>39537</v>
      </c>
      <c r="I602" s="1">
        <v>39560</v>
      </c>
      <c r="J602" t="s">
        <v>15</v>
      </c>
      <c r="K602">
        <v>36</v>
      </c>
      <c r="L602">
        <v>190000</v>
      </c>
      <c r="M602" t="s">
        <v>16</v>
      </c>
      <c r="N602">
        <v>1</v>
      </c>
    </row>
    <row r="603" hidden="1" spans="1:14">
      <c r="A603">
        <v>3412</v>
      </c>
      <c r="B603" t="s">
        <v>198</v>
      </c>
      <c r="C603" t="s">
        <v>88</v>
      </c>
      <c r="D603">
        <v>0</v>
      </c>
      <c r="E603">
        <v>-49.3407</v>
      </c>
      <c r="F603">
        <v>-25.0669</v>
      </c>
      <c r="G603">
        <v>103384.49</v>
      </c>
      <c r="H603" s="1">
        <v>39774</v>
      </c>
      <c r="I603" s="1">
        <v>39785</v>
      </c>
      <c r="J603" t="s">
        <v>15</v>
      </c>
      <c r="K603">
        <v>117</v>
      </c>
      <c r="L603">
        <v>80000</v>
      </c>
      <c r="M603" t="s">
        <v>49</v>
      </c>
      <c r="N603">
        <v>2</v>
      </c>
    </row>
    <row r="604" hidden="1" spans="1:14">
      <c r="A604">
        <v>3436</v>
      </c>
      <c r="B604">
        <v>0</v>
      </c>
      <c r="C604" t="s">
        <v>88</v>
      </c>
      <c r="D604">
        <v>0</v>
      </c>
      <c r="E604">
        <v>-44.8911</v>
      </c>
      <c r="F604">
        <v>-16.5964</v>
      </c>
      <c r="G604">
        <v>1186390.65</v>
      </c>
      <c r="H604" s="1">
        <v>39821</v>
      </c>
      <c r="I604" s="1">
        <v>39829</v>
      </c>
      <c r="J604" t="s">
        <v>15</v>
      </c>
      <c r="K604">
        <v>11</v>
      </c>
      <c r="L604">
        <v>0</v>
      </c>
      <c r="M604" t="s">
        <v>49</v>
      </c>
      <c r="N604">
        <v>1</v>
      </c>
    </row>
    <row r="605" hidden="1" spans="1:14">
      <c r="A605">
        <v>3451</v>
      </c>
      <c r="B605">
        <v>0</v>
      </c>
      <c r="C605" t="s">
        <v>88</v>
      </c>
      <c r="D605">
        <v>0</v>
      </c>
      <c r="E605">
        <v>-46.9628</v>
      </c>
      <c r="F605">
        <v>-24.1892</v>
      </c>
      <c r="G605">
        <v>109293.46</v>
      </c>
      <c r="H605" s="1">
        <v>39856</v>
      </c>
      <c r="I605" s="1">
        <v>39860</v>
      </c>
      <c r="J605" t="s">
        <v>15</v>
      </c>
      <c r="K605">
        <v>13</v>
      </c>
      <c r="L605">
        <v>3000</v>
      </c>
      <c r="M605" t="s">
        <v>49</v>
      </c>
      <c r="N605">
        <v>1.5</v>
      </c>
    </row>
    <row r="606" hidden="1" spans="1:14">
      <c r="A606">
        <v>3475</v>
      </c>
      <c r="B606" t="s">
        <v>199</v>
      </c>
      <c r="C606" t="s">
        <v>88</v>
      </c>
      <c r="D606">
        <v>0</v>
      </c>
      <c r="E606">
        <v>-45.432</v>
      </c>
      <c r="F606">
        <v>-3.1864</v>
      </c>
      <c r="G606">
        <v>524373.36</v>
      </c>
      <c r="H606" s="1">
        <v>39923</v>
      </c>
      <c r="I606" s="1">
        <v>39932</v>
      </c>
      <c r="J606" t="s">
        <v>15</v>
      </c>
      <c r="K606">
        <v>5</v>
      </c>
      <c r="L606">
        <v>0</v>
      </c>
      <c r="M606" t="s">
        <v>49</v>
      </c>
      <c r="N606">
        <v>1.5</v>
      </c>
    </row>
    <row r="607" hidden="1" spans="1:14">
      <c r="A607">
        <v>3568</v>
      </c>
      <c r="B607">
        <v>0</v>
      </c>
      <c r="C607" t="s">
        <v>88</v>
      </c>
      <c r="D607">
        <v>0</v>
      </c>
      <c r="E607">
        <v>-43.1241</v>
      </c>
      <c r="F607">
        <v>-22.5416</v>
      </c>
      <c r="G607">
        <v>47896.55</v>
      </c>
      <c r="H607" s="1">
        <v>40129</v>
      </c>
      <c r="I607" s="1">
        <v>40130</v>
      </c>
      <c r="J607">
        <v>0</v>
      </c>
      <c r="K607">
        <v>3</v>
      </c>
      <c r="L607">
        <v>200</v>
      </c>
      <c r="M607" t="s">
        <v>52</v>
      </c>
      <c r="N607">
        <v>1</v>
      </c>
    </row>
    <row r="608" hidden="1" spans="1:14">
      <c r="A608">
        <v>3588</v>
      </c>
      <c r="B608">
        <v>0</v>
      </c>
      <c r="C608" t="s">
        <v>88</v>
      </c>
      <c r="D608">
        <v>0</v>
      </c>
      <c r="E608">
        <v>-43.7619</v>
      </c>
      <c r="F608">
        <v>-21.8476</v>
      </c>
      <c r="G608">
        <v>210052.33</v>
      </c>
      <c r="H608" s="1">
        <v>40179</v>
      </c>
      <c r="I608" s="1">
        <v>40188</v>
      </c>
      <c r="J608">
        <v>0</v>
      </c>
      <c r="K608">
        <v>85</v>
      </c>
      <c r="L608">
        <v>2500</v>
      </c>
      <c r="M608" t="s">
        <v>52</v>
      </c>
      <c r="N608">
        <v>2</v>
      </c>
    </row>
    <row r="609" hidden="1" spans="1:14">
      <c r="A609">
        <v>3596</v>
      </c>
      <c r="B609">
        <v>0</v>
      </c>
      <c r="C609" t="s">
        <v>88</v>
      </c>
      <c r="D609">
        <v>0</v>
      </c>
      <c r="E609">
        <v>-44.0681</v>
      </c>
      <c r="F609">
        <v>-22.9804</v>
      </c>
      <c r="G609">
        <v>55636.33</v>
      </c>
      <c r="H609" s="1">
        <v>40188</v>
      </c>
      <c r="I609" s="1">
        <v>40206</v>
      </c>
      <c r="J609">
        <v>0</v>
      </c>
      <c r="K609">
        <v>72</v>
      </c>
      <c r="L609">
        <v>6000</v>
      </c>
      <c r="M609" t="s">
        <v>49</v>
      </c>
      <c r="N609">
        <v>1.5</v>
      </c>
    </row>
    <row r="610" hidden="1" spans="1:14">
      <c r="A610">
        <v>3632</v>
      </c>
      <c r="B610" t="s">
        <v>200</v>
      </c>
      <c r="C610" t="s">
        <v>88</v>
      </c>
      <c r="D610">
        <v>0</v>
      </c>
      <c r="E610">
        <v>-43.3333</v>
      </c>
      <c r="F610">
        <v>-22.4446</v>
      </c>
      <c r="G610">
        <v>15005.82</v>
      </c>
      <c r="H610" s="1">
        <v>40272</v>
      </c>
      <c r="I610" s="1">
        <v>40275</v>
      </c>
      <c r="J610">
        <v>0</v>
      </c>
      <c r="K610">
        <v>400</v>
      </c>
      <c r="L610">
        <v>0</v>
      </c>
      <c r="M610" t="s">
        <v>52</v>
      </c>
      <c r="N610">
        <v>1</v>
      </c>
    </row>
    <row r="611" hidden="1" spans="1:14">
      <c r="A611">
        <v>3667</v>
      </c>
      <c r="B611" t="s">
        <v>201</v>
      </c>
      <c r="C611" t="s">
        <v>88</v>
      </c>
      <c r="D611">
        <v>0</v>
      </c>
      <c r="E611">
        <v>-37.7816</v>
      </c>
      <c r="F611">
        <v>-6.35589</v>
      </c>
      <c r="G611">
        <v>320129.49</v>
      </c>
      <c r="H611" s="1">
        <v>40351</v>
      </c>
      <c r="I611" s="1">
        <v>40359</v>
      </c>
      <c r="J611">
        <v>0</v>
      </c>
      <c r="K611">
        <v>50</v>
      </c>
      <c r="L611">
        <v>150000</v>
      </c>
      <c r="M611" t="s">
        <v>49</v>
      </c>
      <c r="N611">
        <v>2</v>
      </c>
    </row>
    <row r="612" hidden="1" spans="1:14">
      <c r="A612">
        <v>3766</v>
      </c>
      <c r="B612" t="s">
        <v>202</v>
      </c>
      <c r="C612" t="s">
        <v>88</v>
      </c>
      <c r="E612">
        <v>-43.449</v>
      </c>
      <c r="F612">
        <v>-18.7387</v>
      </c>
      <c r="G612">
        <v>587384.59</v>
      </c>
      <c r="H612" s="1">
        <v>40544</v>
      </c>
      <c r="I612" s="1">
        <v>40561</v>
      </c>
      <c r="J612" t="s">
        <v>15</v>
      </c>
      <c r="K612">
        <v>665</v>
      </c>
      <c r="L612">
        <v>100000</v>
      </c>
      <c r="M612" t="s">
        <v>49</v>
      </c>
      <c r="N612">
        <v>2</v>
      </c>
    </row>
    <row r="613" hidden="1" spans="1:14">
      <c r="A613">
        <v>3790</v>
      </c>
      <c r="C613" t="s">
        <v>88</v>
      </c>
      <c r="E613">
        <v>-48.1626</v>
      </c>
      <c r="F613">
        <v>-23.783</v>
      </c>
      <c r="G613">
        <v>124445.34</v>
      </c>
      <c r="H613" s="1">
        <v>40614</v>
      </c>
      <c r="I613" s="1">
        <v>40620</v>
      </c>
      <c r="J613" t="s">
        <v>15</v>
      </c>
      <c r="K613">
        <v>10</v>
      </c>
      <c r="L613">
        <v>31000</v>
      </c>
      <c r="M613" t="s">
        <v>49</v>
      </c>
      <c r="N613">
        <v>1.5</v>
      </c>
    </row>
    <row r="614" hidden="1" spans="1:14">
      <c r="A614">
        <v>3805</v>
      </c>
      <c r="C614" t="s">
        <v>88</v>
      </c>
      <c r="E614">
        <v>-52.9178</v>
      </c>
      <c r="F614">
        <v>-28.2873</v>
      </c>
      <c r="G614">
        <v>306993.58</v>
      </c>
      <c r="H614" s="1">
        <v>40654</v>
      </c>
      <c r="I614" s="1">
        <v>40658</v>
      </c>
      <c r="J614" t="s">
        <v>15</v>
      </c>
      <c r="K614">
        <v>12</v>
      </c>
      <c r="L614">
        <v>0</v>
      </c>
      <c r="M614" t="s">
        <v>52</v>
      </c>
      <c r="N614">
        <v>1</v>
      </c>
    </row>
    <row r="615" hidden="1" spans="1:14">
      <c r="A615">
        <v>3810</v>
      </c>
      <c r="C615" t="s">
        <v>88</v>
      </c>
      <c r="E615">
        <v>-40.1191</v>
      </c>
      <c r="F615">
        <v>-9.67979</v>
      </c>
      <c r="G615">
        <v>288020.18</v>
      </c>
      <c r="H615" s="1">
        <v>40671</v>
      </c>
      <c r="I615" s="1">
        <v>40674</v>
      </c>
      <c r="J615" t="s">
        <v>15</v>
      </c>
      <c r="K615">
        <v>2</v>
      </c>
      <c r="L615">
        <v>15000</v>
      </c>
      <c r="M615" t="s">
        <v>52</v>
      </c>
      <c r="N615">
        <v>1.5</v>
      </c>
    </row>
    <row r="616" hidden="1" spans="1:14">
      <c r="A616">
        <v>3840</v>
      </c>
      <c r="C616" t="s">
        <v>88</v>
      </c>
      <c r="E616">
        <v>-38.1133</v>
      </c>
      <c r="F616">
        <v>-8.65047</v>
      </c>
      <c r="G616">
        <v>200669.11</v>
      </c>
      <c r="H616" s="1">
        <v>40739</v>
      </c>
      <c r="I616" s="1">
        <v>40746</v>
      </c>
      <c r="J616" t="s">
        <v>15</v>
      </c>
      <c r="K616">
        <v>10</v>
      </c>
      <c r="L616">
        <v>3000</v>
      </c>
      <c r="M616" t="s">
        <v>49</v>
      </c>
      <c r="N616">
        <v>1</v>
      </c>
    </row>
    <row r="617" hidden="1" spans="1:14">
      <c r="A617">
        <v>3846</v>
      </c>
      <c r="C617" t="s">
        <v>88</v>
      </c>
      <c r="E617">
        <v>-52.6403</v>
      </c>
      <c r="F617">
        <v>-30.343</v>
      </c>
      <c r="G617">
        <v>129795.35</v>
      </c>
      <c r="H617" s="1">
        <v>40747</v>
      </c>
      <c r="I617" s="1">
        <v>40753</v>
      </c>
      <c r="J617" t="s">
        <v>15</v>
      </c>
      <c r="K617">
        <v>10</v>
      </c>
      <c r="L617">
        <v>20000</v>
      </c>
      <c r="M617" t="s">
        <v>49</v>
      </c>
      <c r="N617">
        <v>1.5</v>
      </c>
    </row>
    <row r="618" hidden="1" spans="1:14">
      <c r="A618">
        <v>3890</v>
      </c>
      <c r="B618" t="s">
        <v>203</v>
      </c>
      <c r="C618" t="s">
        <v>88</v>
      </c>
      <c r="E618">
        <v>-43.4893</v>
      </c>
      <c r="F618">
        <v>-19.4637</v>
      </c>
      <c r="G618">
        <v>416574.71</v>
      </c>
      <c r="H618" s="1">
        <v>40909</v>
      </c>
      <c r="I618" s="1">
        <v>40917</v>
      </c>
      <c r="J618" t="s">
        <v>15</v>
      </c>
      <c r="K618">
        <v>8</v>
      </c>
      <c r="L618">
        <v>14000</v>
      </c>
      <c r="M618" t="s">
        <v>49</v>
      </c>
      <c r="N618">
        <v>1</v>
      </c>
    </row>
    <row r="619" hidden="1" spans="1:14">
      <c r="A619">
        <v>3903</v>
      </c>
      <c r="B619" t="s">
        <v>204</v>
      </c>
      <c r="C619" t="s">
        <v>88</v>
      </c>
      <c r="D619" t="s">
        <v>167</v>
      </c>
      <c r="E619">
        <v>-67.9865</v>
      </c>
      <c r="F619">
        <v>-10.4897</v>
      </c>
      <c r="G619">
        <v>172063.87</v>
      </c>
      <c r="H619" s="1">
        <v>40959</v>
      </c>
      <c r="I619" s="1">
        <v>40994</v>
      </c>
      <c r="J619" t="s">
        <v>15</v>
      </c>
      <c r="K619">
        <v>3</v>
      </c>
      <c r="L619">
        <v>89000</v>
      </c>
      <c r="M619" t="s">
        <v>49</v>
      </c>
      <c r="N619">
        <v>2</v>
      </c>
    </row>
    <row r="620" hidden="1" spans="1:14">
      <c r="A620">
        <v>3925</v>
      </c>
      <c r="C620" t="s">
        <v>88</v>
      </c>
      <c r="E620">
        <v>-62.0228</v>
      </c>
      <c r="F620">
        <v>-3.64908</v>
      </c>
      <c r="G620">
        <v>127883.42</v>
      </c>
      <c r="H620" s="1">
        <v>41030</v>
      </c>
      <c r="I620" s="1">
        <v>41036</v>
      </c>
      <c r="J620" t="s">
        <v>15</v>
      </c>
      <c r="K620">
        <v>0</v>
      </c>
      <c r="L620">
        <v>3000</v>
      </c>
      <c r="M620" t="s">
        <v>49</v>
      </c>
      <c r="N620">
        <v>2</v>
      </c>
    </row>
    <row r="621" hidden="1" spans="1:14">
      <c r="A621">
        <v>4113</v>
      </c>
      <c r="B621" t="s">
        <v>205</v>
      </c>
      <c r="C621" t="s">
        <v>88</v>
      </c>
      <c r="E621">
        <v>-41.9423</v>
      </c>
      <c r="F621">
        <v>-18.9538</v>
      </c>
      <c r="G621">
        <v>314284.91</v>
      </c>
      <c r="H621" s="1">
        <v>41631</v>
      </c>
      <c r="I621" s="1">
        <v>41643</v>
      </c>
      <c r="J621" t="s">
        <v>15</v>
      </c>
      <c r="K621">
        <v>45</v>
      </c>
      <c r="L621">
        <v>60000</v>
      </c>
      <c r="M621" t="s">
        <v>49</v>
      </c>
      <c r="N621">
        <v>2</v>
      </c>
    </row>
    <row r="622" hidden="1" spans="1:14">
      <c r="A622">
        <v>4159</v>
      </c>
      <c r="C622" t="s">
        <v>88</v>
      </c>
      <c r="E622">
        <v>-59.5597</v>
      </c>
      <c r="F622">
        <v>-2.92934</v>
      </c>
      <c r="G622">
        <v>256564.57</v>
      </c>
      <c r="H622" s="1">
        <v>41781</v>
      </c>
      <c r="I622" s="1">
        <v>41849</v>
      </c>
      <c r="J622" t="s">
        <v>15</v>
      </c>
      <c r="K622">
        <v>0</v>
      </c>
      <c r="L622">
        <v>0</v>
      </c>
      <c r="M622" t="s">
        <v>49</v>
      </c>
      <c r="N622">
        <v>2</v>
      </c>
    </row>
    <row r="623" hidden="1" spans="1:14">
      <c r="A623">
        <v>4163</v>
      </c>
      <c r="C623" t="s">
        <v>88</v>
      </c>
      <c r="D623" t="s">
        <v>95</v>
      </c>
      <c r="E623">
        <v>-58.0256</v>
      </c>
      <c r="F623">
        <v>-32.3467</v>
      </c>
      <c r="G623">
        <v>44866.46</v>
      </c>
      <c r="H623" s="1">
        <v>41823</v>
      </c>
      <c r="I623" s="1">
        <v>41849</v>
      </c>
      <c r="J623" t="s">
        <v>15</v>
      </c>
      <c r="K623">
        <v>10</v>
      </c>
      <c r="L623">
        <v>50000</v>
      </c>
      <c r="M623" t="s">
        <v>49</v>
      </c>
      <c r="N623">
        <v>2</v>
      </c>
    </row>
    <row r="624" hidden="1" spans="1:14">
      <c r="A624">
        <v>4212</v>
      </c>
      <c r="C624" t="s">
        <v>88</v>
      </c>
      <c r="E624">
        <v>-49.2145</v>
      </c>
      <c r="F624">
        <v>-24.8513</v>
      </c>
      <c r="G624">
        <v>199807.2</v>
      </c>
      <c r="H624" s="1">
        <v>41983</v>
      </c>
      <c r="I624" s="1">
        <v>41987</v>
      </c>
      <c r="J624" t="s">
        <v>15</v>
      </c>
      <c r="K624">
        <v>0</v>
      </c>
      <c r="L624">
        <v>0</v>
      </c>
      <c r="M624" t="s">
        <v>206</v>
      </c>
      <c r="N624">
        <v>1</v>
      </c>
    </row>
    <row r="625" hidden="1" spans="1:14">
      <c r="A625">
        <v>4235</v>
      </c>
      <c r="C625" t="s">
        <v>88</v>
      </c>
      <c r="E625">
        <v>-67.725</v>
      </c>
      <c r="F625">
        <v>-7.68508</v>
      </c>
      <c r="G625">
        <v>168905.06</v>
      </c>
      <c r="H625" s="1">
        <v>42078</v>
      </c>
      <c r="I625" s="1">
        <v>42086</v>
      </c>
      <c r="J625" t="s">
        <v>15</v>
      </c>
      <c r="K625">
        <v>0</v>
      </c>
      <c r="L625">
        <v>280</v>
      </c>
      <c r="M625" t="s">
        <v>49</v>
      </c>
      <c r="N625">
        <v>1.5</v>
      </c>
    </row>
    <row r="626" hidden="1" spans="1:14">
      <c r="A626">
        <v>4237</v>
      </c>
      <c r="C626" t="s">
        <v>88</v>
      </c>
      <c r="E626">
        <v>-68.9127</v>
      </c>
      <c r="F626">
        <v>-9.12272</v>
      </c>
      <c r="G626">
        <v>173696.63</v>
      </c>
      <c r="H626" s="1">
        <v>42058</v>
      </c>
      <c r="I626" s="1">
        <v>42109</v>
      </c>
      <c r="J626" t="s">
        <v>15</v>
      </c>
      <c r="K626">
        <v>0</v>
      </c>
      <c r="L626">
        <v>10000</v>
      </c>
      <c r="M626" t="s">
        <v>49</v>
      </c>
      <c r="N626">
        <v>1</v>
      </c>
    </row>
    <row r="627" hidden="1" spans="1:14">
      <c r="A627">
        <v>4246</v>
      </c>
      <c r="C627" t="s">
        <v>88</v>
      </c>
      <c r="E627">
        <v>-67.7993</v>
      </c>
      <c r="F627">
        <v>-6.97805</v>
      </c>
      <c r="G627">
        <v>450353.51</v>
      </c>
      <c r="H627" s="1">
        <v>42095</v>
      </c>
      <c r="I627" s="1">
        <v>42126</v>
      </c>
      <c r="J627" t="s">
        <v>15</v>
      </c>
      <c r="K627">
        <v>5</v>
      </c>
      <c r="L627">
        <v>1000</v>
      </c>
      <c r="M627" t="s">
        <v>49</v>
      </c>
      <c r="N627">
        <v>1.5</v>
      </c>
    </row>
    <row r="628" hidden="1" spans="1:14">
      <c r="A628">
        <v>4276</v>
      </c>
      <c r="C628" t="s">
        <v>88</v>
      </c>
      <c r="E628">
        <v>-50.751</v>
      </c>
      <c r="F628">
        <v>-25.5689</v>
      </c>
      <c r="G628">
        <v>690931.31</v>
      </c>
      <c r="H628" s="1">
        <v>42195</v>
      </c>
      <c r="I628" s="1">
        <v>42206</v>
      </c>
      <c r="J628" t="s">
        <v>15</v>
      </c>
      <c r="K628">
        <v>3</v>
      </c>
      <c r="L628">
        <v>1000</v>
      </c>
      <c r="M628" t="s">
        <v>49</v>
      </c>
      <c r="N628">
        <v>1</v>
      </c>
    </row>
    <row r="629" hidden="1" spans="1:14">
      <c r="A629">
        <v>4322</v>
      </c>
      <c r="C629" t="s">
        <v>88</v>
      </c>
      <c r="E629">
        <v>-43.229</v>
      </c>
      <c r="F629">
        <v>-22.5227</v>
      </c>
      <c r="G629">
        <v>53196.42</v>
      </c>
      <c r="H629" s="1">
        <v>42384</v>
      </c>
      <c r="I629" s="1">
        <v>42398</v>
      </c>
      <c r="J629" t="s">
        <v>15</v>
      </c>
      <c r="K629">
        <v>0</v>
      </c>
      <c r="L629">
        <v>500</v>
      </c>
      <c r="M629" t="s">
        <v>49</v>
      </c>
      <c r="N629">
        <v>1</v>
      </c>
    </row>
    <row r="630" hidden="1" spans="1:14">
      <c r="A630">
        <v>4323</v>
      </c>
      <c r="C630" t="s">
        <v>88</v>
      </c>
      <c r="E630">
        <v>-49.5633</v>
      </c>
      <c r="F630">
        <v>-24.107</v>
      </c>
      <c r="G630">
        <v>107923.55</v>
      </c>
      <c r="H630" s="1">
        <v>42378</v>
      </c>
      <c r="I630" s="1">
        <v>42398</v>
      </c>
      <c r="J630" t="s">
        <v>15</v>
      </c>
      <c r="K630">
        <v>0</v>
      </c>
      <c r="L630">
        <v>0</v>
      </c>
      <c r="M630" t="s">
        <v>49</v>
      </c>
      <c r="N630">
        <v>1.5</v>
      </c>
    </row>
    <row r="631" hidden="1" spans="1:14">
      <c r="A631">
        <v>4325</v>
      </c>
      <c r="C631" t="s">
        <v>88</v>
      </c>
      <c r="E631">
        <v>-56.442</v>
      </c>
      <c r="F631">
        <v>-17.9555</v>
      </c>
      <c r="G631">
        <v>110514.83</v>
      </c>
      <c r="H631" s="1">
        <v>42374</v>
      </c>
      <c r="I631" s="1">
        <v>42398</v>
      </c>
      <c r="J631" t="s">
        <v>15</v>
      </c>
      <c r="K631">
        <v>0</v>
      </c>
      <c r="L631">
        <v>1700</v>
      </c>
      <c r="M631" t="s">
        <v>49</v>
      </c>
      <c r="N631">
        <v>1</v>
      </c>
    </row>
    <row r="632" hidden="1" spans="1:14">
      <c r="A632">
        <v>4435</v>
      </c>
      <c r="C632" t="s">
        <v>88</v>
      </c>
      <c r="D632" t="s">
        <v>87</v>
      </c>
      <c r="E632">
        <v>-55.5512</v>
      </c>
      <c r="F632">
        <v>-29.4094</v>
      </c>
      <c r="G632">
        <v>386846.74</v>
      </c>
      <c r="H632" s="1">
        <v>42740</v>
      </c>
      <c r="I632" s="1">
        <v>42756</v>
      </c>
      <c r="J632" t="s">
        <v>15</v>
      </c>
      <c r="K632">
        <v>0</v>
      </c>
      <c r="L632">
        <v>0</v>
      </c>
      <c r="M632" t="s">
        <v>49</v>
      </c>
      <c r="N632">
        <v>1</v>
      </c>
    </row>
    <row r="633" hidden="1" spans="1:14">
      <c r="A633">
        <v>4479</v>
      </c>
      <c r="B633" t="s">
        <v>207</v>
      </c>
      <c r="C633" t="s">
        <v>88</v>
      </c>
      <c r="E633">
        <v>-38.2308</v>
      </c>
      <c r="F633">
        <v>-8.09623</v>
      </c>
      <c r="G633">
        <v>266010.35</v>
      </c>
      <c r="H633" s="1">
        <v>42880</v>
      </c>
      <c r="I633" s="1">
        <v>42896</v>
      </c>
      <c r="J633" t="s">
        <v>15</v>
      </c>
      <c r="K633">
        <v>7</v>
      </c>
      <c r="L633">
        <v>50000</v>
      </c>
      <c r="M633" t="s">
        <v>49</v>
      </c>
      <c r="N633">
        <v>1.5</v>
      </c>
    </row>
    <row r="634" hidden="1" spans="1:14">
      <c r="A634">
        <v>4576</v>
      </c>
      <c r="C634" t="s">
        <v>88</v>
      </c>
      <c r="E634">
        <v>-44.095</v>
      </c>
      <c r="F634">
        <v>-22.5479</v>
      </c>
      <c r="G634">
        <v>55138.95</v>
      </c>
      <c r="H634" s="1">
        <v>43145</v>
      </c>
      <c r="I634" s="1">
        <v>43147</v>
      </c>
      <c r="J634" t="s">
        <v>56</v>
      </c>
      <c r="K634">
        <v>4</v>
      </c>
      <c r="L634">
        <v>0</v>
      </c>
      <c r="M634" t="s">
        <v>52</v>
      </c>
      <c r="N634">
        <v>1.5</v>
      </c>
    </row>
    <row r="635" hidden="1" spans="1:14">
      <c r="A635">
        <v>4591</v>
      </c>
      <c r="C635" t="s">
        <v>88</v>
      </c>
      <c r="E635">
        <v>-48.6231</v>
      </c>
      <c r="F635">
        <v>-24.206</v>
      </c>
      <c r="G635">
        <v>131278.34</v>
      </c>
      <c r="H635" s="1">
        <v>43179</v>
      </c>
      <c r="I635" s="1">
        <v>43181</v>
      </c>
      <c r="J635" t="s">
        <v>56</v>
      </c>
      <c r="K635">
        <v>3</v>
      </c>
      <c r="L635">
        <v>1000</v>
      </c>
      <c r="M635" t="s">
        <v>52</v>
      </c>
      <c r="N635">
        <v>1</v>
      </c>
    </row>
    <row r="636" hidden="1" spans="1:14">
      <c r="A636">
        <v>4720</v>
      </c>
      <c r="C636" t="s">
        <v>88</v>
      </c>
      <c r="E636">
        <v>-44.1</v>
      </c>
      <c r="F636">
        <v>-20.14</v>
      </c>
      <c r="G636">
        <v>9422.72</v>
      </c>
      <c r="H636" s="1">
        <v>43490</v>
      </c>
      <c r="I636" s="1">
        <v>43494</v>
      </c>
      <c r="J636" t="s">
        <v>56</v>
      </c>
      <c r="K636">
        <v>60</v>
      </c>
      <c r="L636">
        <v>0</v>
      </c>
      <c r="M636" t="s">
        <v>208</v>
      </c>
      <c r="N636">
        <v>1.5</v>
      </c>
    </row>
    <row r="637" hidden="1" spans="1:14">
      <c r="A637">
        <v>4731</v>
      </c>
      <c r="C637" t="s">
        <v>88</v>
      </c>
      <c r="E637">
        <v>-46.124</v>
      </c>
      <c r="F637">
        <v>-23.5386</v>
      </c>
      <c r="G637">
        <v>20310.38</v>
      </c>
      <c r="H637" s="1">
        <v>43534</v>
      </c>
      <c r="I637" s="1">
        <v>43538</v>
      </c>
      <c r="J637" t="s">
        <v>56</v>
      </c>
      <c r="K637">
        <v>12</v>
      </c>
      <c r="L637">
        <v>1300</v>
      </c>
      <c r="M637" t="s">
        <v>49</v>
      </c>
      <c r="N637">
        <v>1</v>
      </c>
    </row>
    <row r="638" hidden="1" spans="1:14">
      <c r="A638">
        <v>4740</v>
      </c>
      <c r="C638" t="s">
        <v>88</v>
      </c>
      <c r="E638">
        <v>-43.2042</v>
      </c>
      <c r="F638">
        <v>-22.6847</v>
      </c>
      <c r="G638">
        <v>8933.68</v>
      </c>
      <c r="H638" s="1">
        <v>43562</v>
      </c>
      <c r="I638" s="1">
        <v>43565</v>
      </c>
      <c r="J638" t="s">
        <v>56</v>
      </c>
      <c r="K638">
        <v>10</v>
      </c>
      <c r="L638">
        <v>0</v>
      </c>
      <c r="M638" t="s">
        <v>52</v>
      </c>
      <c r="N638">
        <v>1</v>
      </c>
    </row>
    <row r="639" hidden="1" spans="1:14">
      <c r="A639">
        <v>4783</v>
      </c>
      <c r="C639" t="s">
        <v>88</v>
      </c>
      <c r="E639">
        <v>-36.3503</v>
      </c>
      <c r="F639">
        <v>-8.49416</v>
      </c>
      <c r="G639">
        <v>57167.37</v>
      </c>
      <c r="H639" s="1">
        <v>43668</v>
      </c>
      <c r="I639" s="1">
        <v>43678</v>
      </c>
      <c r="J639" t="s">
        <v>58</v>
      </c>
      <c r="K639">
        <v>8</v>
      </c>
      <c r="L639">
        <v>0</v>
      </c>
      <c r="M639" t="s">
        <v>49</v>
      </c>
      <c r="N639">
        <v>1.5</v>
      </c>
    </row>
    <row r="640" hidden="1" spans="1:14">
      <c r="A640">
        <v>4835</v>
      </c>
      <c r="C640" t="s">
        <v>88</v>
      </c>
      <c r="E640">
        <v>-39.27</v>
      </c>
      <c r="F640">
        <v>-12.9063</v>
      </c>
      <c r="G640">
        <v>173355.12</v>
      </c>
      <c r="H640" s="1">
        <v>43794</v>
      </c>
      <c r="I640" s="1">
        <v>43796</v>
      </c>
      <c r="J640" t="s">
        <v>56</v>
      </c>
      <c r="K640">
        <v>0</v>
      </c>
      <c r="L640">
        <v>300</v>
      </c>
      <c r="M640" t="s">
        <v>52</v>
      </c>
      <c r="N640">
        <v>1.5</v>
      </c>
    </row>
    <row r="641" hidden="1" spans="1:14">
      <c r="A641">
        <v>4868</v>
      </c>
      <c r="C641" t="s">
        <v>88</v>
      </c>
      <c r="E641">
        <v>-45.9013</v>
      </c>
      <c r="F641">
        <v>-19.3982</v>
      </c>
      <c r="G641">
        <v>115219.89</v>
      </c>
      <c r="H641" s="1">
        <v>43850</v>
      </c>
      <c r="I641" s="1">
        <v>43857</v>
      </c>
      <c r="J641" t="s">
        <v>56</v>
      </c>
      <c r="K641">
        <v>50</v>
      </c>
      <c r="L641">
        <v>2000</v>
      </c>
      <c r="M641" t="s">
        <v>52</v>
      </c>
      <c r="N641">
        <v>1.5</v>
      </c>
    </row>
    <row r="642" hidden="1" spans="1:14">
      <c r="A642">
        <v>4977</v>
      </c>
      <c r="C642" t="s">
        <v>88</v>
      </c>
      <c r="E642">
        <v>-38.1566</v>
      </c>
      <c r="F642">
        <v>-7.9972</v>
      </c>
      <c r="G642">
        <v>61492.06</v>
      </c>
      <c r="H642" s="1">
        <v>44138</v>
      </c>
      <c r="I642" s="1">
        <v>44140</v>
      </c>
      <c r="J642" t="s">
        <v>56</v>
      </c>
      <c r="K642">
        <v>0</v>
      </c>
      <c r="L642">
        <v>300</v>
      </c>
      <c r="M642" t="s">
        <v>52</v>
      </c>
      <c r="N642">
        <v>1.5</v>
      </c>
    </row>
    <row r="643" hidden="1" spans="1:14">
      <c r="A643">
        <v>5003</v>
      </c>
      <c r="C643" t="s">
        <v>88</v>
      </c>
      <c r="E643">
        <v>-40.6557</v>
      </c>
      <c r="F643">
        <v>-20.1015</v>
      </c>
      <c r="G643">
        <v>49206.63</v>
      </c>
      <c r="H643" s="1">
        <v>44187</v>
      </c>
      <c r="I643" s="1">
        <v>44189</v>
      </c>
      <c r="J643" t="s">
        <v>56</v>
      </c>
      <c r="K643">
        <v>1</v>
      </c>
      <c r="L643">
        <v>12</v>
      </c>
      <c r="M643" t="s">
        <v>52</v>
      </c>
      <c r="N643">
        <v>1.5</v>
      </c>
    </row>
    <row r="644" hidden="1" spans="1:14">
      <c r="A644">
        <v>5004</v>
      </c>
      <c r="C644" t="s">
        <v>88</v>
      </c>
      <c r="E644">
        <v>-49.9345</v>
      </c>
      <c r="F644">
        <v>-28.0802</v>
      </c>
      <c r="G644">
        <v>37960.82</v>
      </c>
      <c r="H644" s="1">
        <v>44182</v>
      </c>
      <c r="I644" s="1">
        <v>44189</v>
      </c>
      <c r="J644" t="s">
        <v>56</v>
      </c>
      <c r="K644">
        <v>12</v>
      </c>
      <c r="L644">
        <v>220</v>
      </c>
      <c r="M644" t="s">
        <v>49</v>
      </c>
      <c r="N644">
        <v>1.5</v>
      </c>
    </row>
    <row r="645" hidden="1" spans="1:14">
      <c r="A645">
        <v>5028</v>
      </c>
      <c r="C645" t="s">
        <v>88</v>
      </c>
      <c r="E645">
        <v>-43.996</v>
      </c>
      <c r="F645">
        <v>-21.928</v>
      </c>
      <c r="G645">
        <v>118512.76</v>
      </c>
      <c r="H645" s="1">
        <v>44245</v>
      </c>
      <c r="I645" s="1">
        <v>44249</v>
      </c>
      <c r="J645" t="s">
        <v>56</v>
      </c>
      <c r="K645">
        <v>2</v>
      </c>
      <c r="L645">
        <v>0</v>
      </c>
      <c r="M645" t="s">
        <v>49</v>
      </c>
      <c r="N645">
        <v>1</v>
      </c>
    </row>
    <row r="646" hidden="1" spans="1:14">
      <c r="A646">
        <v>5030</v>
      </c>
      <c r="C646" t="s">
        <v>88</v>
      </c>
      <c r="E646">
        <v>-70.9169</v>
      </c>
      <c r="F646">
        <v>-8.62588</v>
      </c>
      <c r="G646">
        <v>128810.56</v>
      </c>
      <c r="H646" s="1">
        <v>44245</v>
      </c>
      <c r="I646" s="1">
        <v>44249</v>
      </c>
      <c r="J646" t="s">
        <v>56</v>
      </c>
      <c r="K646">
        <v>0</v>
      </c>
      <c r="L646">
        <v>0</v>
      </c>
      <c r="M646" t="s">
        <v>49</v>
      </c>
      <c r="N646">
        <v>1.5</v>
      </c>
    </row>
    <row r="647" hidden="1" spans="1:14">
      <c r="A647">
        <v>5047</v>
      </c>
      <c r="C647" t="s">
        <v>88</v>
      </c>
      <c r="E647">
        <v>-50.5036</v>
      </c>
      <c r="F647">
        <v>-27.1322</v>
      </c>
      <c r="G647">
        <v>40391.32</v>
      </c>
      <c r="H647" s="1">
        <v>44278</v>
      </c>
      <c r="I647" s="1">
        <v>44279</v>
      </c>
      <c r="J647" t="s">
        <v>56</v>
      </c>
      <c r="K647">
        <v>0</v>
      </c>
      <c r="L647">
        <v>0</v>
      </c>
      <c r="M647" t="s">
        <v>52</v>
      </c>
      <c r="N647">
        <v>1</v>
      </c>
    </row>
    <row r="648" hidden="1" spans="1:14">
      <c r="A648">
        <v>5073</v>
      </c>
      <c r="C648" t="s">
        <v>88</v>
      </c>
      <c r="E648">
        <v>-66.0425</v>
      </c>
      <c r="F648">
        <v>-4.23979</v>
      </c>
      <c r="G648">
        <v>114949.47</v>
      </c>
      <c r="H648" s="1">
        <v>44317</v>
      </c>
      <c r="I648" s="1">
        <v>44344</v>
      </c>
      <c r="J648" t="s">
        <v>56</v>
      </c>
      <c r="K648">
        <v>0</v>
      </c>
      <c r="L648">
        <v>8000</v>
      </c>
      <c r="M648" t="s">
        <v>49</v>
      </c>
      <c r="N648">
        <v>1.5</v>
      </c>
    </row>
    <row r="649" hidden="1" spans="1:14">
      <c r="A649">
        <v>5077</v>
      </c>
      <c r="C649" t="s">
        <v>88</v>
      </c>
      <c r="E649">
        <v>-62.034</v>
      </c>
      <c r="F649">
        <v>-2.08431</v>
      </c>
      <c r="G649">
        <v>121963.14</v>
      </c>
      <c r="H649" s="1">
        <v>44331</v>
      </c>
      <c r="I649" s="1">
        <v>44349</v>
      </c>
      <c r="J649" t="s">
        <v>56</v>
      </c>
      <c r="K649">
        <v>0</v>
      </c>
      <c r="L649">
        <v>0</v>
      </c>
      <c r="M649" t="s">
        <v>49</v>
      </c>
      <c r="N649">
        <v>1.5</v>
      </c>
    </row>
    <row r="650" hidden="1" spans="1:14">
      <c r="A650">
        <v>166</v>
      </c>
      <c r="B650">
        <v>0</v>
      </c>
      <c r="C650" t="s">
        <v>209</v>
      </c>
      <c r="D650">
        <v>0</v>
      </c>
      <c r="E650">
        <v>-43.2761</v>
      </c>
      <c r="F650">
        <v>-22.4939</v>
      </c>
      <c r="G650">
        <v>9181.28</v>
      </c>
      <c r="H650" s="1">
        <v>32174</v>
      </c>
      <c r="I650" s="1">
        <v>32183</v>
      </c>
      <c r="J650" t="s">
        <v>15</v>
      </c>
      <c r="K650">
        <v>290</v>
      </c>
      <c r="L650">
        <v>25000</v>
      </c>
      <c r="M650" t="s">
        <v>16</v>
      </c>
      <c r="N650">
        <v>2</v>
      </c>
    </row>
    <row r="651" hidden="1" spans="1:14">
      <c r="A651">
        <v>204</v>
      </c>
      <c r="B651">
        <v>0</v>
      </c>
      <c r="C651" t="s">
        <v>209</v>
      </c>
      <c r="D651">
        <v>0</v>
      </c>
      <c r="E651">
        <v>-35.9246</v>
      </c>
      <c r="F651">
        <v>-8.84383</v>
      </c>
      <c r="G651">
        <v>38455.36</v>
      </c>
      <c r="H651" s="1">
        <v>32341</v>
      </c>
      <c r="I651" s="1">
        <v>32342</v>
      </c>
      <c r="J651" t="s">
        <v>15</v>
      </c>
      <c r="K651">
        <v>66</v>
      </c>
      <c r="L651">
        <v>50000</v>
      </c>
      <c r="M651" t="s">
        <v>64</v>
      </c>
      <c r="N651">
        <v>1</v>
      </c>
    </row>
    <row r="652" hidden="1" spans="1:14">
      <c r="A652">
        <v>1637</v>
      </c>
      <c r="B652">
        <v>0</v>
      </c>
      <c r="C652" t="s">
        <v>209</v>
      </c>
      <c r="D652">
        <v>0</v>
      </c>
      <c r="E652">
        <v>-35.0369</v>
      </c>
      <c r="F652">
        <v>-8.23498</v>
      </c>
      <c r="G652">
        <v>3054.32</v>
      </c>
      <c r="H652" s="1">
        <v>36785</v>
      </c>
      <c r="I652" s="1">
        <v>36787</v>
      </c>
      <c r="J652" t="s">
        <v>15</v>
      </c>
      <c r="K652">
        <v>3</v>
      </c>
      <c r="L652">
        <v>10000</v>
      </c>
      <c r="M652" t="s">
        <v>16</v>
      </c>
      <c r="N652">
        <v>1</v>
      </c>
    </row>
    <row r="653" hidden="1" spans="1:14">
      <c r="A653">
        <v>1648</v>
      </c>
      <c r="B653">
        <v>0</v>
      </c>
      <c r="C653" t="s">
        <v>209</v>
      </c>
      <c r="D653">
        <v>0</v>
      </c>
      <c r="E653">
        <v>-50.9415</v>
      </c>
      <c r="F653">
        <v>-29.9018</v>
      </c>
      <c r="G653">
        <v>10254.69</v>
      </c>
      <c r="H653" s="1">
        <v>36811</v>
      </c>
      <c r="I653" s="1">
        <v>36814</v>
      </c>
      <c r="J653" t="s">
        <v>15</v>
      </c>
      <c r="K653">
        <v>6</v>
      </c>
      <c r="L653">
        <v>5000</v>
      </c>
      <c r="M653" t="s">
        <v>16</v>
      </c>
      <c r="N653">
        <v>1</v>
      </c>
    </row>
    <row r="654" hidden="1" spans="1:14">
      <c r="A654">
        <v>1679</v>
      </c>
      <c r="B654">
        <v>0</v>
      </c>
      <c r="C654" t="s">
        <v>209</v>
      </c>
      <c r="D654">
        <v>0</v>
      </c>
      <c r="E654">
        <v>-44.4235</v>
      </c>
      <c r="F654">
        <v>-20.71</v>
      </c>
      <c r="G654">
        <v>578255.57</v>
      </c>
      <c r="H654" s="1">
        <v>36877</v>
      </c>
      <c r="I654" s="1">
        <v>36886</v>
      </c>
      <c r="J654" t="s">
        <v>15</v>
      </c>
      <c r="K654">
        <v>13</v>
      </c>
      <c r="L654">
        <v>2000</v>
      </c>
      <c r="M654" t="s">
        <v>49</v>
      </c>
      <c r="N654">
        <v>1</v>
      </c>
    </row>
    <row r="655" hidden="1" spans="1:14">
      <c r="A655">
        <v>1714</v>
      </c>
      <c r="B655">
        <v>0</v>
      </c>
      <c r="C655" t="s">
        <v>209</v>
      </c>
      <c r="D655">
        <v>0</v>
      </c>
      <c r="E655">
        <v>-56.4701</v>
      </c>
      <c r="F655">
        <v>-15.449</v>
      </c>
      <c r="G655">
        <v>5188.35</v>
      </c>
      <c r="H655" s="1">
        <v>37006</v>
      </c>
      <c r="I655" s="1">
        <v>37007</v>
      </c>
      <c r="J655" t="s">
        <v>15</v>
      </c>
      <c r="K655">
        <v>15</v>
      </c>
      <c r="L655">
        <v>4500</v>
      </c>
      <c r="M655" t="s">
        <v>16</v>
      </c>
      <c r="N655">
        <v>1</v>
      </c>
    </row>
    <row r="656" hidden="1" spans="1:14">
      <c r="A656">
        <v>1790</v>
      </c>
      <c r="B656">
        <v>0</v>
      </c>
      <c r="C656" t="s">
        <v>209</v>
      </c>
      <c r="D656">
        <v>0</v>
      </c>
      <c r="E656">
        <v>-53.9487</v>
      </c>
      <c r="F656">
        <v>-31.1727</v>
      </c>
      <c r="G656">
        <v>13039.84</v>
      </c>
      <c r="H656" s="1">
        <v>37137</v>
      </c>
      <c r="I656" s="1">
        <v>37138</v>
      </c>
      <c r="J656" t="s">
        <v>15</v>
      </c>
      <c r="K656">
        <v>3</v>
      </c>
      <c r="L656">
        <v>2400</v>
      </c>
      <c r="M656" t="s">
        <v>18</v>
      </c>
      <c r="N656">
        <v>1</v>
      </c>
    </row>
    <row r="657" hidden="1" spans="1:14">
      <c r="A657">
        <v>1802</v>
      </c>
      <c r="B657">
        <v>0</v>
      </c>
      <c r="C657" t="s">
        <v>209</v>
      </c>
      <c r="D657">
        <v>0</v>
      </c>
      <c r="E657">
        <v>-51.1099</v>
      </c>
      <c r="F657">
        <v>-26.202</v>
      </c>
      <c r="G657">
        <v>619667.96</v>
      </c>
      <c r="H657" s="1">
        <v>37163</v>
      </c>
      <c r="I657" s="1">
        <v>37168</v>
      </c>
      <c r="J657" t="s">
        <v>15</v>
      </c>
      <c r="K657">
        <v>13</v>
      </c>
      <c r="L657">
        <v>12000</v>
      </c>
      <c r="M657" t="s">
        <v>18</v>
      </c>
      <c r="N657">
        <v>1</v>
      </c>
    </row>
    <row r="658" hidden="1" spans="1:14">
      <c r="A658">
        <v>1846</v>
      </c>
      <c r="B658">
        <v>0</v>
      </c>
      <c r="C658" t="s">
        <v>209</v>
      </c>
      <c r="D658">
        <v>0</v>
      </c>
      <c r="E658">
        <v>-43.1082</v>
      </c>
      <c r="F658">
        <v>-22.5628</v>
      </c>
      <c r="G658">
        <v>9989.55</v>
      </c>
      <c r="H658" s="1">
        <v>37249</v>
      </c>
      <c r="I658" s="1">
        <v>37250</v>
      </c>
      <c r="J658" t="s">
        <v>15</v>
      </c>
      <c r="K658">
        <v>60</v>
      </c>
      <c r="L658">
        <v>2000</v>
      </c>
      <c r="M658" t="s">
        <v>18</v>
      </c>
      <c r="N658">
        <v>2</v>
      </c>
    </row>
    <row r="659" hidden="1" spans="1:14">
      <c r="A659">
        <v>1581</v>
      </c>
      <c r="B659">
        <v>0</v>
      </c>
      <c r="C659" t="s">
        <v>210</v>
      </c>
      <c r="D659">
        <v>0</v>
      </c>
      <c r="E659">
        <v>-49.3032</v>
      </c>
      <c r="F659">
        <v>-24.8904</v>
      </c>
      <c r="G659">
        <v>351934.8</v>
      </c>
      <c r="H659" s="1">
        <v>36526</v>
      </c>
      <c r="I659" s="1">
        <v>36535</v>
      </c>
      <c r="J659" t="s">
        <v>15</v>
      </c>
      <c r="K659">
        <v>40</v>
      </c>
      <c r="L659">
        <v>100000</v>
      </c>
      <c r="M659" t="s">
        <v>16</v>
      </c>
      <c r="N659">
        <v>1</v>
      </c>
    </row>
    <row r="660" hidden="1" spans="1:14">
      <c r="A660">
        <v>1828</v>
      </c>
      <c r="B660">
        <v>0</v>
      </c>
      <c r="C660" t="s">
        <v>210</v>
      </c>
      <c r="D660">
        <v>0</v>
      </c>
      <c r="E660">
        <v>-40.7419</v>
      </c>
      <c r="F660">
        <v>-19.5935</v>
      </c>
      <c r="G660">
        <v>45214.45</v>
      </c>
      <c r="H660" s="1">
        <v>37214</v>
      </c>
      <c r="I660" s="1">
        <v>37218</v>
      </c>
      <c r="J660" t="s">
        <v>15</v>
      </c>
      <c r="K660">
        <v>12</v>
      </c>
      <c r="L660">
        <v>5000</v>
      </c>
      <c r="M660" t="s">
        <v>16</v>
      </c>
      <c r="N660">
        <v>1</v>
      </c>
    </row>
    <row r="661" hidden="1" spans="1:14">
      <c r="A661">
        <v>494</v>
      </c>
      <c r="B661">
        <v>0</v>
      </c>
      <c r="C661" t="s">
        <v>211</v>
      </c>
      <c r="D661">
        <v>0</v>
      </c>
      <c r="E661">
        <v>-1.58219</v>
      </c>
      <c r="F661">
        <v>54.9063</v>
      </c>
      <c r="G661">
        <v>15086.27</v>
      </c>
      <c r="H661" s="1">
        <v>33293</v>
      </c>
      <c r="I661" s="1">
        <v>33298</v>
      </c>
      <c r="J661" t="s">
        <v>15</v>
      </c>
      <c r="K661">
        <v>0</v>
      </c>
      <c r="L661">
        <v>0</v>
      </c>
      <c r="M661" t="s">
        <v>16</v>
      </c>
      <c r="N661">
        <v>2</v>
      </c>
    </row>
    <row r="662" hidden="1" spans="1:14">
      <c r="A662">
        <v>588</v>
      </c>
      <c r="B662">
        <v>0</v>
      </c>
      <c r="C662" t="s">
        <v>211</v>
      </c>
      <c r="D662">
        <v>0</v>
      </c>
      <c r="E662">
        <v>0.305176</v>
      </c>
      <c r="F662">
        <v>51.8576</v>
      </c>
      <c r="G662">
        <v>35831.37</v>
      </c>
      <c r="H662" s="1">
        <v>33507</v>
      </c>
      <c r="I662" s="1">
        <v>33508</v>
      </c>
      <c r="J662" t="s">
        <v>15</v>
      </c>
      <c r="K662">
        <v>0</v>
      </c>
      <c r="L662">
        <v>0</v>
      </c>
      <c r="M662" t="s">
        <v>64</v>
      </c>
      <c r="N662">
        <v>1</v>
      </c>
    </row>
    <row r="663" hidden="1" spans="1:14">
      <c r="A663">
        <v>617</v>
      </c>
      <c r="B663">
        <v>0</v>
      </c>
      <c r="C663" t="s">
        <v>211</v>
      </c>
      <c r="D663">
        <v>0</v>
      </c>
      <c r="E663">
        <v>-0.089078</v>
      </c>
      <c r="F663">
        <v>52.4178</v>
      </c>
      <c r="G663">
        <v>18379.79</v>
      </c>
      <c r="H663" s="1">
        <v>33612</v>
      </c>
      <c r="I663" s="1">
        <v>33612</v>
      </c>
      <c r="J663" t="s">
        <v>15</v>
      </c>
      <c r="K663">
        <v>0</v>
      </c>
      <c r="L663">
        <v>0</v>
      </c>
      <c r="M663" t="s">
        <v>38</v>
      </c>
      <c r="N663">
        <v>1</v>
      </c>
    </row>
    <row r="664" hidden="1" spans="1:14">
      <c r="A664">
        <v>490</v>
      </c>
      <c r="B664">
        <v>0</v>
      </c>
      <c r="C664" t="s">
        <v>212</v>
      </c>
      <c r="D664">
        <v>0</v>
      </c>
      <c r="E664">
        <v>-7.838</v>
      </c>
      <c r="F664">
        <v>53.5893</v>
      </c>
      <c r="G664">
        <v>123231.59</v>
      </c>
      <c r="H664" s="1">
        <v>33243</v>
      </c>
      <c r="I664" s="1">
        <v>33244</v>
      </c>
      <c r="J664" t="s">
        <v>15</v>
      </c>
      <c r="K664">
        <v>13</v>
      </c>
      <c r="L664">
        <v>0</v>
      </c>
      <c r="M664" t="s">
        <v>16</v>
      </c>
      <c r="N664">
        <v>1</v>
      </c>
    </row>
    <row r="665" hidden="1" spans="1:14">
      <c r="A665">
        <v>1305</v>
      </c>
      <c r="B665">
        <v>0</v>
      </c>
      <c r="C665" t="s">
        <v>213</v>
      </c>
      <c r="D665" t="s">
        <v>214</v>
      </c>
      <c r="E665">
        <v>28.5065</v>
      </c>
      <c r="F665">
        <v>40.8159</v>
      </c>
      <c r="G665">
        <v>62742.78</v>
      </c>
      <c r="H665" s="1">
        <v>35778</v>
      </c>
      <c r="I665" s="1">
        <v>35842</v>
      </c>
      <c r="J665" t="s">
        <v>15</v>
      </c>
      <c r="K665">
        <v>1</v>
      </c>
      <c r="L665">
        <v>200</v>
      </c>
      <c r="M665" t="s">
        <v>39</v>
      </c>
      <c r="N665">
        <v>1</v>
      </c>
    </row>
    <row r="666" hidden="1" spans="1:14">
      <c r="A666">
        <v>1934</v>
      </c>
      <c r="B666">
        <v>0</v>
      </c>
      <c r="C666" t="s">
        <v>213</v>
      </c>
      <c r="D666">
        <v>0</v>
      </c>
      <c r="E666">
        <v>25.6338</v>
      </c>
      <c r="F666">
        <v>43.0853</v>
      </c>
      <c r="G666">
        <v>70.6637</v>
      </c>
      <c r="H666" s="1">
        <v>37406</v>
      </c>
      <c r="I666" s="1">
        <v>37408</v>
      </c>
      <c r="J666" t="s">
        <v>15</v>
      </c>
      <c r="K666">
        <v>0</v>
      </c>
      <c r="L666">
        <v>20</v>
      </c>
      <c r="M666" t="s">
        <v>16</v>
      </c>
      <c r="N666">
        <v>2</v>
      </c>
    </row>
    <row r="667" hidden="1" spans="1:14">
      <c r="A667">
        <v>2010</v>
      </c>
      <c r="B667">
        <v>0</v>
      </c>
      <c r="C667" t="s">
        <v>213</v>
      </c>
      <c r="D667">
        <v>0</v>
      </c>
      <c r="E667">
        <v>25.4251</v>
      </c>
      <c r="F667">
        <v>41.8628</v>
      </c>
      <c r="G667">
        <v>8401.28</v>
      </c>
      <c r="H667" s="1">
        <v>37465</v>
      </c>
      <c r="I667" s="1">
        <v>37468</v>
      </c>
      <c r="J667" t="s">
        <v>15</v>
      </c>
      <c r="K667">
        <v>0</v>
      </c>
      <c r="L667">
        <v>0</v>
      </c>
      <c r="M667" t="s">
        <v>16</v>
      </c>
      <c r="N667">
        <v>1</v>
      </c>
    </row>
    <row r="668" hidden="1" spans="1:14">
      <c r="A668">
        <v>2062</v>
      </c>
      <c r="B668">
        <v>0</v>
      </c>
      <c r="C668" t="s">
        <v>213</v>
      </c>
      <c r="D668">
        <v>0</v>
      </c>
      <c r="E668">
        <v>26.6294</v>
      </c>
      <c r="F668">
        <v>42.245</v>
      </c>
      <c r="G668">
        <v>4486.28</v>
      </c>
      <c r="H668" s="1">
        <v>37524</v>
      </c>
      <c r="I668" s="1">
        <v>37527</v>
      </c>
      <c r="J668" t="s">
        <v>15</v>
      </c>
      <c r="K668">
        <v>0</v>
      </c>
      <c r="L668">
        <v>0</v>
      </c>
      <c r="M668" t="s">
        <v>16</v>
      </c>
      <c r="N668">
        <v>1</v>
      </c>
    </row>
    <row r="669" hidden="1" spans="1:14">
      <c r="A669">
        <v>2660</v>
      </c>
      <c r="B669">
        <v>0</v>
      </c>
      <c r="C669" t="s">
        <v>213</v>
      </c>
      <c r="D669">
        <v>0</v>
      </c>
      <c r="E669">
        <v>25.2691</v>
      </c>
      <c r="F669">
        <v>43.1307</v>
      </c>
      <c r="G669">
        <v>71253.3</v>
      </c>
      <c r="H669" s="1">
        <v>38498</v>
      </c>
      <c r="I669" s="1">
        <v>38516</v>
      </c>
      <c r="J669" t="s">
        <v>15</v>
      </c>
      <c r="K669">
        <v>6</v>
      </c>
      <c r="L669">
        <v>0</v>
      </c>
      <c r="M669" t="s">
        <v>16</v>
      </c>
      <c r="N669">
        <v>1</v>
      </c>
    </row>
    <row r="670" hidden="1" spans="1:14">
      <c r="A670">
        <v>2705</v>
      </c>
      <c r="B670">
        <v>0</v>
      </c>
      <c r="C670" t="s">
        <v>213</v>
      </c>
      <c r="D670">
        <v>0</v>
      </c>
      <c r="E670">
        <v>24.4644</v>
      </c>
      <c r="F670">
        <v>42.2671</v>
      </c>
      <c r="G670">
        <v>44209.12</v>
      </c>
      <c r="H670" s="1">
        <v>38568</v>
      </c>
      <c r="I670" s="1">
        <v>38575</v>
      </c>
      <c r="J670" t="s">
        <v>15</v>
      </c>
      <c r="K670">
        <v>7</v>
      </c>
      <c r="L670">
        <v>12000</v>
      </c>
      <c r="M670" t="s">
        <v>16</v>
      </c>
      <c r="N670">
        <v>1</v>
      </c>
    </row>
    <row r="671" hidden="1" spans="1:14">
      <c r="A671">
        <v>3085</v>
      </c>
      <c r="B671">
        <v>0</v>
      </c>
      <c r="C671" t="s">
        <v>213</v>
      </c>
      <c r="D671">
        <v>0</v>
      </c>
      <c r="E671">
        <v>24.5016</v>
      </c>
      <c r="F671">
        <v>42.5232</v>
      </c>
      <c r="G671">
        <v>34006.05</v>
      </c>
      <c r="H671" s="1">
        <v>39224</v>
      </c>
      <c r="I671" s="1">
        <v>39239</v>
      </c>
      <c r="J671" t="s">
        <v>15</v>
      </c>
      <c r="K671">
        <v>2</v>
      </c>
      <c r="L671">
        <v>0</v>
      </c>
      <c r="M671" t="s">
        <v>16</v>
      </c>
      <c r="N671">
        <v>1</v>
      </c>
    </row>
    <row r="672" hidden="1" spans="1:14">
      <c r="A672">
        <v>3152</v>
      </c>
      <c r="B672">
        <v>0</v>
      </c>
      <c r="C672" t="s">
        <v>213</v>
      </c>
      <c r="D672">
        <v>0</v>
      </c>
      <c r="E672">
        <v>26.5834</v>
      </c>
      <c r="F672">
        <v>43.5443</v>
      </c>
      <c r="G672">
        <v>13953.52</v>
      </c>
      <c r="H672" s="1">
        <v>39299</v>
      </c>
      <c r="I672" s="1">
        <v>39302</v>
      </c>
      <c r="J672" t="s">
        <v>15</v>
      </c>
      <c r="K672">
        <v>8</v>
      </c>
      <c r="L672">
        <v>0</v>
      </c>
      <c r="M672" t="s">
        <v>25</v>
      </c>
      <c r="N672">
        <v>1</v>
      </c>
    </row>
    <row r="673" hidden="1" spans="1:14">
      <c r="A673">
        <v>3228</v>
      </c>
      <c r="B673">
        <v>0</v>
      </c>
      <c r="C673" t="s">
        <v>213</v>
      </c>
      <c r="E673">
        <v>25.622</v>
      </c>
      <c r="F673">
        <v>41.7391</v>
      </c>
      <c r="G673">
        <v>52765.34</v>
      </c>
      <c r="H673" s="1">
        <v>39402</v>
      </c>
      <c r="I673" s="1">
        <v>39418</v>
      </c>
      <c r="J673" t="s">
        <v>15</v>
      </c>
      <c r="K673">
        <v>5</v>
      </c>
      <c r="L673">
        <v>300</v>
      </c>
      <c r="M673" t="s">
        <v>16</v>
      </c>
      <c r="N673">
        <v>1</v>
      </c>
    </row>
    <row r="674" hidden="1" spans="1:14">
      <c r="A674">
        <v>3607</v>
      </c>
      <c r="B674">
        <v>0</v>
      </c>
      <c r="C674" t="s">
        <v>213</v>
      </c>
      <c r="E674">
        <v>27.3388</v>
      </c>
      <c r="F674">
        <v>41.1603</v>
      </c>
      <c r="G674">
        <v>87346.16</v>
      </c>
      <c r="H674" s="1">
        <v>40222</v>
      </c>
      <c r="I674" s="1">
        <v>40229</v>
      </c>
      <c r="J674">
        <v>0</v>
      </c>
      <c r="K674">
        <v>0</v>
      </c>
      <c r="L674">
        <v>0</v>
      </c>
      <c r="M674" t="s">
        <v>49</v>
      </c>
      <c r="N674">
        <v>1</v>
      </c>
    </row>
    <row r="675" hidden="1" spans="1:14">
      <c r="A675">
        <v>3896</v>
      </c>
      <c r="B675" t="s">
        <v>215</v>
      </c>
      <c r="C675" t="s">
        <v>213</v>
      </c>
      <c r="E675">
        <v>24.2576</v>
      </c>
      <c r="F675">
        <v>42.555</v>
      </c>
      <c r="G675">
        <v>47136.84</v>
      </c>
      <c r="H675" s="1">
        <v>40940</v>
      </c>
      <c r="I675" s="1">
        <v>40945</v>
      </c>
      <c r="J675" t="s">
        <v>15</v>
      </c>
      <c r="K675">
        <v>5</v>
      </c>
      <c r="L675">
        <v>1000</v>
      </c>
      <c r="M675" t="s">
        <v>216</v>
      </c>
      <c r="N675">
        <v>1.5</v>
      </c>
    </row>
    <row r="676" hidden="1" spans="1:14">
      <c r="A676">
        <v>4151</v>
      </c>
      <c r="C676" t="s">
        <v>213</v>
      </c>
      <c r="E676">
        <v>27.0426</v>
      </c>
      <c r="F676">
        <v>42.9445</v>
      </c>
      <c r="G676">
        <v>24415.42</v>
      </c>
      <c r="H676" s="1">
        <v>41809</v>
      </c>
      <c r="I676" s="1">
        <v>41815</v>
      </c>
      <c r="J676" t="s">
        <v>15</v>
      </c>
      <c r="K676">
        <v>12</v>
      </c>
      <c r="L676">
        <v>2000</v>
      </c>
      <c r="M676" t="s">
        <v>52</v>
      </c>
      <c r="N676">
        <v>2</v>
      </c>
    </row>
    <row r="677" hidden="1" spans="1:14">
      <c r="A677">
        <v>4183</v>
      </c>
      <c r="C677" t="s">
        <v>213</v>
      </c>
      <c r="E677">
        <v>27.4879</v>
      </c>
      <c r="F677">
        <v>42.6219</v>
      </c>
      <c r="G677">
        <v>7804.96</v>
      </c>
      <c r="H677" s="1">
        <v>41887</v>
      </c>
      <c r="I677" s="1">
        <v>41890</v>
      </c>
      <c r="J677" t="s">
        <v>15</v>
      </c>
      <c r="K677">
        <v>3</v>
      </c>
      <c r="L677">
        <v>0</v>
      </c>
      <c r="M677" t="s">
        <v>52</v>
      </c>
      <c r="N677">
        <v>1</v>
      </c>
    </row>
    <row r="678" hidden="1" spans="1:14">
      <c r="A678">
        <v>4211</v>
      </c>
      <c r="C678" t="s">
        <v>213</v>
      </c>
      <c r="D678" t="s">
        <v>217</v>
      </c>
      <c r="E678">
        <v>27.7106</v>
      </c>
      <c r="F678">
        <v>41.4579</v>
      </c>
      <c r="G678">
        <v>147616.57</v>
      </c>
      <c r="H678" s="1">
        <v>41977</v>
      </c>
      <c r="I678" s="1">
        <v>41987</v>
      </c>
      <c r="J678" t="s">
        <v>15</v>
      </c>
      <c r="K678">
        <v>40</v>
      </c>
      <c r="L678">
        <v>1000</v>
      </c>
      <c r="M678" t="s">
        <v>49</v>
      </c>
      <c r="N678">
        <v>1.5</v>
      </c>
    </row>
    <row r="679" hidden="1" spans="1:14">
      <c r="A679">
        <v>4536</v>
      </c>
      <c r="C679" t="s">
        <v>213</v>
      </c>
      <c r="E679">
        <v>26.5477</v>
      </c>
      <c r="F679">
        <v>42.2012</v>
      </c>
      <c r="G679">
        <v>18169.84</v>
      </c>
      <c r="H679" s="1">
        <v>43032</v>
      </c>
      <c r="I679" s="1">
        <v>43034</v>
      </c>
      <c r="J679" t="s">
        <v>15</v>
      </c>
      <c r="K679">
        <v>3</v>
      </c>
      <c r="L679">
        <v>0</v>
      </c>
      <c r="M679" t="s">
        <v>52</v>
      </c>
      <c r="N679">
        <v>1</v>
      </c>
    </row>
    <row r="680" hidden="1" spans="1:14">
      <c r="A680">
        <v>4642</v>
      </c>
      <c r="C680" t="s">
        <v>213</v>
      </c>
      <c r="D680" t="s">
        <v>218</v>
      </c>
      <c r="E680">
        <v>23.9001</v>
      </c>
      <c r="F680">
        <v>42.6984</v>
      </c>
      <c r="G680">
        <v>78520.26</v>
      </c>
      <c r="H680" s="1">
        <v>43279</v>
      </c>
      <c r="I680" s="1">
        <v>43283</v>
      </c>
      <c r="J680" t="s">
        <v>58</v>
      </c>
      <c r="K680">
        <v>0</v>
      </c>
      <c r="L680">
        <v>2100</v>
      </c>
      <c r="M680" t="s">
        <v>52</v>
      </c>
      <c r="N680">
        <v>1.5</v>
      </c>
    </row>
    <row r="681" hidden="1" spans="1:14">
      <c r="A681">
        <v>231</v>
      </c>
      <c r="B681">
        <v>0</v>
      </c>
      <c r="C681" t="s">
        <v>219</v>
      </c>
      <c r="D681">
        <v>0</v>
      </c>
      <c r="E681">
        <v>-4.19711</v>
      </c>
      <c r="F681">
        <v>11.5463</v>
      </c>
      <c r="G681">
        <v>135871.39</v>
      </c>
      <c r="H681" s="1">
        <v>32376</v>
      </c>
      <c r="I681" s="1">
        <v>32388</v>
      </c>
      <c r="J681" t="s">
        <v>15</v>
      </c>
      <c r="K681">
        <v>11</v>
      </c>
      <c r="L681">
        <v>6000</v>
      </c>
      <c r="M681" t="s">
        <v>16</v>
      </c>
      <c r="N681">
        <v>1</v>
      </c>
    </row>
    <row r="682" hidden="1" spans="1:14">
      <c r="A682">
        <v>676</v>
      </c>
      <c r="B682">
        <v>0</v>
      </c>
      <c r="C682" t="s">
        <v>219</v>
      </c>
      <c r="D682">
        <v>0</v>
      </c>
      <c r="E682">
        <v>-1.57256</v>
      </c>
      <c r="F682">
        <v>12.3805</v>
      </c>
      <c r="G682">
        <v>266253.43</v>
      </c>
      <c r="H682" s="1">
        <v>33817</v>
      </c>
      <c r="I682" s="1">
        <v>33862</v>
      </c>
      <c r="J682" t="s">
        <v>15</v>
      </c>
      <c r="K682">
        <v>0</v>
      </c>
      <c r="L682">
        <v>0</v>
      </c>
      <c r="M682" t="s">
        <v>16</v>
      </c>
      <c r="N682">
        <v>1</v>
      </c>
    </row>
    <row r="683" hidden="1" spans="1:14">
      <c r="A683">
        <v>900</v>
      </c>
      <c r="B683">
        <v>0</v>
      </c>
      <c r="C683" t="s">
        <v>219</v>
      </c>
      <c r="D683">
        <v>0</v>
      </c>
      <c r="E683">
        <v>-1.50563</v>
      </c>
      <c r="F683">
        <v>12.3447</v>
      </c>
      <c r="G683">
        <v>271869.57</v>
      </c>
      <c r="H683" s="1">
        <v>34593</v>
      </c>
      <c r="I683" s="1">
        <v>34597</v>
      </c>
      <c r="J683" t="s">
        <v>15</v>
      </c>
      <c r="K683">
        <v>4</v>
      </c>
      <c r="L683">
        <v>4000</v>
      </c>
      <c r="M683" t="s">
        <v>16</v>
      </c>
      <c r="N683">
        <v>1</v>
      </c>
    </row>
    <row r="684" hidden="1" spans="1:14">
      <c r="A684">
        <v>2947</v>
      </c>
      <c r="B684" t="s">
        <v>220</v>
      </c>
      <c r="C684" t="s">
        <v>219</v>
      </c>
      <c r="D684" t="s">
        <v>221</v>
      </c>
      <c r="E684">
        <v>-1.02134</v>
      </c>
      <c r="F684">
        <v>14.4218</v>
      </c>
      <c r="G684">
        <v>2109010.65</v>
      </c>
      <c r="H684" s="1">
        <v>38932</v>
      </c>
      <c r="I684" s="1">
        <v>39001</v>
      </c>
      <c r="J684" t="s">
        <v>15</v>
      </c>
      <c r="K684">
        <v>4</v>
      </c>
      <c r="L684">
        <v>70000</v>
      </c>
      <c r="M684" t="s">
        <v>16</v>
      </c>
      <c r="N684">
        <v>1</v>
      </c>
    </row>
    <row r="685" hidden="1" spans="1:14">
      <c r="A685">
        <v>3145</v>
      </c>
      <c r="B685">
        <v>0</v>
      </c>
      <c r="C685" t="s">
        <v>219</v>
      </c>
      <c r="D685">
        <v>0</v>
      </c>
      <c r="E685">
        <v>-4.38647</v>
      </c>
      <c r="F685">
        <v>11.4532</v>
      </c>
      <c r="G685">
        <v>2435.09</v>
      </c>
      <c r="H685" s="1">
        <v>39291</v>
      </c>
      <c r="I685" s="1">
        <v>39295</v>
      </c>
      <c r="J685" t="s">
        <v>15</v>
      </c>
      <c r="K685">
        <v>0</v>
      </c>
      <c r="L685">
        <v>2000</v>
      </c>
      <c r="M685" t="s">
        <v>16</v>
      </c>
      <c r="N685">
        <v>1</v>
      </c>
    </row>
    <row r="686" hidden="1" spans="1:14">
      <c r="A686">
        <v>4902</v>
      </c>
      <c r="C686" t="s">
        <v>219</v>
      </c>
      <c r="E686">
        <v>-1.11554</v>
      </c>
      <c r="F686">
        <v>13.3432</v>
      </c>
      <c r="G686">
        <v>42577.65</v>
      </c>
      <c r="H686" s="1">
        <v>43940</v>
      </c>
      <c r="I686" s="1">
        <v>43947</v>
      </c>
      <c r="J686" t="s">
        <v>56</v>
      </c>
      <c r="K686">
        <v>0</v>
      </c>
      <c r="L686">
        <v>2000</v>
      </c>
      <c r="M686" t="s">
        <v>52</v>
      </c>
      <c r="N686">
        <v>1.5</v>
      </c>
    </row>
    <row r="687" hidden="1" spans="1:14">
      <c r="A687">
        <v>3695</v>
      </c>
      <c r="B687" t="s">
        <v>222</v>
      </c>
      <c r="C687" t="s">
        <v>223</v>
      </c>
      <c r="D687">
        <v>0</v>
      </c>
      <c r="E687">
        <v>-1.38925</v>
      </c>
      <c r="F687">
        <v>12.9425</v>
      </c>
      <c r="G687">
        <v>160792.23</v>
      </c>
      <c r="H687" s="1">
        <v>40380</v>
      </c>
      <c r="I687" s="1">
        <v>40384</v>
      </c>
      <c r="J687">
        <v>0</v>
      </c>
      <c r="K687">
        <v>14</v>
      </c>
      <c r="L687">
        <v>20000</v>
      </c>
      <c r="M687" t="s">
        <v>49</v>
      </c>
      <c r="N687">
        <v>1</v>
      </c>
    </row>
    <row r="688" hidden="1" spans="1:14">
      <c r="A688">
        <v>678</v>
      </c>
      <c r="B688">
        <v>0</v>
      </c>
      <c r="C688" t="s">
        <v>224</v>
      </c>
      <c r="D688">
        <v>0</v>
      </c>
      <c r="E688">
        <v>96.1887</v>
      </c>
      <c r="F688">
        <v>18.0672</v>
      </c>
      <c r="G688">
        <v>33971.7</v>
      </c>
      <c r="H688" s="1">
        <v>33826</v>
      </c>
      <c r="I688" s="1">
        <v>33836</v>
      </c>
      <c r="J688" t="s">
        <v>15</v>
      </c>
      <c r="K688">
        <v>0</v>
      </c>
      <c r="L688">
        <v>0</v>
      </c>
      <c r="M688" t="s">
        <v>16</v>
      </c>
      <c r="N688">
        <v>1</v>
      </c>
    </row>
    <row r="689" hidden="1" spans="1:14">
      <c r="A689">
        <v>1176</v>
      </c>
      <c r="B689">
        <v>0</v>
      </c>
      <c r="C689" t="s">
        <v>224</v>
      </c>
      <c r="D689">
        <v>0</v>
      </c>
      <c r="E689">
        <v>96.4768</v>
      </c>
      <c r="F689">
        <v>17.9384</v>
      </c>
      <c r="G689">
        <v>70639.57</v>
      </c>
      <c r="H689" s="1">
        <v>35652</v>
      </c>
      <c r="I689" s="1">
        <v>35662</v>
      </c>
      <c r="J689" t="s">
        <v>15</v>
      </c>
      <c r="K689">
        <v>100</v>
      </c>
      <c r="L689">
        <v>3000</v>
      </c>
      <c r="M689" t="s">
        <v>23</v>
      </c>
      <c r="N689">
        <v>1</v>
      </c>
    </row>
    <row r="690" hidden="1" spans="1:14">
      <c r="A690">
        <v>2041</v>
      </c>
      <c r="B690">
        <v>0</v>
      </c>
      <c r="C690" t="s">
        <v>224</v>
      </c>
      <c r="D690">
        <v>0</v>
      </c>
      <c r="E690">
        <v>95.7534</v>
      </c>
      <c r="F690">
        <v>22.4187</v>
      </c>
      <c r="G690">
        <v>125461.42</v>
      </c>
      <c r="H690" s="1">
        <v>37485</v>
      </c>
      <c r="I690" s="1">
        <v>37503</v>
      </c>
      <c r="J690" t="s">
        <v>15</v>
      </c>
      <c r="K690">
        <v>0</v>
      </c>
      <c r="L690">
        <v>5000</v>
      </c>
      <c r="M690" t="s">
        <v>23</v>
      </c>
      <c r="N690">
        <v>2</v>
      </c>
    </row>
    <row r="691" hidden="1" spans="1:14">
      <c r="A691">
        <v>2276</v>
      </c>
      <c r="B691">
        <v>0</v>
      </c>
      <c r="C691" t="s">
        <v>224</v>
      </c>
      <c r="D691">
        <v>0</v>
      </c>
      <c r="E691">
        <v>95.5035</v>
      </c>
      <c r="F691">
        <v>20.5747</v>
      </c>
      <c r="G691">
        <v>235095.9</v>
      </c>
      <c r="H691" s="1">
        <v>37804</v>
      </c>
      <c r="I691" s="1">
        <v>37865</v>
      </c>
      <c r="J691" t="s">
        <v>15</v>
      </c>
      <c r="K691">
        <v>0</v>
      </c>
      <c r="L691">
        <v>0</v>
      </c>
      <c r="M691" t="s">
        <v>23</v>
      </c>
      <c r="N691">
        <v>1</v>
      </c>
    </row>
    <row r="692" hidden="1" spans="1:14">
      <c r="A692">
        <v>2859</v>
      </c>
      <c r="B692">
        <v>0</v>
      </c>
      <c r="C692" t="s">
        <v>224</v>
      </c>
      <c r="D692">
        <v>0</v>
      </c>
      <c r="E692">
        <v>94.9457</v>
      </c>
      <c r="F692">
        <v>18.3679</v>
      </c>
      <c r="G692">
        <v>77888.81</v>
      </c>
      <c r="H692" s="1">
        <v>38836</v>
      </c>
      <c r="I692" s="1">
        <v>38842</v>
      </c>
      <c r="J692" t="s">
        <v>15</v>
      </c>
      <c r="K692">
        <v>21</v>
      </c>
      <c r="L692">
        <v>800</v>
      </c>
      <c r="M692" t="s">
        <v>103</v>
      </c>
      <c r="N692">
        <v>1</v>
      </c>
    </row>
    <row r="693" hidden="1" spans="1:14">
      <c r="A693">
        <v>2918</v>
      </c>
      <c r="B693">
        <v>0</v>
      </c>
      <c r="C693" t="s">
        <v>224</v>
      </c>
      <c r="D693">
        <v>0</v>
      </c>
      <c r="E693">
        <v>95.0481</v>
      </c>
      <c r="F693">
        <v>18.2265</v>
      </c>
      <c r="G693">
        <v>154656.47</v>
      </c>
      <c r="H693" s="1">
        <v>38901</v>
      </c>
      <c r="I693" s="1">
        <v>38910</v>
      </c>
      <c r="J693" t="s">
        <v>15</v>
      </c>
      <c r="K693">
        <v>1</v>
      </c>
      <c r="L693">
        <v>0</v>
      </c>
      <c r="M693" t="s">
        <v>23</v>
      </c>
      <c r="N693">
        <v>1</v>
      </c>
    </row>
    <row r="694" hidden="1" spans="1:14">
      <c r="A694">
        <v>2970</v>
      </c>
      <c r="B694" t="s">
        <v>225</v>
      </c>
      <c r="C694" t="s">
        <v>224</v>
      </c>
      <c r="D694">
        <v>0</v>
      </c>
      <c r="E694">
        <v>95.4478</v>
      </c>
      <c r="F694">
        <v>19.8122</v>
      </c>
      <c r="G694">
        <v>187993.81</v>
      </c>
      <c r="H694" s="1">
        <v>38975</v>
      </c>
      <c r="I694" s="1">
        <v>39009</v>
      </c>
      <c r="J694" t="s">
        <v>15</v>
      </c>
      <c r="K694">
        <v>25</v>
      </c>
      <c r="L694">
        <v>10000</v>
      </c>
      <c r="M694" t="s">
        <v>23</v>
      </c>
      <c r="N694">
        <v>1</v>
      </c>
    </row>
    <row r="695" hidden="1" spans="1:14">
      <c r="A695">
        <v>3068</v>
      </c>
      <c r="B695" t="s">
        <v>226</v>
      </c>
      <c r="C695" t="s">
        <v>224</v>
      </c>
      <c r="D695">
        <v>0</v>
      </c>
      <c r="E695">
        <v>96.1313</v>
      </c>
      <c r="F695">
        <v>16.9089</v>
      </c>
      <c r="G695">
        <v>15666.7</v>
      </c>
      <c r="H695" s="1">
        <v>39206</v>
      </c>
      <c r="I695" s="1">
        <v>39211</v>
      </c>
      <c r="J695" t="s">
        <v>15</v>
      </c>
      <c r="K695">
        <v>5</v>
      </c>
      <c r="L695">
        <v>0</v>
      </c>
      <c r="M695" t="s">
        <v>16</v>
      </c>
      <c r="N695">
        <v>1</v>
      </c>
    </row>
    <row r="696" hidden="1" spans="1:14">
      <c r="A696">
        <v>3125</v>
      </c>
      <c r="B696">
        <v>0</v>
      </c>
      <c r="C696" t="s">
        <v>224</v>
      </c>
      <c r="D696">
        <v>0</v>
      </c>
      <c r="E696">
        <v>95.3174</v>
      </c>
      <c r="F696">
        <v>18.5242</v>
      </c>
      <c r="G696">
        <v>119073.57</v>
      </c>
      <c r="H696" s="1">
        <v>39269</v>
      </c>
      <c r="I696" s="1">
        <v>39295</v>
      </c>
      <c r="J696" t="s">
        <v>15</v>
      </c>
      <c r="K696">
        <v>0</v>
      </c>
      <c r="L696">
        <v>3000</v>
      </c>
      <c r="M696" t="s">
        <v>23</v>
      </c>
      <c r="N696">
        <v>1</v>
      </c>
    </row>
    <row r="697" hidden="1" spans="1:14">
      <c r="A697">
        <v>3169</v>
      </c>
      <c r="B697" t="s">
        <v>227</v>
      </c>
      <c r="C697" t="s">
        <v>224</v>
      </c>
      <c r="D697">
        <v>0</v>
      </c>
      <c r="E697">
        <v>95.1728</v>
      </c>
      <c r="F697">
        <v>16.9624</v>
      </c>
      <c r="G697">
        <v>257818.93</v>
      </c>
      <c r="H697" s="1">
        <v>39308</v>
      </c>
      <c r="I697" s="1">
        <v>39359</v>
      </c>
      <c r="J697" t="s">
        <v>15</v>
      </c>
      <c r="K697">
        <v>2</v>
      </c>
      <c r="L697">
        <v>40000</v>
      </c>
      <c r="M697" t="s">
        <v>23</v>
      </c>
      <c r="N697">
        <v>1</v>
      </c>
    </row>
    <row r="698" hidden="1" spans="1:14">
      <c r="A698">
        <v>3302</v>
      </c>
      <c r="B698" t="s">
        <v>228</v>
      </c>
      <c r="C698" t="s">
        <v>224</v>
      </c>
      <c r="E698">
        <v>95.9715</v>
      </c>
      <c r="F698">
        <v>16.8214</v>
      </c>
      <c r="G698">
        <v>81435.12</v>
      </c>
      <c r="H698" s="1">
        <v>39571</v>
      </c>
      <c r="I698" s="1">
        <v>39590</v>
      </c>
      <c r="J698" t="s">
        <v>15</v>
      </c>
      <c r="K698">
        <v>100000</v>
      </c>
      <c r="L698">
        <v>1500000</v>
      </c>
      <c r="M698" t="s">
        <v>86</v>
      </c>
      <c r="N698">
        <v>1.5</v>
      </c>
    </row>
    <row r="699" hidden="1" spans="1:14">
      <c r="A699">
        <v>3704</v>
      </c>
      <c r="B699">
        <v>0</v>
      </c>
      <c r="C699" t="s">
        <v>224</v>
      </c>
      <c r="D699">
        <v>0</v>
      </c>
      <c r="E699">
        <v>95.49</v>
      </c>
      <c r="F699">
        <v>20.88</v>
      </c>
      <c r="G699">
        <v>4327.09</v>
      </c>
      <c r="H699" s="1">
        <v>40391</v>
      </c>
      <c r="I699" s="1">
        <v>40422</v>
      </c>
      <c r="J699" t="s">
        <v>15</v>
      </c>
      <c r="K699">
        <v>0</v>
      </c>
      <c r="L699">
        <v>20000</v>
      </c>
      <c r="M699" t="s">
        <v>52</v>
      </c>
      <c r="N699">
        <v>1</v>
      </c>
    </row>
    <row r="700" hidden="1" spans="1:14">
      <c r="A700">
        <v>4081</v>
      </c>
      <c r="C700" t="s">
        <v>229</v>
      </c>
      <c r="D700" t="s">
        <v>230</v>
      </c>
      <c r="E700">
        <v>98.1556</v>
      </c>
      <c r="F700">
        <v>18.3122</v>
      </c>
      <c r="G700">
        <v>125250.85</v>
      </c>
      <c r="H700" s="1">
        <v>41480</v>
      </c>
      <c r="I700" s="1">
        <v>41493</v>
      </c>
      <c r="J700" t="s">
        <v>15</v>
      </c>
      <c r="K700">
        <v>1</v>
      </c>
      <c r="L700">
        <v>34000</v>
      </c>
      <c r="M700" t="s">
        <v>49</v>
      </c>
      <c r="N700">
        <v>1.5</v>
      </c>
    </row>
    <row r="701" hidden="1" spans="1:14">
      <c r="A701">
        <v>350</v>
      </c>
      <c r="B701">
        <v>0</v>
      </c>
      <c r="C701" t="s">
        <v>231</v>
      </c>
      <c r="D701">
        <v>0</v>
      </c>
      <c r="E701">
        <v>29.4075</v>
      </c>
      <c r="F701">
        <v>-3.48207</v>
      </c>
      <c r="G701">
        <v>1331.75</v>
      </c>
      <c r="H701" s="1">
        <v>32727</v>
      </c>
      <c r="I701" s="1">
        <v>32729</v>
      </c>
      <c r="J701" t="s">
        <v>15</v>
      </c>
      <c r="K701">
        <v>0</v>
      </c>
      <c r="L701">
        <v>0</v>
      </c>
      <c r="M701" t="s">
        <v>86</v>
      </c>
      <c r="N701">
        <v>1</v>
      </c>
    </row>
    <row r="702" hidden="1" spans="1:14">
      <c r="A702">
        <v>2869</v>
      </c>
      <c r="B702">
        <v>0</v>
      </c>
      <c r="C702" t="s">
        <v>231</v>
      </c>
      <c r="D702">
        <v>0</v>
      </c>
      <c r="E702">
        <v>29.673</v>
      </c>
      <c r="F702">
        <v>-3.86267</v>
      </c>
      <c r="G702">
        <v>2695.04</v>
      </c>
      <c r="H702" s="1">
        <v>38854</v>
      </c>
      <c r="I702" s="1">
        <v>38865</v>
      </c>
      <c r="J702" t="s">
        <v>15</v>
      </c>
      <c r="K702">
        <v>1</v>
      </c>
      <c r="L702">
        <v>5000</v>
      </c>
      <c r="M702" t="s">
        <v>16</v>
      </c>
      <c r="N702">
        <v>1</v>
      </c>
    </row>
    <row r="703" hidden="1" spans="1:14">
      <c r="A703">
        <v>3013</v>
      </c>
      <c r="B703" t="s">
        <v>232</v>
      </c>
      <c r="C703" t="s">
        <v>231</v>
      </c>
      <c r="E703">
        <v>30.3995</v>
      </c>
      <c r="F703">
        <v>-3.13897</v>
      </c>
      <c r="G703">
        <v>293439.41</v>
      </c>
      <c r="H703" s="1">
        <v>39083</v>
      </c>
      <c r="I703" s="1">
        <v>39142</v>
      </c>
      <c r="J703" t="s">
        <v>15</v>
      </c>
      <c r="K703">
        <v>4</v>
      </c>
      <c r="L703">
        <v>23000</v>
      </c>
      <c r="M703" t="s">
        <v>16</v>
      </c>
      <c r="N703">
        <v>1</v>
      </c>
    </row>
    <row r="704" hidden="1" spans="1:14">
      <c r="A704">
        <v>3472</v>
      </c>
      <c r="B704" t="s">
        <v>233</v>
      </c>
      <c r="C704" t="s">
        <v>231</v>
      </c>
      <c r="D704">
        <v>0</v>
      </c>
      <c r="E704">
        <v>29.7516</v>
      </c>
      <c r="F704">
        <v>-3.26804</v>
      </c>
      <c r="G704">
        <v>11707.88</v>
      </c>
      <c r="H704" s="1">
        <v>39909</v>
      </c>
      <c r="I704" s="1">
        <v>39933</v>
      </c>
      <c r="J704" t="s">
        <v>15</v>
      </c>
      <c r="K704">
        <v>0</v>
      </c>
      <c r="L704">
        <v>1200</v>
      </c>
      <c r="M704" t="s">
        <v>49</v>
      </c>
      <c r="N704">
        <v>1.5</v>
      </c>
    </row>
    <row r="705" hidden="1" spans="1:14">
      <c r="A705">
        <v>4126</v>
      </c>
      <c r="C705" t="s">
        <v>231</v>
      </c>
      <c r="E705">
        <v>29.6499</v>
      </c>
      <c r="F705">
        <v>-4.14041</v>
      </c>
      <c r="G705">
        <v>3237.42</v>
      </c>
      <c r="H705" s="1">
        <v>41689</v>
      </c>
      <c r="I705" s="1">
        <v>41708</v>
      </c>
      <c r="J705" t="s">
        <v>15</v>
      </c>
      <c r="K705">
        <v>69</v>
      </c>
      <c r="L705">
        <v>20000</v>
      </c>
      <c r="M705" t="s">
        <v>52</v>
      </c>
      <c r="N705">
        <v>2</v>
      </c>
    </row>
    <row r="706" hidden="1" spans="1:14">
      <c r="A706">
        <v>4452</v>
      </c>
      <c r="C706" t="s">
        <v>231</v>
      </c>
      <c r="E706">
        <v>29.8386</v>
      </c>
      <c r="F706">
        <v>-1.9573</v>
      </c>
      <c r="G706">
        <v>18863.13</v>
      </c>
      <c r="H706" s="1">
        <v>42810</v>
      </c>
      <c r="I706" s="1">
        <v>42816</v>
      </c>
      <c r="J706" t="s">
        <v>15</v>
      </c>
      <c r="K706">
        <v>6</v>
      </c>
      <c r="L706">
        <v>640</v>
      </c>
      <c r="M706" t="s">
        <v>49</v>
      </c>
      <c r="N706">
        <v>1</v>
      </c>
    </row>
    <row r="707" hidden="1" spans="1:14">
      <c r="A707">
        <v>4565</v>
      </c>
      <c r="C707" t="s">
        <v>231</v>
      </c>
      <c r="E707">
        <v>29.987</v>
      </c>
      <c r="F707">
        <v>-3.46966</v>
      </c>
      <c r="G707">
        <v>18675.08</v>
      </c>
      <c r="H707" s="1">
        <v>43114</v>
      </c>
      <c r="I707" s="1">
        <v>43124</v>
      </c>
      <c r="J707" t="s">
        <v>56</v>
      </c>
      <c r="K707">
        <v>0</v>
      </c>
      <c r="L707">
        <v>2000</v>
      </c>
      <c r="M707" t="s">
        <v>49</v>
      </c>
      <c r="N707">
        <v>1</v>
      </c>
    </row>
    <row r="708" hidden="1" spans="1:14">
      <c r="A708">
        <v>4602</v>
      </c>
      <c r="C708" t="s">
        <v>231</v>
      </c>
      <c r="E708">
        <v>29.6406</v>
      </c>
      <c r="F708">
        <v>-4.01486</v>
      </c>
      <c r="G708">
        <v>8958.54</v>
      </c>
      <c r="H708" s="1">
        <v>43218</v>
      </c>
      <c r="I708" s="1">
        <v>43221</v>
      </c>
      <c r="J708" t="s">
        <v>56</v>
      </c>
      <c r="K708">
        <v>0</v>
      </c>
      <c r="L708">
        <v>2576</v>
      </c>
      <c r="M708" t="s">
        <v>52</v>
      </c>
      <c r="N708">
        <v>1</v>
      </c>
    </row>
    <row r="709" hidden="1" spans="1:14">
      <c r="A709">
        <v>4737</v>
      </c>
      <c r="C709" t="s">
        <v>231</v>
      </c>
      <c r="E709">
        <v>29.8881</v>
      </c>
      <c r="F709">
        <v>-3.14741</v>
      </c>
      <c r="G709">
        <v>9362.24</v>
      </c>
      <c r="H709" s="1">
        <v>43547</v>
      </c>
      <c r="I709" s="1">
        <v>43553</v>
      </c>
      <c r="J709" t="s">
        <v>56</v>
      </c>
      <c r="K709">
        <v>0</v>
      </c>
      <c r="L709">
        <v>25</v>
      </c>
      <c r="M709" t="s">
        <v>52</v>
      </c>
      <c r="N709">
        <v>1</v>
      </c>
    </row>
    <row r="710" hidden="1" spans="1:14">
      <c r="A710">
        <v>4828</v>
      </c>
      <c r="C710" t="s">
        <v>231</v>
      </c>
      <c r="E710">
        <v>30.0613</v>
      </c>
      <c r="F710">
        <v>-3.46972</v>
      </c>
      <c r="G710">
        <v>14360.73</v>
      </c>
      <c r="H710" s="1">
        <v>43803</v>
      </c>
      <c r="I710" s="1">
        <v>43805</v>
      </c>
      <c r="J710" t="s">
        <v>56</v>
      </c>
      <c r="K710">
        <v>26</v>
      </c>
      <c r="L710">
        <v>0</v>
      </c>
      <c r="M710" t="s">
        <v>52</v>
      </c>
      <c r="N710">
        <v>1.5</v>
      </c>
    </row>
    <row r="711" hidden="1" spans="1:14">
      <c r="A711">
        <v>4845</v>
      </c>
      <c r="C711" t="s">
        <v>231</v>
      </c>
      <c r="E711">
        <v>29.3561</v>
      </c>
      <c r="F711">
        <v>-3.3578</v>
      </c>
      <c r="G711">
        <v>3619.67</v>
      </c>
      <c r="H711" s="1">
        <v>43819</v>
      </c>
      <c r="I711" s="1">
        <v>43821</v>
      </c>
      <c r="J711" t="s">
        <v>56</v>
      </c>
      <c r="K711">
        <v>14</v>
      </c>
      <c r="L711">
        <v>250</v>
      </c>
      <c r="M711" t="s">
        <v>52</v>
      </c>
      <c r="N711">
        <v>2</v>
      </c>
    </row>
    <row r="712" hidden="1" spans="1:14">
      <c r="A712">
        <v>4874</v>
      </c>
      <c r="C712" t="s">
        <v>231</v>
      </c>
      <c r="E712">
        <v>29.987</v>
      </c>
      <c r="F712">
        <v>-3.40766</v>
      </c>
      <c r="G712">
        <v>17373.89</v>
      </c>
      <c r="H712" s="1">
        <v>43868</v>
      </c>
      <c r="I712" s="1">
        <v>43878</v>
      </c>
      <c r="J712" t="s">
        <v>56</v>
      </c>
      <c r="K712">
        <v>3</v>
      </c>
      <c r="L712">
        <v>1000</v>
      </c>
      <c r="M712" t="s">
        <v>49</v>
      </c>
      <c r="N712">
        <v>1.5</v>
      </c>
    </row>
    <row r="713" hidden="1" spans="1:14">
      <c r="A713">
        <v>4884</v>
      </c>
      <c r="C713" t="s">
        <v>231</v>
      </c>
      <c r="E713">
        <v>30.086</v>
      </c>
      <c r="F713">
        <v>-3.08566</v>
      </c>
      <c r="G713">
        <v>13769.59</v>
      </c>
      <c r="H713" s="1">
        <v>43892</v>
      </c>
      <c r="I713" s="1">
        <v>43898</v>
      </c>
      <c r="J713" t="s">
        <v>56</v>
      </c>
      <c r="K713">
        <v>1</v>
      </c>
      <c r="L713">
        <v>185</v>
      </c>
      <c r="M713" t="s">
        <v>49</v>
      </c>
      <c r="N713">
        <v>1.5</v>
      </c>
    </row>
    <row r="714" hidden="1" spans="1:14">
      <c r="A714">
        <v>4903</v>
      </c>
      <c r="C714" t="s">
        <v>231</v>
      </c>
      <c r="D714" t="s">
        <v>234</v>
      </c>
      <c r="E714">
        <v>29.9375</v>
      </c>
      <c r="F714">
        <v>-2.76312</v>
      </c>
      <c r="G714">
        <v>41569.31</v>
      </c>
      <c r="H714" s="1">
        <v>43940</v>
      </c>
      <c r="I714" s="1">
        <v>43947</v>
      </c>
      <c r="J714" t="s">
        <v>56</v>
      </c>
      <c r="K714">
        <v>9</v>
      </c>
      <c r="L714">
        <v>0</v>
      </c>
      <c r="M714" t="s">
        <v>49</v>
      </c>
      <c r="N714">
        <v>1.5</v>
      </c>
    </row>
    <row r="715" hidden="1" spans="1:14">
      <c r="A715">
        <v>5016</v>
      </c>
      <c r="C715" t="s">
        <v>231</v>
      </c>
      <c r="E715">
        <v>29.9375</v>
      </c>
      <c r="F715">
        <v>-3.61841</v>
      </c>
      <c r="G715">
        <v>22006.48</v>
      </c>
      <c r="H715" s="1">
        <v>44204</v>
      </c>
      <c r="I715" s="1">
        <v>44230</v>
      </c>
      <c r="J715" t="s">
        <v>56</v>
      </c>
      <c r="K715">
        <v>0</v>
      </c>
      <c r="L715">
        <v>1500</v>
      </c>
      <c r="M715" t="s">
        <v>49</v>
      </c>
      <c r="N715">
        <v>1.5</v>
      </c>
    </row>
    <row r="716" hidden="1" spans="1:14">
      <c r="A716">
        <v>5041</v>
      </c>
      <c r="C716" t="s">
        <v>231</v>
      </c>
      <c r="E716">
        <v>30.5685</v>
      </c>
      <c r="F716">
        <v>-3.06701</v>
      </c>
      <c r="G716">
        <v>46847.05</v>
      </c>
      <c r="H716" s="1">
        <v>44251</v>
      </c>
      <c r="I716" s="1">
        <v>44256</v>
      </c>
      <c r="J716" t="s">
        <v>56</v>
      </c>
      <c r="K716">
        <v>0</v>
      </c>
      <c r="L716">
        <v>1900</v>
      </c>
      <c r="M716" t="s">
        <v>49</v>
      </c>
      <c r="N716">
        <v>1.5</v>
      </c>
    </row>
    <row r="717" hidden="1" spans="1:14">
      <c r="A717">
        <v>4271</v>
      </c>
      <c r="B717" t="s">
        <v>235</v>
      </c>
      <c r="C717" t="s">
        <v>236</v>
      </c>
      <c r="E717">
        <v>9.88421</v>
      </c>
      <c r="F717">
        <v>3.94741</v>
      </c>
      <c r="G717">
        <v>4726.19</v>
      </c>
      <c r="H717" s="1">
        <v>42177</v>
      </c>
      <c r="I717" s="1">
        <v>42184</v>
      </c>
      <c r="J717" t="s">
        <v>15</v>
      </c>
      <c r="K717">
        <v>0</v>
      </c>
      <c r="L717">
        <v>3000</v>
      </c>
      <c r="M717" t="s">
        <v>49</v>
      </c>
      <c r="N717">
        <v>1</v>
      </c>
    </row>
    <row r="718" hidden="1" spans="1:14">
      <c r="A718">
        <v>576</v>
      </c>
      <c r="B718">
        <v>0</v>
      </c>
      <c r="C718" t="s">
        <v>237</v>
      </c>
      <c r="D718">
        <v>0</v>
      </c>
      <c r="E718">
        <v>105.268</v>
      </c>
      <c r="F718">
        <v>11.5369</v>
      </c>
      <c r="G718">
        <v>55858.69</v>
      </c>
      <c r="H718" s="1">
        <v>33472</v>
      </c>
      <c r="I718" s="1">
        <v>33480</v>
      </c>
      <c r="J718" t="s">
        <v>15</v>
      </c>
      <c r="K718">
        <v>100</v>
      </c>
      <c r="L718">
        <v>700000</v>
      </c>
      <c r="M718" t="s">
        <v>16</v>
      </c>
      <c r="N718">
        <v>1</v>
      </c>
    </row>
    <row r="719" hidden="1" spans="1:14">
      <c r="A719">
        <v>874</v>
      </c>
      <c r="B719">
        <v>0</v>
      </c>
      <c r="C719" t="s">
        <v>237</v>
      </c>
      <c r="D719">
        <v>0</v>
      </c>
      <c r="E719">
        <v>103.825</v>
      </c>
      <c r="F719">
        <v>12.5629</v>
      </c>
      <c r="G719">
        <v>40128.47</v>
      </c>
      <c r="H719" s="1">
        <v>34545</v>
      </c>
      <c r="I719" s="1">
        <v>34554</v>
      </c>
      <c r="J719" t="s">
        <v>15</v>
      </c>
      <c r="K719">
        <v>6</v>
      </c>
      <c r="L719">
        <v>22000</v>
      </c>
      <c r="M719" t="s">
        <v>86</v>
      </c>
      <c r="N719">
        <v>1</v>
      </c>
    </row>
    <row r="720" hidden="1" spans="1:14">
      <c r="A720">
        <v>997</v>
      </c>
      <c r="B720">
        <v>0</v>
      </c>
      <c r="C720" t="s">
        <v>237</v>
      </c>
      <c r="D720">
        <v>0</v>
      </c>
      <c r="E720">
        <v>106.544</v>
      </c>
      <c r="F720">
        <v>13.2244</v>
      </c>
      <c r="G720">
        <v>52119.24</v>
      </c>
      <c r="H720" s="1">
        <v>34960</v>
      </c>
      <c r="I720" s="1">
        <v>34974</v>
      </c>
      <c r="J720" t="s">
        <v>15</v>
      </c>
      <c r="K720">
        <v>0</v>
      </c>
      <c r="L720">
        <v>1348</v>
      </c>
      <c r="M720" t="s">
        <v>23</v>
      </c>
      <c r="N720">
        <v>1</v>
      </c>
    </row>
    <row r="721" hidden="1" spans="1:14">
      <c r="A721">
        <v>1113</v>
      </c>
      <c r="B721">
        <v>0</v>
      </c>
      <c r="C721" t="s">
        <v>237</v>
      </c>
      <c r="D721" t="s">
        <v>238</v>
      </c>
      <c r="E721">
        <v>105.076</v>
      </c>
      <c r="F721">
        <v>13.9861</v>
      </c>
      <c r="G721">
        <v>232589.88</v>
      </c>
      <c r="H721" s="1">
        <v>35335</v>
      </c>
      <c r="I721" s="1">
        <v>35342</v>
      </c>
      <c r="J721" t="s">
        <v>15</v>
      </c>
      <c r="K721">
        <v>46</v>
      </c>
      <c r="L721">
        <v>1000</v>
      </c>
      <c r="M721" t="s">
        <v>23</v>
      </c>
      <c r="N721">
        <v>1</v>
      </c>
    </row>
    <row r="722" hidden="1" spans="1:14">
      <c r="A722">
        <v>1535</v>
      </c>
      <c r="B722">
        <v>0</v>
      </c>
      <c r="C722" t="s">
        <v>237</v>
      </c>
      <c r="D722">
        <v>0</v>
      </c>
      <c r="E722">
        <v>106.09</v>
      </c>
      <c r="F722">
        <v>13.4329</v>
      </c>
      <c r="G722">
        <v>92451.53</v>
      </c>
      <c r="H722" s="1">
        <v>36374</v>
      </c>
      <c r="I722" s="1">
        <v>36380</v>
      </c>
      <c r="J722" t="s">
        <v>15</v>
      </c>
      <c r="K722">
        <v>9</v>
      </c>
      <c r="L722">
        <v>8000</v>
      </c>
      <c r="M722" t="s">
        <v>18</v>
      </c>
      <c r="N722">
        <v>2</v>
      </c>
    </row>
    <row r="723" hidden="1" spans="1:14">
      <c r="A723">
        <v>1629</v>
      </c>
      <c r="B723">
        <v>0</v>
      </c>
      <c r="C723" t="s">
        <v>237</v>
      </c>
      <c r="D723" t="s">
        <v>239</v>
      </c>
      <c r="E723">
        <v>106.195</v>
      </c>
      <c r="F723">
        <v>11.5439</v>
      </c>
      <c r="G723">
        <v>208158.42</v>
      </c>
      <c r="H723" s="1">
        <v>36766</v>
      </c>
      <c r="I723" s="1">
        <v>36770</v>
      </c>
      <c r="J723" t="s">
        <v>15</v>
      </c>
      <c r="K723">
        <v>1139</v>
      </c>
      <c r="L723">
        <v>6574000</v>
      </c>
      <c r="M723" t="s">
        <v>23</v>
      </c>
      <c r="N723">
        <v>2</v>
      </c>
    </row>
    <row r="724" hidden="1" spans="1:14">
      <c r="A724">
        <v>1781</v>
      </c>
      <c r="B724">
        <v>0</v>
      </c>
      <c r="C724" t="s">
        <v>237</v>
      </c>
      <c r="D724" t="s">
        <v>239</v>
      </c>
      <c r="E724">
        <v>105.382</v>
      </c>
      <c r="F724">
        <v>11.7684</v>
      </c>
      <c r="G724">
        <v>74458.22</v>
      </c>
      <c r="H724" s="1">
        <v>37118</v>
      </c>
      <c r="I724" s="1">
        <v>37214</v>
      </c>
      <c r="J724" t="s">
        <v>15</v>
      </c>
      <c r="K724">
        <v>416</v>
      </c>
      <c r="L724">
        <v>1060000</v>
      </c>
      <c r="M724" t="s">
        <v>23</v>
      </c>
      <c r="N724">
        <v>2</v>
      </c>
    </row>
    <row r="725" hidden="1" spans="1:14">
      <c r="A725">
        <v>2913</v>
      </c>
      <c r="B725">
        <v>0</v>
      </c>
      <c r="C725" t="s">
        <v>237</v>
      </c>
      <c r="D725">
        <v>0</v>
      </c>
      <c r="E725">
        <v>103.53</v>
      </c>
      <c r="F725">
        <v>11.432</v>
      </c>
      <c r="G725">
        <v>11616.12</v>
      </c>
      <c r="H725" s="1">
        <v>38904</v>
      </c>
      <c r="I725" s="1">
        <v>38905</v>
      </c>
      <c r="J725" t="s">
        <v>15</v>
      </c>
      <c r="K725">
        <v>0</v>
      </c>
      <c r="L725">
        <v>5000</v>
      </c>
      <c r="M725" t="s">
        <v>23</v>
      </c>
      <c r="N725">
        <v>1</v>
      </c>
    </row>
    <row r="726" hidden="1" spans="1:14">
      <c r="A726">
        <v>2949</v>
      </c>
      <c r="B726" t="s">
        <v>240</v>
      </c>
      <c r="C726" t="s">
        <v>237</v>
      </c>
      <c r="D726" t="s">
        <v>239</v>
      </c>
      <c r="E726">
        <v>104.675</v>
      </c>
      <c r="F726">
        <v>11.0618</v>
      </c>
      <c r="G726">
        <v>143296.13</v>
      </c>
      <c r="H726" s="1">
        <v>38939</v>
      </c>
      <c r="I726" s="1">
        <v>39022</v>
      </c>
      <c r="J726" t="s">
        <v>15</v>
      </c>
      <c r="K726">
        <v>68</v>
      </c>
      <c r="L726">
        <v>33000</v>
      </c>
      <c r="M726" t="s">
        <v>23</v>
      </c>
      <c r="N726">
        <v>1</v>
      </c>
    </row>
    <row r="727" hidden="1" spans="1:14">
      <c r="A727">
        <v>3168</v>
      </c>
      <c r="B727">
        <v>0</v>
      </c>
      <c r="C727" t="s">
        <v>237</v>
      </c>
      <c r="D727">
        <v>0</v>
      </c>
      <c r="E727">
        <v>105.882</v>
      </c>
      <c r="F727">
        <v>13.2799</v>
      </c>
      <c r="G727">
        <v>61577.29</v>
      </c>
      <c r="H727" s="1">
        <v>39304</v>
      </c>
      <c r="I727" s="1">
        <v>39318</v>
      </c>
      <c r="J727" t="s">
        <v>15</v>
      </c>
      <c r="K727">
        <v>2</v>
      </c>
      <c r="L727">
        <v>19000</v>
      </c>
      <c r="M727" t="s">
        <v>23</v>
      </c>
      <c r="N727">
        <v>1.5</v>
      </c>
    </row>
    <row r="728" hidden="1" spans="1:14">
      <c r="A728">
        <v>3853</v>
      </c>
      <c r="B728" t="s">
        <v>241</v>
      </c>
      <c r="C728" t="s">
        <v>237</v>
      </c>
      <c r="D728" t="s">
        <v>242</v>
      </c>
      <c r="E728">
        <v>105.501</v>
      </c>
      <c r="F728">
        <v>12.0043</v>
      </c>
      <c r="G728">
        <v>13466.62</v>
      </c>
      <c r="H728" s="1">
        <v>40765</v>
      </c>
      <c r="I728" s="1">
        <v>40862</v>
      </c>
      <c r="J728" t="s">
        <v>15</v>
      </c>
      <c r="K728">
        <v>264</v>
      </c>
      <c r="L728">
        <v>280000</v>
      </c>
      <c r="M728" t="s">
        <v>243</v>
      </c>
      <c r="N728">
        <v>2</v>
      </c>
    </row>
    <row r="729" hidden="1" spans="1:14">
      <c r="A729">
        <v>4090</v>
      </c>
      <c r="C729" t="s">
        <v>237</v>
      </c>
      <c r="E729">
        <v>105.084</v>
      </c>
      <c r="F729">
        <v>12.658</v>
      </c>
      <c r="G729">
        <v>52283.25</v>
      </c>
      <c r="H729" s="1">
        <v>41544</v>
      </c>
      <c r="I729" s="1">
        <v>41561</v>
      </c>
      <c r="J729" t="s">
        <v>15</v>
      </c>
      <c r="K729">
        <v>122</v>
      </c>
      <c r="L729">
        <v>60000</v>
      </c>
      <c r="M729" t="s">
        <v>54</v>
      </c>
      <c r="N729">
        <v>1.5</v>
      </c>
    </row>
    <row r="730" hidden="1" spans="1:14">
      <c r="A730">
        <v>4652</v>
      </c>
      <c r="C730" t="s">
        <v>237</v>
      </c>
      <c r="E730">
        <v>104.477</v>
      </c>
      <c r="F730">
        <v>11.9888</v>
      </c>
      <c r="G730">
        <v>24114.89</v>
      </c>
      <c r="H730" s="1">
        <v>43298</v>
      </c>
      <c r="I730" s="1">
        <v>43304</v>
      </c>
      <c r="J730" t="s">
        <v>56</v>
      </c>
      <c r="K730">
        <v>0</v>
      </c>
      <c r="L730">
        <v>6800</v>
      </c>
      <c r="M730" t="s">
        <v>244</v>
      </c>
      <c r="N730">
        <v>1.5</v>
      </c>
    </row>
    <row r="731" hidden="1" spans="1:14">
      <c r="A731">
        <v>4795</v>
      </c>
      <c r="C731" t="s">
        <v>237</v>
      </c>
      <c r="D731" t="s">
        <v>238</v>
      </c>
      <c r="E731">
        <v>105.479</v>
      </c>
      <c r="F731">
        <v>14.5905</v>
      </c>
      <c r="G731">
        <v>146785.96</v>
      </c>
      <c r="H731" s="1">
        <v>43713</v>
      </c>
      <c r="I731" s="1">
        <v>43722</v>
      </c>
      <c r="J731" t="s">
        <v>56</v>
      </c>
      <c r="K731">
        <v>7</v>
      </c>
      <c r="L731">
        <v>50000</v>
      </c>
      <c r="M731" t="s">
        <v>49</v>
      </c>
      <c r="N731">
        <v>1.5</v>
      </c>
    </row>
    <row r="732" hidden="1" spans="1:14">
      <c r="A732">
        <v>1588</v>
      </c>
      <c r="B732">
        <v>0</v>
      </c>
      <c r="C732" t="s">
        <v>245</v>
      </c>
      <c r="D732">
        <v>0</v>
      </c>
      <c r="E732">
        <v>106.939</v>
      </c>
      <c r="F732">
        <v>13.7185</v>
      </c>
      <c r="G732">
        <v>12178.04</v>
      </c>
      <c r="H732" s="1">
        <v>36588</v>
      </c>
      <c r="I732" s="1">
        <v>36589</v>
      </c>
      <c r="J732" t="s">
        <v>15</v>
      </c>
      <c r="K732">
        <v>3</v>
      </c>
      <c r="L732">
        <v>0</v>
      </c>
      <c r="M732" t="s">
        <v>25</v>
      </c>
      <c r="N732">
        <v>1</v>
      </c>
    </row>
    <row r="733" hidden="1" spans="1:14">
      <c r="A733">
        <v>898</v>
      </c>
      <c r="B733">
        <v>0</v>
      </c>
      <c r="C733" t="s">
        <v>246</v>
      </c>
      <c r="D733">
        <v>0</v>
      </c>
      <c r="E733">
        <v>14.8285</v>
      </c>
      <c r="F733">
        <v>12.0078</v>
      </c>
      <c r="G733">
        <v>11415.7</v>
      </c>
      <c r="H733" s="1">
        <v>34586</v>
      </c>
      <c r="I733" s="1">
        <v>34591</v>
      </c>
      <c r="J733" t="s">
        <v>15</v>
      </c>
      <c r="K733">
        <v>6</v>
      </c>
      <c r="L733">
        <v>400</v>
      </c>
      <c r="M733" t="s">
        <v>16</v>
      </c>
      <c r="N733">
        <v>1</v>
      </c>
    </row>
    <row r="734" hidden="1" spans="1:14">
      <c r="A734">
        <v>1620</v>
      </c>
      <c r="B734">
        <v>0</v>
      </c>
      <c r="C734" t="s">
        <v>246</v>
      </c>
      <c r="D734">
        <v>0</v>
      </c>
      <c r="E734">
        <v>9.67812</v>
      </c>
      <c r="F734">
        <v>3.95416</v>
      </c>
      <c r="G734">
        <v>3781.53</v>
      </c>
      <c r="H734" s="1">
        <v>36741</v>
      </c>
      <c r="I734" s="1">
        <v>36743</v>
      </c>
      <c r="J734" t="s">
        <v>15</v>
      </c>
      <c r="K734">
        <v>3</v>
      </c>
      <c r="L734">
        <v>500</v>
      </c>
      <c r="M734" t="s">
        <v>16</v>
      </c>
      <c r="N734">
        <v>2</v>
      </c>
    </row>
    <row r="735" hidden="1" spans="1:14">
      <c r="A735">
        <v>4801</v>
      </c>
      <c r="C735" t="s">
        <v>246</v>
      </c>
      <c r="E735">
        <v>14.6213</v>
      </c>
      <c r="F735">
        <v>12.1578</v>
      </c>
      <c r="G735">
        <v>10557.47</v>
      </c>
      <c r="H735" s="1">
        <v>43739</v>
      </c>
      <c r="I735" s="1">
        <v>43753</v>
      </c>
      <c r="J735" t="s">
        <v>56</v>
      </c>
      <c r="K735">
        <v>0</v>
      </c>
      <c r="L735">
        <v>0</v>
      </c>
      <c r="M735" t="s">
        <v>49</v>
      </c>
      <c r="N735">
        <v>1</v>
      </c>
    </row>
    <row r="736" hidden="1" spans="1:14">
      <c r="A736">
        <v>1741</v>
      </c>
      <c r="B736">
        <v>0</v>
      </c>
      <c r="C736" t="s">
        <v>247</v>
      </c>
      <c r="D736">
        <v>0</v>
      </c>
      <c r="E736">
        <v>8.98727</v>
      </c>
      <c r="F736">
        <v>4.4351</v>
      </c>
      <c r="G736">
        <v>1086.73</v>
      </c>
      <c r="H736" s="1">
        <v>37070</v>
      </c>
      <c r="I736" s="1">
        <v>37071</v>
      </c>
      <c r="J736" t="s">
        <v>15</v>
      </c>
      <c r="K736">
        <v>22</v>
      </c>
      <c r="L736">
        <v>1000</v>
      </c>
      <c r="M736" t="s">
        <v>18</v>
      </c>
      <c r="N736">
        <v>1</v>
      </c>
    </row>
    <row r="737" hidden="1" spans="1:14">
      <c r="A737">
        <v>626</v>
      </c>
      <c r="B737">
        <v>0</v>
      </c>
      <c r="C737" t="s">
        <v>248</v>
      </c>
      <c r="D737">
        <v>0</v>
      </c>
      <c r="E737">
        <v>-117.494</v>
      </c>
      <c r="F737">
        <v>56.4607</v>
      </c>
      <c r="G737">
        <v>7996.65</v>
      </c>
      <c r="H737" s="1">
        <v>33661</v>
      </c>
      <c r="I737" s="1">
        <v>33663</v>
      </c>
      <c r="J737" t="s">
        <v>15</v>
      </c>
      <c r="K737">
        <v>0</v>
      </c>
      <c r="L737">
        <v>4000</v>
      </c>
      <c r="M737" t="s">
        <v>48</v>
      </c>
      <c r="N737">
        <v>1</v>
      </c>
    </row>
    <row r="738" hidden="1" spans="1:14">
      <c r="A738">
        <v>633</v>
      </c>
      <c r="B738">
        <v>0</v>
      </c>
      <c r="C738" t="s">
        <v>248</v>
      </c>
      <c r="D738">
        <v>0</v>
      </c>
      <c r="E738">
        <v>-61.8013</v>
      </c>
      <c r="F738">
        <v>47.4312</v>
      </c>
      <c r="G738">
        <v>386.605</v>
      </c>
      <c r="H738" s="1">
        <v>33677</v>
      </c>
      <c r="I738" s="1">
        <v>33677</v>
      </c>
      <c r="J738" t="s">
        <v>15</v>
      </c>
      <c r="K738">
        <v>0</v>
      </c>
      <c r="L738">
        <v>53</v>
      </c>
      <c r="M738" t="s">
        <v>64</v>
      </c>
      <c r="N738">
        <v>2</v>
      </c>
    </row>
    <row r="739" hidden="1" spans="1:14">
      <c r="A739">
        <v>643</v>
      </c>
      <c r="B739">
        <v>0</v>
      </c>
      <c r="C739" t="s">
        <v>248</v>
      </c>
      <c r="D739">
        <v>0</v>
      </c>
      <c r="E739">
        <v>-115.994</v>
      </c>
      <c r="F739">
        <v>60.5419</v>
      </c>
      <c r="G739">
        <v>1537.3</v>
      </c>
      <c r="H739" s="1">
        <v>33718</v>
      </c>
      <c r="I739" s="1">
        <v>33720</v>
      </c>
      <c r="J739" t="s">
        <v>15</v>
      </c>
      <c r="K739">
        <v>0</v>
      </c>
      <c r="L739">
        <v>100</v>
      </c>
      <c r="M739" t="s">
        <v>48</v>
      </c>
      <c r="N739">
        <v>1</v>
      </c>
    </row>
    <row r="740" hidden="1" spans="1:14">
      <c r="A740">
        <v>648</v>
      </c>
      <c r="B740">
        <v>0</v>
      </c>
      <c r="C740" t="s">
        <v>248</v>
      </c>
      <c r="D740">
        <v>0</v>
      </c>
      <c r="E740">
        <v>-78.1083</v>
      </c>
      <c r="F740">
        <v>52.6169</v>
      </c>
      <c r="G740">
        <v>88075.01</v>
      </c>
      <c r="H740" s="1">
        <v>33741</v>
      </c>
      <c r="I740" s="1">
        <v>33742</v>
      </c>
      <c r="J740" t="s">
        <v>15</v>
      </c>
      <c r="K740">
        <v>0</v>
      </c>
      <c r="L740">
        <v>800</v>
      </c>
      <c r="M740" t="s">
        <v>48</v>
      </c>
      <c r="N740">
        <v>1</v>
      </c>
    </row>
    <row r="741" hidden="1" spans="1:14">
      <c r="A741">
        <v>970</v>
      </c>
      <c r="B741">
        <v>0</v>
      </c>
      <c r="C741" t="s">
        <v>248</v>
      </c>
      <c r="D741">
        <v>0</v>
      </c>
      <c r="E741">
        <v>-112.773</v>
      </c>
      <c r="F741">
        <v>52.8501</v>
      </c>
      <c r="G741">
        <v>184528.76</v>
      </c>
      <c r="H741" s="1">
        <v>34885</v>
      </c>
      <c r="I741" s="1">
        <v>34892</v>
      </c>
      <c r="J741" t="s">
        <v>15</v>
      </c>
      <c r="K741">
        <v>0</v>
      </c>
      <c r="L741">
        <v>5000</v>
      </c>
      <c r="M741" t="s">
        <v>16</v>
      </c>
      <c r="N741">
        <v>1</v>
      </c>
    </row>
    <row r="742" hidden="1" spans="1:14">
      <c r="A742">
        <v>1034</v>
      </c>
      <c r="B742">
        <v>0</v>
      </c>
      <c r="C742" t="s">
        <v>248</v>
      </c>
      <c r="D742">
        <v>0</v>
      </c>
      <c r="E742">
        <v>-118.244</v>
      </c>
      <c r="F742">
        <v>49.8461</v>
      </c>
      <c r="G742">
        <v>31440.12</v>
      </c>
      <c r="H742" s="1">
        <v>35032</v>
      </c>
      <c r="I742" s="1">
        <v>35040</v>
      </c>
      <c r="J742" t="s">
        <v>15</v>
      </c>
      <c r="K742">
        <v>0</v>
      </c>
      <c r="L742">
        <v>0</v>
      </c>
      <c r="M742" t="s">
        <v>38</v>
      </c>
      <c r="N742">
        <v>2</v>
      </c>
    </row>
    <row r="743" hidden="1" spans="1:14">
      <c r="A743">
        <v>1048</v>
      </c>
      <c r="B743">
        <v>0</v>
      </c>
      <c r="C743" t="s">
        <v>248</v>
      </c>
      <c r="D743">
        <v>0</v>
      </c>
      <c r="E743">
        <v>-73.8312</v>
      </c>
      <c r="F743">
        <v>45.3505</v>
      </c>
      <c r="G743">
        <v>1270.17</v>
      </c>
      <c r="H743" s="1">
        <v>35083</v>
      </c>
      <c r="I743" s="1">
        <v>35089</v>
      </c>
      <c r="J743" t="s">
        <v>15</v>
      </c>
      <c r="K743">
        <v>0</v>
      </c>
      <c r="L743">
        <v>12000</v>
      </c>
      <c r="M743" t="s">
        <v>48</v>
      </c>
      <c r="N743">
        <v>1</v>
      </c>
    </row>
    <row r="744" hidden="1" spans="1:14">
      <c r="A744">
        <v>1093</v>
      </c>
      <c r="B744">
        <v>0</v>
      </c>
      <c r="C744" t="s">
        <v>248</v>
      </c>
      <c r="D744">
        <v>0</v>
      </c>
      <c r="E744">
        <v>-69.5894</v>
      </c>
      <c r="F744">
        <v>49.6542</v>
      </c>
      <c r="G744">
        <v>52912.34</v>
      </c>
      <c r="H744" s="1">
        <v>35265</v>
      </c>
      <c r="I744" s="1">
        <v>35268</v>
      </c>
      <c r="J744" t="s">
        <v>15</v>
      </c>
      <c r="K744">
        <v>10</v>
      </c>
      <c r="L744">
        <v>12000</v>
      </c>
      <c r="M744" t="s">
        <v>16</v>
      </c>
      <c r="N744">
        <v>1</v>
      </c>
    </row>
    <row r="745" hidden="1" spans="1:14">
      <c r="A745">
        <v>1115</v>
      </c>
      <c r="B745">
        <v>0</v>
      </c>
      <c r="C745" t="s">
        <v>248</v>
      </c>
      <c r="D745">
        <v>0</v>
      </c>
      <c r="E745">
        <v>-62.9104</v>
      </c>
      <c r="F745">
        <v>45.2409</v>
      </c>
      <c r="G745">
        <v>47106.25</v>
      </c>
      <c r="H745" s="1">
        <v>35323</v>
      </c>
      <c r="I745" s="1">
        <v>35326</v>
      </c>
      <c r="J745" t="s">
        <v>15</v>
      </c>
      <c r="K745">
        <v>0</v>
      </c>
      <c r="L745">
        <v>0</v>
      </c>
      <c r="M745" t="s">
        <v>103</v>
      </c>
      <c r="N745">
        <v>2</v>
      </c>
    </row>
    <row r="746" hidden="1" spans="1:14">
      <c r="A746">
        <v>1330</v>
      </c>
      <c r="B746">
        <v>0</v>
      </c>
      <c r="C746" t="s">
        <v>248</v>
      </c>
      <c r="D746">
        <v>0</v>
      </c>
      <c r="E746">
        <v>-79.9563</v>
      </c>
      <c r="F746">
        <v>45.4629</v>
      </c>
      <c r="G746">
        <v>283521.75</v>
      </c>
      <c r="H746" s="1">
        <v>35882</v>
      </c>
      <c r="I746" s="1">
        <v>35891</v>
      </c>
      <c r="J746" t="s">
        <v>15</v>
      </c>
      <c r="K746">
        <v>2</v>
      </c>
      <c r="L746">
        <v>3463</v>
      </c>
      <c r="M746" t="s">
        <v>39</v>
      </c>
      <c r="N746">
        <v>1</v>
      </c>
    </row>
    <row r="747" hidden="1" spans="1:14">
      <c r="A747">
        <v>1963</v>
      </c>
      <c r="B747">
        <v>0</v>
      </c>
      <c r="C747" t="s">
        <v>248</v>
      </c>
      <c r="D747">
        <v>0</v>
      </c>
      <c r="E747">
        <v>-94.0435</v>
      </c>
      <c r="F747">
        <v>48.8527</v>
      </c>
      <c r="G747">
        <v>5527.39</v>
      </c>
      <c r="H747" s="1">
        <v>37416</v>
      </c>
      <c r="I747" s="1">
        <v>37419</v>
      </c>
      <c r="J747" t="s">
        <v>15</v>
      </c>
      <c r="K747">
        <v>0</v>
      </c>
      <c r="L747">
        <v>0</v>
      </c>
      <c r="M747" t="s">
        <v>16</v>
      </c>
      <c r="N747">
        <v>1</v>
      </c>
    </row>
    <row r="748" hidden="1" spans="1:14">
      <c r="A748">
        <v>2086</v>
      </c>
      <c r="B748">
        <v>0</v>
      </c>
      <c r="C748" t="s">
        <v>248</v>
      </c>
      <c r="D748">
        <v>0</v>
      </c>
      <c r="E748">
        <v>-63.8299</v>
      </c>
      <c r="F748">
        <v>44.8277</v>
      </c>
      <c r="G748">
        <v>4327.32</v>
      </c>
      <c r="H748" s="1">
        <v>37574</v>
      </c>
      <c r="I748" s="1">
        <v>37577</v>
      </c>
      <c r="J748" t="s">
        <v>15</v>
      </c>
      <c r="K748">
        <v>0</v>
      </c>
      <c r="L748">
        <v>0</v>
      </c>
      <c r="M748" t="s">
        <v>16</v>
      </c>
      <c r="N748">
        <v>1</v>
      </c>
    </row>
    <row r="749" hidden="1" spans="1:14">
      <c r="A749">
        <v>2157</v>
      </c>
      <c r="B749">
        <v>0</v>
      </c>
      <c r="C749" t="s">
        <v>248</v>
      </c>
      <c r="D749">
        <v>0</v>
      </c>
      <c r="E749">
        <v>-56.033</v>
      </c>
      <c r="F749">
        <v>48.983</v>
      </c>
      <c r="G749">
        <v>1014.86</v>
      </c>
      <c r="H749" s="1">
        <v>37667</v>
      </c>
      <c r="I749" s="1">
        <v>37673</v>
      </c>
      <c r="J749" t="s">
        <v>15</v>
      </c>
      <c r="K749">
        <v>0</v>
      </c>
      <c r="L749">
        <v>1100</v>
      </c>
      <c r="M749" t="s">
        <v>249</v>
      </c>
      <c r="N749">
        <v>1</v>
      </c>
    </row>
    <row r="750" hidden="1" spans="1:14">
      <c r="A750">
        <v>2198</v>
      </c>
      <c r="B750">
        <v>0</v>
      </c>
      <c r="C750" t="s">
        <v>248</v>
      </c>
      <c r="D750">
        <v>0</v>
      </c>
      <c r="E750">
        <v>-63.9857</v>
      </c>
      <c r="F750">
        <v>45.105</v>
      </c>
      <c r="G750">
        <v>13530.48</v>
      </c>
      <c r="H750" s="1">
        <v>37711</v>
      </c>
      <c r="I750" s="1">
        <v>37714</v>
      </c>
      <c r="J750" t="s">
        <v>15</v>
      </c>
      <c r="K750">
        <v>2</v>
      </c>
      <c r="L750">
        <v>170</v>
      </c>
      <c r="M750" t="s">
        <v>250</v>
      </c>
      <c r="N750">
        <v>1</v>
      </c>
    </row>
    <row r="751" hidden="1" spans="1:14">
      <c r="A751">
        <v>2306</v>
      </c>
      <c r="B751">
        <v>0</v>
      </c>
      <c r="C751" t="s">
        <v>248</v>
      </c>
      <c r="D751">
        <v>0</v>
      </c>
      <c r="E751">
        <v>-71.9456</v>
      </c>
      <c r="F751">
        <v>46.0827</v>
      </c>
      <c r="G751">
        <v>1992.49</v>
      </c>
      <c r="H751" s="1">
        <v>37837</v>
      </c>
      <c r="I751" s="1">
        <v>37838</v>
      </c>
      <c r="J751" t="s">
        <v>15</v>
      </c>
      <c r="K751">
        <v>0</v>
      </c>
      <c r="L751">
        <v>400</v>
      </c>
      <c r="M751" t="s">
        <v>18</v>
      </c>
      <c r="N751">
        <v>1</v>
      </c>
    </row>
    <row r="752" hidden="1" spans="1:14">
      <c r="A752">
        <v>2391</v>
      </c>
      <c r="B752">
        <v>0</v>
      </c>
      <c r="C752" t="s">
        <v>248</v>
      </c>
      <c r="D752">
        <v>0</v>
      </c>
      <c r="E752">
        <v>-75.9574</v>
      </c>
      <c r="F752">
        <v>46.1831</v>
      </c>
      <c r="G752">
        <v>1045.19</v>
      </c>
      <c r="H752" s="1">
        <v>37949</v>
      </c>
      <c r="I752" s="1">
        <v>37957</v>
      </c>
      <c r="J752" t="s">
        <v>15</v>
      </c>
      <c r="K752">
        <v>0</v>
      </c>
      <c r="L752">
        <v>15</v>
      </c>
      <c r="M752" t="s">
        <v>16</v>
      </c>
      <c r="N752">
        <v>1</v>
      </c>
    </row>
    <row r="753" hidden="1" spans="1:14">
      <c r="A753">
        <v>2452</v>
      </c>
      <c r="B753">
        <v>0</v>
      </c>
      <c r="C753" t="s">
        <v>248</v>
      </c>
      <c r="D753">
        <v>0</v>
      </c>
      <c r="E753">
        <v>-73.772</v>
      </c>
      <c r="F753">
        <v>45.3367</v>
      </c>
      <c r="G753">
        <v>86.6257</v>
      </c>
      <c r="H753" s="1">
        <v>38052</v>
      </c>
      <c r="I753" s="1">
        <v>38054</v>
      </c>
      <c r="J753" t="s">
        <v>15</v>
      </c>
      <c r="K753">
        <v>0</v>
      </c>
      <c r="L753">
        <v>38</v>
      </c>
      <c r="M753" t="s">
        <v>48</v>
      </c>
      <c r="N753">
        <v>2</v>
      </c>
    </row>
    <row r="754" hidden="1" spans="1:14">
      <c r="A754">
        <v>2523</v>
      </c>
      <c r="B754">
        <v>0</v>
      </c>
      <c r="C754" t="s">
        <v>248</v>
      </c>
      <c r="D754">
        <v>0</v>
      </c>
      <c r="E754">
        <v>-78.3305</v>
      </c>
      <c r="F754">
        <v>44.3085</v>
      </c>
      <c r="G754">
        <v>509.144</v>
      </c>
      <c r="H754" s="1">
        <v>38183</v>
      </c>
      <c r="I754" s="1">
        <v>38185</v>
      </c>
      <c r="J754" t="s">
        <v>15</v>
      </c>
      <c r="K754">
        <v>0</v>
      </c>
      <c r="L754">
        <v>250</v>
      </c>
      <c r="M754" t="s">
        <v>18</v>
      </c>
      <c r="N754">
        <v>2</v>
      </c>
    </row>
    <row r="755" hidden="1" spans="1:14">
      <c r="A755">
        <v>2548</v>
      </c>
      <c r="B755">
        <v>0</v>
      </c>
      <c r="C755" t="s">
        <v>248</v>
      </c>
      <c r="D755">
        <v>0</v>
      </c>
      <c r="E755">
        <v>-68.2422</v>
      </c>
      <c r="F755">
        <v>47.3018</v>
      </c>
      <c r="G755">
        <v>1448.63</v>
      </c>
      <c r="H755" s="1">
        <v>38212</v>
      </c>
      <c r="I755" s="1">
        <v>38214</v>
      </c>
      <c r="J755" t="s">
        <v>15</v>
      </c>
      <c r="K755">
        <v>1</v>
      </c>
      <c r="L755">
        <v>0</v>
      </c>
      <c r="M755" t="s">
        <v>16</v>
      </c>
      <c r="N755">
        <v>1</v>
      </c>
    </row>
    <row r="756" hidden="1" spans="1:14">
      <c r="A756">
        <v>2666</v>
      </c>
      <c r="B756">
        <v>0</v>
      </c>
      <c r="C756" t="s">
        <v>248</v>
      </c>
      <c r="D756">
        <v>0</v>
      </c>
      <c r="E756">
        <v>-114.424</v>
      </c>
      <c r="F756">
        <v>50.8437</v>
      </c>
      <c r="G756">
        <v>86681.01</v>
      </c>
      <c r="H756" s="1">
        <v>38510</v>
      </c>
      <c r="I756" s="1">
        <v>38534</v>
      </c>
      <c r="J756" t="s">
        <v>15</v>
      </c>
      <c r="K756">
        <v>4</v>
      </c>
      <c r="L756">
        <v>5000</v>
      </c>
      <c r="M756" t="s">
        <v>16</v>
      </c>
      <c r="N756">
        <v>2</v>
      </c>
    </row>
    <row r="757" hidden="1" spans="1:14">
      <c r="A757">
        <v>2741</v>
      </c>
      <c r="B757">
        <v>0</v>
      </c>
      <c r="C757" t="s">
        <v>248</v>
      </c>
      <c r="D757">
        <v>0</v>
      </c>
      <c r="E757">
        <v>-58.4653</v>
      </c>
      <c r="F757">
        <v>48.5713</v>
      </c>
      <c r="G757">
        <v>332.483</v>
      </c>
      <c r="H757" s="1">
        <v>38622</v>
      </c>
      <c r="I757" s="1">
        <v>38624</v>
      </c>
      <c r="J757" t="s">
        <v>15</v>
      </c>
      <c r="K757">
        <v>0</v>
      </c>
      <c r="L757">
        <v>200</v>
      </c>
      <c r="M757" t="s">
        <v>16</v>
      </c>
      <c r="N757">
        <v>1</v>
      </c>
    </row>
    <row r="758" hidden="1" spans="1:14">
      <c r="A758">
        <v>2771</v>
      </c>
      <c r="B758">
        <v>0</v>
      </c>
      <c r="C758" t="s">
        <v>248</v>
      </c>
      <c r="D758">
        <v>0</v>
      </c>
      <c r="E758">
        <v>-98.249</v>
      </c>
      <c r="F758">
        <v>51.8455</v>
      </c>
      <c r="G758">
        <v>1834.71</v>
      </c>
      <c r="H758" s="1">
        <v>38691</v>
      </c>
      <c r="I758" s="1">
        <v>38702</v>
      </c>
      <c r="J758" t="s">
        <v>15</v>
      </c>
      <c r="K758">
        <v>0</v>
      </c>
      <c r="L758">
        <v>56</v>
      </c>
      <c r="M758" t="s">
        <v>48</v>
      </c>
      <c r="N758">
        <v>2</v>
      </c>
    </row>
    <row r="759" hidden="1" spans="1:14">
      <c r="A759">
        <v>2841</v>
      </c>
      <c r="B759">
        <v>0</v>
      </c>
      <c r="C759" t="s">
        <v>248</v>
      </c>
      <c r="D759">
        <v>0</v>
      </c>
      <c r="E759">
        <v>-96.9531</v>
      </c>
      <c r="F759">
        <v>49.8493</v>
      </c>
      <c r="G759">
        <v>9215.51</v>
      </c>
      <c r="H759" s="1">
        <v>38818</v>
      </c>
      <c r="I759" s="1">
        <v>38846</v>
      </c>
      <c r="J759" t="s">
        <v>15</v>
      </c>
      <c r="K759">
        <v>0</v>
      </c>
      <c r="L759">
        <v>40</v>
      </c>
      <c r="M759" t="s">
        <v>38</v>
      </c>
      <c r="N759">
        <v>1</v>
      </c>
    </row>
    <row r="760" hidden="1" spans="1:14">
      <c r="A760">
        <v>2845</v>
      </c>
      <c r="B760">
        <v>0</v>
      </c>
      <c r="C760" t="s">
        <v>248</v>
      </c>
      <c r="D760">
        <v>0</v>
      </c>
      <c r="E760">
        <v>-103.358</v>
      </c>
      <c r="F760">
        <v>53.536</v>
      </c>
      <c r="G760">
        <v>63265.46</v>
      </c>
      <c r="H760" s="1">
        <v>38819</v>
      </c>
      <c r="I760" s="1">
        <v>38831</v>
      </c>
      <c r="J760" t="s">
        <v>15</v>
      </c>
      <c r="K760">
        <v>0</v>
      </c>
      <c r="L760">
        <v>1000</v>
      </c>
      <c r="M760" t="s">
        <v>16</v>
      </c>
      <c r="N760">
        <v>2</v>
      </c>
    </row>
    <row r="761" hidden="1" spans="1:14">
      <c r="A761">
        <v>2849</v>
      </c>
      <c r="B761">
        <v>0</v>
      </c>
      <c r="C761" t="s">
        <v>248</v>
      </c>
      <c r="D761">
        <v>0</v>
      </c>
      <c r="E761">
        <v>-56.0469</v>
      </c>
      <c r="F761">
        <v>49.7197</v>
      </c>
      <c r="G761">
        <v>726.151</v>
      </c>
      <c r="H761" s="1">
        <v>38825</v>
      </c>
      <c r="I761" s="1">
        <v>38831</v>
      </c>
      <c r="J761" t="s">
        <v>15</v>
      </c>
      <c r="K761">
        <v>0</v>
      </c>
      <c r="L761">
        <v>200</v>
      </c>
      <c r="M761" t="s">
        <v>16</v>
      </c>
      <c r="N761">
        <v>1</v>
      </c>
    </row>
    <row r="762" hidden="1" spans="1:14">
      <c r="A762">
        <v>2852</v>
      </c>
      <c r="B762">
        <v>0</v>
      </c>
      <c r="C762" t="s">
        <v>248</v>
      </c>
      <c r="D762">
        <v>0</v>
      </c>
      <c r="E762">
        <v>-82.0874</v>
      </c>
      <c r="F762">
        <v>52.5336</v>
      </c>
      <c r="G762">
        <v>7029.42</v>
      </c>
      <c r="H762" s="1">
        <v>38829</v>
      </c>
      <c r="I762" s="1">
        <v>38868</v>
      </c>
      <c r="J762" t="s">
        <v>15</v>
      </c>
      <c r="K762">
        <v>0</v>
      </c>
      <c r="L762">
        <v>2000</v>
      </c>
      <c r="M762" t="s">
        <v>39</v>
      </c>
      <c r="N762">
        <v>2</v>
      </c>
    </row>
    <row r="763" hidden="1" spans="1:14">
      <c r="A763">
        <v>2868</v>
      </c>
      <c r="B763">
        <v>0</v>
      </c>
      <c r="C763" t="s">
        <v>248</v>
      </c>
      <c r="D763">
        <v>0</v>
      </c>
      <c r="E763">
        <v>-118.997</v>
      </c>
      <c r="F763">
        <v>50.1296</v>
      </c>
      <c r="G763">
        <v>69157.08</v>
      </c>
      <c r="H763" s="1">
        <v>38857</v>
      </c>
      <c r="I763" s="1">
        <v>38865</v>
      </c>
      <c r="J763" t="s">
        <v>15</v>
      </c>
      <c r="K763">
        <v>1</v>
      </c>
      <c r="L763">
        <v>400</v>
      </c>
      <c r="M763" t="s">
        <v>38</v>
      </c>
      <c r="N763">
        <v>1</v>
      </c>
    </row>
    <row r="764" hidden="1" spans="1:14">
      <c r="A764">
        <v>2880</v>
      </c>
      <c r="B764">
        <v>0</v>
      </c>
      <c r="C764" t="s">
        <v>248</v>
      </c>
      <c r="D764">
        <v>0</v>
      </c>
      <c r="E764">
        <v>-134.805</v>
      </c>
      <c r="F764">
        <v>67.9345</v>
      </c>
      <c r="G764">
        <v>3213.02</v>
      </c>
      <c r="H764" s="1">
        <v>38863</v>
      </c>
      <c r="I764" s="1">
        <v>38870</v>
      </c>
      <c r="J764" t="s">
        <v>15</v>
      </c>
      <c r="K764">
        <v>0</v>
      </c>
      <c r="L764">
        <v>300</v>
      </c>
      <c r="M764" t="s">
        <v>39</v>
      </c>
      <c r="N764">
        <v>1</v>
      </c>
    </row>
    <row r="765" hidden="1" spans="1:14">
      <c r="A765">
        <v>2977</v>
      </c>
      <c r="B765">
        <v>0</v>
      </c>
      <c r="C765" t="s">
        <v>248</v>
      </c>
      <c r="D765">
        <v>0</v>
      </c>
      <c r="E765">
        <v>-71.333</v>
      </c>
      <c r="F765">
        <v>45.8128</v>
      </c>
      <c r="G765">
        <v>16765.77</v>
      </c>
      <c r="H765" s="1">
        <v>39011</v>
      </c>
      <c r="I765" s="1">
        <v>39014</v>
      </c>
      <c r="J765" t="s">
        <v>15</v>
      </c>
      <c r="K765">
        <v>0</v>
      </c>
      <c r="L765">
        <v>500</v>
      </c>
      <c r="M765" t="s">
        <v>16</v>
      </c>
      <c r="N765">
        <v>1</v>
      </c>
    </row>
    <row r="766" hidden="1" spans="1:14">
      <c r="A766">
        <v>3048</v>
      </c>
      <c r="B766">
        <v>0</v>
      </c>
      <c r="C766" t="s">
        <v>248</v>
      </c>
      <c r="D766">
        <v>0</v>
      </c>
      <c r="E766">
        <v>-104.281</v>
      </c>
      <c r="F766">
        <v>53.3778</v>
      </c>
      <c r="G766">
        <v>94680.09</v>
      </c>
      <c r="H766" s="1">
        <v>39182</v>
      </c>
      <c r="I766" s="1">
        <v>39210</v>
      </c>
      <c r="J766" t="s">
        <v>15</v>
      </c>
      <c r="K766">
        <v>0</v>
      </c>
      <c r="L766">
        <v>700</v>
      </c>
      <c r="M766" t="s">
        <v>39</v>
      </c>
      <c r="N766">
        <v>1.5</v>
      </c>
    </row>
    <row r="767" hidden="1" spans="1:14">
      <c r="A767">
        <v>3092</v>
      </c>
      <c r="B767">
        <v>0</v>
      </c>
      <c r="C767" t="s">
        <v>248</v>
      </c>
      <c r="D767">
        <v>0</v>
      </c>
      <c r="E767">
        <v>-125.033</v>
      </c>
      <c r="F767">
        <v>54.1789</v>
      </c>
      <c r="G767">
        <v>204993.53</v>
      </c>
      <c r="H767" s="1">
        <v>39239</v>
      </c>
      <c r="I767" s="1">
        <v>39247</v>
      </c>
      <c r="J767" t="s">
        <v>15</v>
      </c>
      <c r="K767">
        <v>0</v>
      </c>
      <c r="L767">
        <v>500</v>
      </c>
      <c r="M767" t="s">
        <v>39</v>
      </c>
      <c r="N767">
        <v>1.5</v>
      </c>
    </row>
    <row r="768" hidden="1" spans="1:14">
      <c r="A768">
        <v>3147</v>
      </c>
      <c r="B768">
        <v>0</v>
      </c>
      <c r="C768" t="s">
        <v>248</v>
      </c>
      <c r="D768">
        <v>0</v>
      </c>
      <c r="E768">
        <v>-53.9843</v>
      </c>
      <c r="F768">
        <v>47.1636</v>
      </c>
      <c r="G768">
        <v>617.691</v>
      </c>
      <c r="H768" s="1">
        <v>39295</v>
      </c>
      <c r="I768" s="1">
        <v>39297</v>
      </c>
      <c r="J768" t="s">
        <v>15</v>
      </c>
      <c r="K768">
        <v>0</v>
      </c>
      <c r="L768">
        <v>0</v>
      </c>
      <c r="M768" t="s">
        <v>16</v>
      </c>
      <c r="N768">
        <v>1.5</v>
      </c>
    </row>
    <row r="769" hidden="1" spans="1:14">
      <c r="A769">
        <v>3155</v>
      </c>
      <c r="B769">
        <v>0</v>
      </c>
      <c r="C769" t="s">
        <v>248</v>
      </c>
      <c r="D769">
        <v>0</v>
      </c>
      <c r="E769">
        <v>-64.4361</v>
      </c>
      <c r="F769">
        <v>48.9549</v>
      </c>
      <c r="G769">
        <v>432.859</v>
      </c>
      <c r="H769" s="1">
        <v>39302</v>
      </c>
      <c r="I769" s="1">
        <v>39306</v>
      </c>
      <c r="J769" t="s">
        <v>15</v>
      </c>
      <c r="K769">
        <v>1</v>
      </c>
      <c r="L769">
        <v>140</v>
      </c>
      <c r="M769" t="s">
        <v>16</v>
      </c>
      <c r="N769">
        <v>1.5</v>
      </c>
    </row>
    <row r="770" hidden="1" spans="1:14">
      <c r="A770">
        <v>3292</v>
      </c>
      <c r="B770">
        <v>0</v>
      </c>
      <c r="C770" t="s">
        <v>248</v>
      </c>
      <c r="D770">
        <v>0</v>
      </c>
      <c r="E770">
        <v>-77.4679</v>
      </c>
      <c r="F770">
        <v>44.4621</v>
      </c>
      <c r="G770">
        <v>22895.95</v>
      </c>
      <c r="H770" s="1">
        <v>39548</v>
      </c>
      <c r="I770" s="1">
        <v>39562</v>
      </c>
      <c r="J770" t="s">
        <v>15</v>
      </c>
      <c r="K770">
        <v>0</v>
      </c>
      <c r="L770">
        <v>400</v>
      </c>
      <c r="M770" t="s">
        <v>39</v>
      </c>
      <c r="N770">
        <v>1.5</v>
      </c>
    </row>
    <row r="771" hidden="1" spans="1:14">
      <c r="A771">
        <v>3298</v>
      </c>
      <c r="B771">
        <v>0</v>
      </c>
      <c r="C771" t="s">
        <v>248</v>
      </c>
      <c r="D771">
        <v>0</v>
      </c>
      <c r="E771">
        <v>-81.9611</v>
      </c>
      <c r="F771">
        <v>52.153</v>
      </c>
      <c r="G771">
        <v>3178.36</v>
      </c>
      <c r="H771" s="1">
        <v>39564</v>
      </c>
      <c r="I771" s="1">
        <v>39569</v>
      </c>
      <c r="J771" t="s">
        <v>15</v>
      </c>
      <c r="K771">
        <v>0</v>
      </c>
      <c r="L771">
        <v>2000</v>
      </c>
      <c r="M771" t="s">
        <v>48</v>
      </c>
      <c r="N771">
        <v>1</v>
      </c>
    </row>
    <row r="772" hidden="1" spans="1:14">
      <c r="A772">
        <v>3341</v>
      </c>
      <c r="B772">
        <v>0</v>
      </c>
      <c r="C772" t="s">
        <v>248</v>
      </c>
      <c r="D772">
        <v>0</v>
      </c>
      <c r="E772">
        <v>-58.5137</v>
      </c>
      <c r="F772">
        <v>51.9685</v>
      </c>
      <c r="G772">
        <v>160127.66</v>
      </c>
      <c r="H772" s="1">
        <v>39659</v>
      </c>
      <c r="I772" s="1">
        <v>39660</v>
      </c>
      <c r="J772" t="s">
        <v>15</v>
      </c>
      <c r="K772">
        <v>0</v>
      </c>
      <c r="L772">
        <v>0</v>
      </c>
      <c r="M772" t="s">
        <v>64</v>
      </c>
      <c r="N772">
        <v>2</v>
      </c>
    </row>
    <row r="773" hidden="1" spans="1:14">
      <c r="A773">
        <v>3346</v>
      </c>
      <c r="B773" t="s">
        <v>251</v>
      </c>
      <c r="C773" t="s">
        <v>248</v>
      </c>
      <c r="D773">
        <v>0</v>
      </c>
      <c r="E773">
        <v>-68.9902</v>
      </c>
      <c r="F773">
        <v>47.6426</v>
      </c>
      <c r="G773">
        <v>9314.57</v>
      </c>
      <c r="H773" s="1">
        <v>39663</v>
      </c>
      <c r="I773" s="1">
        <v>39664</v>
      </c>
      <c r="J773" t="s">
        <v>15</v>
      </c>
      <c r="K773">
        <v>0</v>
      </c>
      <c r="L773">
        <v>0</v>
      </c>
      <c r="M773" t="s">
        <v>64</v>
      </c>
      <c r="N773">
        <v>2</v>
      </c>
    </row>
    <row r="774" hidden="1" spans="1:14">
      <c r="A774">
        <v>3470</v>
      </c>
      <c r="B774">
        <v>0</v>
      </c>
      <c r="C774" t="s">
        <v>248</v>
      </c>
      <c r="D774">
        <v>0</v>
      </c>
      <c r="E774">
        <v>-67.6289</v>
      </c>
      <c r="F774">
        <v>47.1571</v>
      </c>
      <c r="G774">
        <v>20493.67</v>
      </c>
      <c r="H774" s="1">
        <v>39909</v>
      </c>
      <c r="I774" s="1">
        <v>39912</v>
      </c>
      <c r="J774" t="s">
        <v>15</v>
      </c>
      <c r="K774">
        <v>0</v>
      </c>
      <c r="L774">
        <v>1000</v>
      </c>
      <c r="M774" t="s">
        <v>49</v>
      </c>
      <c r="N774">
        <v>2</v>
      </c>
    </row>
    <row r="775" hidden="1" spans="1:14">
      <c r="A775">
        <v>3655</v>
      </c>
      <c r="B775">
        <v>0</v>
      </c>
      <c r="C775" t="s">
        <v>248</v>
      </c>
      <c r="D775">
        <v>0</v>
      </c>
      <c r="E775">
        <v>-97.7891</v>
      </c>
      <c r="F775">
        <v>49.8757</v>
      </c>
      <c r="G775">
        <v>25787.99</v>
      </c>
      <c r="H775" s="1">
        <v>40327</v>
      </c>
      <c r="I775" s="1">
        <v>40329</v>
      </c>
      <c r="J775">
        <v>0</v>
      </c>
      <c r="K775">
        <v>0</v>
      </c>
      <c r="L775">
        <v>0</v>
      </c>
      <c r="M775" t="s">
        <v>49</v>
      </c>
      <c r="N775">
        <v>1</v>
      </c>
    </row>
    <row r="776" hidden="1" spans="1:14">
      <c r="A776">
        <v>3673</v>
      </c>
      <c r="B776">
        <v>0</v>
      </c>
      <c r="C776" t="s">
        <v>248</v>
      </c>
      <c r="D776">
        <v>0</v>
      </c>
      <c r="E776">
        <v>-103.836</v>
      </c>
      <c r="F776">
        <v>51.8657</v>
      </c>
      <c r="G776">
        <v>86589.82</v>
      </c>
      <c r="H776" s="1">
        <v>40361</v>
      </c>
      <c r="I776" s="1">
        <v>40365</v>
      </c>
      <c r="J776">
        <v>0</v>
      </c>
      <c r="K776">
        <v>0</v>
      </c>
      <c r="L776">
        <v>0</v>
      </c>
      <c r="M776" t="s">
        <v>49</v>
      </c>
      <c r="N776">
        <v>1.5</v>
      </c>
    </row>
    <row r="777" hidden="1" spans="1:14">
      <c r="A777">
        <v>3720</v>
      </c>
      <c r="B777">
        <v>0</v>
      </c>
      <c r="C777" t="s">
        <v>248</v>
      </c>
      <c r="D777">
        <v>0</v>
      </c>
      <c r="E777">
        <v>-126.67</v>
      </c>
      <c r="F777">
        <v>50.9015</v>
      </c>
      <c r="G777">
        <v>45780.38</v>
      </c>
      <c r="H777" s="1">
        <v>40446</v>
      </c>
      <c r="I777" s="1">
        <v>40449</v>
      </c>
      <c r="J777" t="s">
        <v>15</v>
      </c>
      <c r="K777">
        <v>0</v>
      </c>
      <c r="L777">
        <v>720</v>
      </c>
      <c r="M777" t="s">
        <v>49</v>
      </c>
      <c r="N777">
        <v>2</v>
      </c>
    </row>
    <row r="778" hidden="1" spans="1:14">
      <c r="A778">
        <v>3761</v>
      </c>
      <c r="B778">
        <v>0</v>
      </c>
      <c r="C778" t="s">
        <v>248</v>
      </c>
      <c r="E778">
        <v>-67.4496</v>
      </c>
      <c r="F778">
        <v>48.2618</v>
      </c>
      <c r="G778">
        <v>19018.8</v>
      </c>
      <c r="H778" s="1">
        <v>40526</v>
      </c>
      <c r="I778" s="1">
        <v>40532</v>
      </c>
      <c r="J778" t="s">
        <v>15</v>
      </c>
      <c r="K778">
        <v>0</v>
      </c>
      <c r="L778">
        <v>1000</v>
      </c>
      <c r="M778" t="s">
        <v>52</v>
      </c>
      <c r="N778">
        <v>1.5</v>
      </c>
    </row>
    <row r="779" hidden="1" spans="1:14">
      <c r="A779">
        <v>3812</v>
      </c>
      <c r="C779" t="s">
        <v>248</v>
      </c>
      <c r="D779" t="s">
        <v>128</v>
      </c>
      <c r="E779">
        <v>-73.0141</v>
      </c>
      <c r="F779">
        <v>45.6264</v>
      </c>
      <c r="G779">
        <v>5274.09</v>
      </c>
      <c r="H779" s="1">
        <v>40667</v>
      </c>
      <c r="I779" s="1">
        <v>40703</v>
      </c>
      <c r="J779" t="s">
        <v>15</v>
      </c>
      <c r="K779">
        <v>0</v>
      </c>
      <c r="L779">
        <v>1300</v>
      </c>
      <c r="M779" t="s">
        <v>49</v>
      </c>
      <c r="N779">
        <v>2</v>
      </c>
    </row>
    <row r="780" hidden="1" spans="1:14">
      <c r="A780">
        <v>3819</v>
      </c>
      <c r="C780" t="s">
        <v>248</v>
      </c>
      <c r="E780">
        <v>-96.8541</v>
      </c>
      <c r="F780">
        <v>52.2558</v>
      </c>
      <c r="G780">
        <v>5634.34</v>
      </c>
      <c r="H780" s="1">
        <v>40695</v>
      </c>
      <c r="I780" s="1">
        <v>40730</v>
      </c>
      <c r="J780" t="s">
        <v>15</v>
      </c>
      <c r="K780">
        <v>0</v>
      </c>
      <c r="L780">
        <v>700</v>
      </c>
      <c r="M780" t="s">
        <v>49</v>
      </c>
      <c r="N780">
        <v>1</v>
      </c>
    </row>
    <row r="781" hidden="1" spans="1:14">
      <c r="A781">
        <v>3913</v>
      </c>
      <c r="C781" t="s">
        <v>248</v>
      </c>
      <c r="E781">
        <v>-67.4996</v>
      </c>
      <c r="F781">
        <v>46.5994</v>
      </c>
      <c r="G781">
        <v>5440.53</v>
      </c>
      <c r="H781" s="1">
        <v>40993</v>
      </c>
      <c r="I781" s="1">
        <v>40998</v>
      </c>
      <c r="J781" t="s">
        <v>15</v>
      </c>
      <c r="K781">
        <v>0</v>
      </c>
      <c r="L781">
        <v>500</v>
      </c>
      <c r="M781" t="s">
        <v>39</v>
      </c>
      <c r="N781">
        <v>1.5</v>
      </c>
    </row>
    <row r="782" hidden="1" spans="1:14">
      <c r="A782">
        <v>3933</v>
      </c>
      <c r="C782" t="s">
        <v>248</v>
      </c>
      <c r="E782">
        <v>-132.089</v>
      </c>
      <c r="F782">
        <v>61.4228</v>
      </c>
      <c r="G782">
        <v>673741.48</v>
      </c>
      <c r="H782" s="1">
        <v>41066</v>
      </c>
      <c r="I782" s="1">
        <v>41072</v>
      </c>
      <c r="J782" t="s">
        <v>15</v>
      </c>
      <c r="K782">
        <v>0</v>
      </c>
      <c r="L782">
        <v>0</v>
      </c>
      <c r="M782" t="s">
        <v>49</v>
      </c>
      <c r="N782">
        <v>1</v>
      </c>
    </row>
    <row r="783" hidden="1" spans="1:14">
      <c r="A783">
        <v>3940</v>
      </c>
      <c r="C783" t="s">
        <v>248</v>
      </c>
      <c r="E783">
        <v>-122.811</v>
      </c>
      <c r="F783">
        <v>53.8526</v>
      </c>
      <c r="G783">
        <v>213387.37</v>
      </c>
      <c r="H783" s="1">
        <v>41080</v>
      </c>
      <c r="I783" s="1">
        <v>41086</v>
      </c>
      <c r="J783" t="s">
        <v>15</v>
      </c>
      <c r="K783">
        <v>1</v>
      </c>
      <c r="L783">
        <v>700</v>
      </c>
      <c r="M783" t="s">
        <v>67</v>
      </c>
      <c r="N783">
        <v>1.5</v>
      </c>
    </row>
    <row r="784" hidden="1" spans="1:14">
      <c r="A784">
        <v>3998</v>
      </c>
      <c r="C784" t="s">
        <v>248</v>
      </c>
      <c r="E784">
        <v>-84.5569</v>
      </c>
      <c r="F784">
        <v>48.3513</v>
      </c>
      <c r="G784">
        <v>1592.26</v>
      </c>
      <c r="H784" s="1">
        <v>41207</v>
      </c>
      <c r="I784" s="1">
        <v>41211</v>
      </c>
      <c r="J784" t="s">
        <v>15</v>
      </c>
      <c r="K784">
        <v>0</v>
      </c>
      <c r="L784">
        <v>700</v>
      </c>
      <c r="M784" t="s">
        <v>49</v>
      </c>
      <c r="N784">
        <v>1.5</v>
      </c>
    </row>
    <row r="785" hidden="1" spans="1:14">
      <c r="A785">
        <v>4068</v>
      </c>
      <c r="C785" t="s">
        <v>248</v>
      </c>
      <c r="E785">
        <v>-109.647</v>
      </c>
      <c r="F785">
        <v>51.2434</v>
      </c>
      <c r="G785">
        <v>307926.47</v>
      </c>
      <c r="H785" s="1">
        <v>41445</v>
      </c>
      <c r="I785" s="1">
        <v>41452</v>
      </c>
      <c r="J785" t="s">
        <v>15</v>
      </c>
      <c r="K785">
        <v>3</v>
      </c>
      <c r="L785">
        <v>100000</v>
      </c>
      <c r="M785" t="s">
        <v>49</v>
      </c>
      <c r="N785">
        <v>2</v>
      </c>
    </row>
    <row r="786" hidden="1" spans="1:14">
      <c r="A786">
        <v>4362</v>
      </c>
      <c r="C786" t="s">
        <v>248</v>
      </c>
      <c r="E786">
        <v>-123.249</v>
      </c>
      <c r="F786">
        <v>58.2924</v>
      </c>
      <c r="G786">
        <v>176099.51</v>
      </c>
      <c r="H786" s="1">
        <v>42535</v>
      </c>
      <c r="I786" s="1">
        <v>42542</v>
      </c>
      <c r="J786" t="s">
        <v>15</v>
      </c>
      <c r="K786">
        <v>0</v>
      </c>
      <c r="L786">
        <v>300</v>
      </c>
      <c r="M786" t="s">
        <v>49</v>
      </c>
      <c r="N786">
        <v>1</v>
      </c>
    </row>
    <row r="787" hidden="1" spans="1:14">
      <c r="A787">
        <v>4400</v>
      </c>
      <c r="C787" t="s">
        <v>248</v>
      </c>
      <c r="E787">
        <v>-61.5887</v>
      </c>
      <c r="F787">
        <v>45.5679</v>
      </c>
      <c r="G787">
        <v>17108.71</v>
      </c>
      <c r="H787" s="1">
        <v>42654</v>
      </c>
      <c r="I787" s="1">
        <v>42655</v>
      </c>
      <c r="J787" t="s">
        <v>15</v>
      </c>
      <c r="K787">
        <v>0</v>
      </c>
      <c r="L787">
        <v>0</v>
      </c>
      <c r="M787" t="s">
        <v>49</v>
      </c>
      <c r="N787">
        <v>1</v>
      </c>
    </row>
    <row r="788" hidden="1" spans="1:14">
      <c r="A788">
        <v>4470</v>
      </c>
      <c r="C788" t="s">
        <v>248</v>
      </c>
      <c r="E788">
        <v>-74.4058</v>
      </c>
      <c r="F788">
        <v>45.5748</v>
      </c>
      <c r="G788">
        <v>79149.2</v>
      </c>
      <c r="H788" s="1">
        <v>42860</v>
      </c>
      <c r="I788" s="1">
        <v>42870</v>
      </c>
      <c r="J788" t="s">
        <v>15</v>
      </c>
      <c r="K788">
        <v>0</v>
      </c>
      <c r="L788">
        <v>3641</v>
      </c>
      <c r="M788" t="s">
        <v>252</v>
      </c>
      <c r="N788">
        <v>1.5</v>
      </c>
    </row>
    <row r="789" hidden="1" spans="1:14">
      <c r="A789">
        <v>4612</v>
      </c>
      <c r="C789" t="s">
        <v>248</v>
      </c>
      <c r="D789" t="s">
        <v>128</v>
      </c>
      <c r="E789">
        <v>-119.241</v>
      </c>
      <c r="F789">
        <v>50.3579</v>
      </c>
      <c r="G789">
        <v>78669.36</v>
      </c>
      <c r="H789" s="1">
        <v>43230</v>
      </c>
      <c r="I789" s="1">
        <v>43234</v>
      </c>
      <c r="J789" t="s">
        <v>56</v>
      </c>
      <c r="K789">
        <v>0</v>
      </c>
      <c r="L789">
        <v>4000</v>
      </c>
      <c r="M789" t="s">
        <v>67</v>
      </c>
      <c r="N789">
        <v>1</v>
      </c>
    </row>
    <row r="790" hidden="1" spans="1:14">
      <c r="A790">
        <v>4661</v>
      </c>
      <c r="C790" t="s">
        <v>248</v>
      </c>
      <c r="E790">
        <v>-78.9215</v>
      </c>
      <c r="F790">
        <v>43.9405</v>
      </c>
      <c r="G790">
        <v>4707.54</v>
      </c>
      <c r="H790" s="1">
        <v>43319</v>
      </c>
      <c r="I790" s="1">
        <v>43321</v>
      </c>
      <c r="J790" t="s">
        <v>56</v>
      </c>
      <c r="K790">
        <v>0</v>
      </c>
      <c r="L790">
        <v>0</v>
      </c>
      <c r="M790" t="s">
        <v>52</v>
      </c>
      <c r="N790">
        <v>1</v>
      </c>
    </row>
    <row r="791" hidden="1" spans="1:14">
      <c r="A791">
        <v>4744</v>
      </c>
      <c r="C791" t="s">
        <v>248</v>
      </c>
      <c r="E791">
        <v>-72.5748</v>
      </c>
      <c r="F791">
        <v>46.366</v>
      </c>
      <c r="G791">
        <v>28713.07</v>
      </c>
      <c r="H791" s="1">
        <v>43574</v>
      </c>
      <c r="I791" s="1">
        <v>43578</v>
      </c>
      <c r="J791" t="s">
        <v>253</v>
      </c>
      <c r="K791">
        <v>1</v>
      </c>
      <c r="L791">
        <v>1500</v>
      </c>
      <c r="M791" t="s">
        <v>254</v>
      </c>
      <c r="N791">
        <v>1.5</v>
      </c>
    </row>
    <row r="792" hidden="1" spans="1:14">
      <c r="A792">
        <v>4910</v>
      </c>
      <c r="C792" t="s">
        <v>248</v>
      </c>
      <c r="E792">
        <v>-107.216</v>
      </c>
      <c r="F792">
        <v>53.3026</v>
      </c>
      <c r="G792">
        <v>169211</v>
      </c>
      <c r="H792" s="1">
        <v>43946</v>
      </c>
      <c r="I792" s="1">
        <v>43948</v>
      </c>
      <c r="J792" t="s">
        <v>56</v>
      </c>
      <c r="K792">
        <v>0</v>
      </c>
      <c r="L792">
        <v>0</v>
      </c>
      <c r="M792" t="s">
        <v>255</v>
      </c>
      <c r="N792">
        <v>1</v>
      </c>
    </row>
    <row r="793" hidden="1" spans="1:14">
      <c r="A793">
        <v>4936</v>
      </c>
      <c r="C793" t="s">
        <v>248</v>
      </c>
      <c r="E793">
        <v>-99.4462</v>
      </c>
      <c r="F793">
        <v>50.2241</v>
      </c>
      <c r="G793">
        <v>78874.8</v>
      </c>
      <c r="H793" s="1">
        <v>44013</v>
      </c>
      <c r="I793" s="1">
        <v>44017</v>
      </c>
      <c r="J793" t="s">
        <v>56</v>
      </c>
      <c r="K793">
        <v>0</v>
      </c>
      <c r="L793">
        <v>240</v>
      </c>
      <c r="M793" t="s">
        <v>49</v>
      </c>
      <c r="N793">
        <v>1.5</v>
      </c>
    </row>
    <row r="794" hidden="1" spans="1:14">
      <c r="A794">
        <v>2369</v>
      </c>
      <c r="B794">
        <v>0</v>
      </c>
      <c r="C794" t="s">
        <v>256</v>
      </c>
      <c r="D794">
        <v>0</v>
      </c>
      <c r="E794">
        <v>-122.853</v>
      </c>
      <c r="F794">
        <v>49.5023</v>
      </c>
      <c r="G794">
        <v>70921.02</v>
      </c>
      <c r="H794" s="1">
        <v>37911</v>
      </c>
      <c r="I794" s="1">
        <v>37920</v>
      </c>
      <c r="J794" t="s">
        <v>15</v>
      </c>
      <c r="K794">
        <v>4</v>
      </c>
      <c r="L794">
        <v>4000</v>
      </c>
      <c r="M794" t="s">
        <v>16</v>
      </c>
      <c r="N794">
        <v>2</v>
      </c>
    </row>
    <row r="795" hidden="1" spans="1:14">
      <c r="A795">
        <v>91</v>
      </c>
      <c r="B795">
        <v>0</v>
      </c>
      <c r="C795" t="s">
        <v>257</v>
      </c>
      <c r="D795">
        <v>0</v>
      </c>
      <c r="E795">
        <v>-113.747</v>
      </c>
      <c r="F795">
        <v>53.6451</v>
      </c>
      <c r="G795">
        <v>46913.5</v>
      </c>
      <c r="H795" s="1">
        <v>31611</v>
      </c>
      <c r="I795" s="1">
        <v>31615</v>
      </c>
      <c r="J795" t="s">
        <v>15</v>
      </c>
      <c r="K795">
        <v>0</v>
      </c>
      <c r="L795">
        <v>1000</v>
      </c>
      <c r="M795" t="s">
        <v>16</v>
      </c>
      <c r="N795">
        <v>2</v>
      </c>
    </row>
    <row r="796" hidden="1" spans="1:14">
      <c r="A796">
        <v>197</v>
      </c>
      <c r="B796">
        <v>0</v>
      </c>
      <c r="C796" t="s">
        <v>257</v>
      </c>
      <c r="D796">
        <v>0</v>
      </c>
      <c r="E796">
        <v>-114.841</v>
      </c>
      <c r="F796">
        <v>55.4087</v>
      </c>
      <c r="G796">
        <v>1963.98</v>
      </c>
      <c r="H796" s="1">
        <v>32329</v>
      </c>
      <c r="I796" s="1">
        <v>32331</v>
      </c>
      <c r="J796" t="s">
        <v>15</v>
      </c>
      <c r="K796">
        <v>0</v>
      </c>
      <c r="L796">
        <v>2500</v>
      </c>
      <c r="M796" t="s">
        <v>16</v>
      </c>
      <c r="N796">
        <v>1</v>
      </c>
    </row>
    <row r="797" hidden="1" spans="1:14">
      <c r="A797">
        <v>1664</v>
      </c>
      <c r="B797">
        <v>0</v>
      </c>
      <c r="C797" t="s">
        <v>257</v>
      </c>
      <c r="D797">
        <v>0</v>
      </c>
      <c r="E797">
        <v>-97.1989</v>
      </c>
      <c r="F797">
        <v>49.6165</v>
      </c>
      <c r="G797">
        <v>7561.32</v>
      </c>
      <c r="H797" s="1">
        <v>36838</v>
      </c>
      <c r="I797" s="1">
        <v>36840</v>
      </c>
      <c r="J797" t="s">
        <v>15</v>
      </c>
      <c r="K797">
        <v>0</v>
      </c>
      <c r="L797">
        <v>0</v>
      </c>
      <c r="M797" t="s">
        <v>16</v>
      </c>
      <c r="N797">
        <v>1</v>
      </c>
    </row>
    <row r="798" hidden="1" spans="1:14">
      <c r="A798">
        <v>1900</v>
      </c>
      <c r="B798">
        <v>0</v>
      </c>
      <c r="C798" t="s">
        <v>258</v>
      </c>
      <c r="D798">
        <v>0</v>
      </c>
      <c r="E798">
        <v>-16.2539</v>
      </c>
      <c r="F798">
        <v>28.4785</v>
      </c>
      <c r="G798">
        <v>117.392</v>
      </c>
      <c r="H798" s="1">
        <v>37346</v>
      </c>
      <c r="I798" s="1">
        <v>37348</v>
      </c>
      <c r="J798" t="s">
        <v>15</v>
      </c>
      <c r="K798">
        <v>8</v>
      </c>
      <c r="L798">
        <v>400</v>
      </c>
      <c r="M798" t="s">
        <v>16</v>
      </c>
      <c r="N798">
        <v>1</v>
      </c>
    </row>
    <row r="799" hidden="1" spans="1:14">
      <c r="A799">
        <v>986</v>
      </c>
      <c r="B799">
        <v>0</v>
      </c>
      <c r="C799" t="s">
        <v>259</v>
      </c>
      <c r="D799">
        <v>0</v>
      </c>
      <c r="E799">
        <v>-60.8749</v>
      </c>
      <c r="F799">
        <v>14.2621</v>
      </c>
      <c r="G799">
        <v>8338.57</v>
      </c>
      <c r="H799" s="1">
        <v>34937</v>
      </c>
      <c r="I799" s="1">
        <v>34939</v>
      </c>
      <c r="J799" t="s">
        <v>15</v>
      </c>
      <c r="K799">
        <v>3</v>
      </c>
      <c r="L799">
        <v>0</v>
      </c>
      <c r="M799" t="s">
        <v>86</v>
      </c>
      <c r="N799">
        <v>1</v>
      </c>
    </row>
    <row r="800" hidden="1" spans="1:14">
      <c r="A800">
        <v>1332</v>
      </c>
      <c r="B800">
        <v>0</v>
      </c>
      <c r="C800" t="s">
        <v>260</v>
      </c>
      <c r="D800">
        <v>0</v>
      </c>
      <c r="E800">
        <v>18.107</v>
      </c>
      <c r="F800">
        <v>4.73891</v>
      </c>
      <c r="G800">
        <v>45900.39</v>
      </c>
      <c r="H800" s="1">
        <v>35891</v>
      </c>
      <c r="I800" s="1">
        <v>35892</v>
      </c>
      <c r="J800" t="s">
        <v>15</v>
      </c>
      <c r="K800">
        <v>6</v>
      </c>
      <c r="L800">
        <v>200</v>
      </c>
      <c r="M800" t="s">
        <v>18</v>
      </c>
      <c r="N800">
        <v>1</v>
      </c>
    </row>
    <row r="801" hidden="1" spans="1:14">
      <c r="A801">
        <v>2577</v>
      </c>
      <c r="B801">
        <v>0</v>
      </c>
      <c r="C801" t="s">
        <v>260</v>
      </c>
      <c r="D801">
        <v>0</v>
      </c>
      <c r="E801">
        <v>18.5304</v>
      </c>
      <c r="F801">
        <v>4.40871</v>
      </c>
      <c r="G801">
        <v>1515.96</v>
      </c>
      <c r="H801" s="1">
        <v>38284</v>
      </c>
      <c r="I801" s="1">
        <v>38293</v>
      </c>
      <c r="J801" t="s">
        <v>15</v>
      </c>
      <c r="K801">
        <v>1</v>
      </c>
      <c r="L801">
        <v>1410</v>
      </c>
      <c r="M801" t="s">
        <v>16</v>
      </c>
      <c r="N801">
        <v>1</v>
      </c>
    </row>
    <row r="802" hidden="1" spans="1:14">
      <c r="A802">
        <v>2707</v>
      </c>
      <c r="B802">
        <v>0</v>
      </c>
      <c r="C802" t="s">
        <v>260</v>
      </c>
      <c r="D802">
        <v>0</v>
      </c>
      <c r="E802">
        <v>18.4898</v>
      </c>
      <c r="F802">
        <v>4.40507</v>
      </c>
      <c r="G802">
        <v>65654.14</v>
      </c>
      <c r="H802" s="1">
        <v>38572</v>
      </c>
      <c r="I802" s="1">
        <v>38589</v>
      </c>
      <c r="J802" t="s">
        <v>15</v>
      </c>
      <c r="K802">
        <v>1</v>
      </c>
      <c r="L802">
        <v>22500</v>
      </c>
      <c r="M802" t="s">
        <v>16</v>
      </c>
      <c r="N802">
        <v>1</v>
      </c>
    </row>
    <row r="803" hidden="1" spans="1:14">
      <c r="A803">
        <v>4792</v>
      </c>
      <c r="C803" t="s">
        <v>260</v>
      </c>
      <c r="E803">
        <v>17.1452</v>
      </c>
      <c r="F803">
        <v>7.22255</v>
      </c>
      <c r="G803">
        <v>70469.71</v>
      </c>
      <c r="H803" s="1">
        <v>43696</v>
      </c>
      <c r="I803" s="1">
        <v>43699</v>
      </c>
      <c r="J803" t="s">
        <v>56</v>
      </c>
      <c r="K803">
        <v>1</v>
      </c>
      <c r="L803">
        <v>725</v>
      </c>
      <c r="M803" t="s">
        <v>49</v>
      </c>
      <c r="N803">
        <v>1</v>
      </c>
    </row>
    <row r="804" hidden="1" spans="1:14">
      <c r="A804">
        <v>4924</v>
      </c>
      <c r="C804" t="s">
        <v>260</v>
      </c>
      <c r="E804">
        <v>17.0214</v>
      </c>
      <c r="F804">
        <v>4.58231</v>
      </c>
      <c r="G804">
        <v>65353.26</v>
      </c>
      <c r="H804" s="1">
        <v>43975</v>
      </c>
      <c r="I804" s="1">
        <v>43981</v>
      </c>
      <c r="J804" t="s">
        <v>56</v>
      </c>
      <c r="K804">
        <v>3</v>
      </c>
      <c r="L804">
        <v>0</v>
      </c>
      <c r="M804" t="s">
        <v>52</v>
      </c>
      <c r="N804">
        <v>1</v>
      </c>
    </row>
    <row r="805" hidden="1" spans="1:14">
      <c r="A805">
        <v>32</v>
      </c>
      <c r="B805">
        <v>0</v>
      </c>
      <c r="C805" t="s">
        <v>261</v>
      </c>
      <c r="D805">
        <v>0</v>
      </c>
      <c r="E805">
        <v>21.5509</v>
      </c>
      <c r="F805">
        <v>11.6727</v>
      </c>
      <c r="G805">
        <v>15243.93</v>
      </c>
      <c r="H805" s="1">
        <v>31241</v>
      </c>
      <c r="I805" s="1">
        <v>31244</v>
      </c>
      <c r="J805" t="s">
        <v>15</v>
      </c>
      <c r="K805">
        <v>0</v>
      </c>
      <c r="L805">
        <v>1600</v>
      </c>
      <c r="M805" t="s">
        <v>16</v>
      </c>
      <c r="N805">
        <v>1</v>
      </c>
    </row>
    <row r="806" hidden="1" spans="1:14">
      <c r="A806">
        <v>236</v>
      </c>
      <c r="B806">
        <v>0</v>
      </c>
      <c r="C806" t="s">
        <v>261</v>
      </c>
      <c r="E806">
        <v>20.825</v>
      </c>
      <c r="F806">
        <v>12.2248</v>
      </c>
      <c r="G806">
        <v>562932.23</v>
      </c>
      <c r="H806" s="1">
        <v>32375</v>
      </c>
      <c r="I806" s="1">
        <v>32392</v>
      </c>
      <c r="J806" t="s">
        <v>15</v>
      </c>
      <c r="K806">
        <v>51</v>
      </c>
      <c r="L806">
        <v>58000</v>
      </c>
      <c r="M806" t="s">
        <v>16</v>
      </c>
      <c r="N806">
        <v>1</v>
      </c>
    </row>
    <row r="807" hidden="1" spans="1:14">
      <c r="A807">
        <v>1006</v>
      </c>
      <c r="B807">
        <v>0</v>
      </c>
      <c r="C807" t="s">
        <v>261</v>
      </c>
      <c r="D807">
        <v>0</v>
      </c>
      <c r="E807">
        <v>18.0044</v>
      </c>
      <c r="F807">
        <v>12.9016</v>
      </c>
      <c r="G807">
        <v>517354.51</v>
      </c>
      <c r="H807" s="1">
        <v>34966</v>
      </c>
      <c r="I807" s="1">
        <v>34996</v>
      </c>
      <c r="J807" t="s">
        <v>15</v>
      </c>
      <c r="K807">
        <v>1</v>
      </c>
      <c r="L807">
        <v>0</v>
      </c>
      <c r="M807" t="s">
        <v>16</v>
      </c>
      <c r="N807">
        <v>1</v>
      </c>
    </row>
    <row r="808" hidden="1" spans="1:14">
      <c r="A808">
        <v>1541</v>
      </c>
      <c r="B808">
        <v>0</v>
      </c>
      <c r="C808" t="s">
        <v>261</v>
      </c>
      <c r="D808">
        <v>0</v>
      </c>
      <c r="E808">
        <v>19.552</v>
      </c>
      <c r="F808">
        <v>19.8554</v>
      </c>
      <c r="G808">
        <v>278827.48</v>
      </c>
      <c r="H808" s="1">
        <v>36373</v>
      </c>
      <c r="I808" s="1">
        <v>36395</v>
      </c>
      <c r="J808" t="s">
        <v>15</v>
      </c>
      <c r="K808">
        <v>0</v>
      </c>
      <c r="L808">
        <v>130000</v>
      </c>
      <c r="M808" t="s">
        <v>18</v>
      </c>
      <c r="N808">
        <v>1</v>
      </c>
    </row>
    <row r="809" hidden="1" spans="1:14">
      <c r="A809">
        <v>2303</v>
      </c>
      <c r="B809">
        <v>0</v>
      </c>
      <c r="C809" t="s">
        <v>261</v>
      </c>
      <c r="D809">
        <v>0</v>
      </c>
      <c r="E809">
        <v>20.2497</v>
      </c>
      <c r="F809">
        <v>10.9965</v>
      </c>
      <c r="G809">
        <v>486564.84</v>
      </c>
      <c r="H809" s="1">
        <v>37836</v>
      </c>
      <c r="I809" s="1">
        <v>37927</v>
      </c>
      <c r="J809" t="s">
        <v>15</v>
      </c>
      <c r="K809">
        <v>0</v>
      </c>
      <c r="L809">
        <v>0</v>
      </c>
      <c r="M809" t="s">
        <v>16</v>
      </c>
      <c r="N809">
        <v>1</v>
      </c>
    </row>
    <row r="810" hidden="1" spans="1:14">
      <c r="A810">
        <v>2962</v>
      </c>
      <c r="B810" t="s">
        <v>262</v>
      </c>
      <c r="C810" t="s">
        <v>261</v>
      </c>
      <c r="D810" t="s">
        <v>263</v>
      </c>
      <c r="E810">
        <v>15.3253</v>
      </c>
      <c r="F810">
        <v>10.3259</v>
      </c>
      <c r="G810">
        <v>768805.99</v>
      </c>
      <c r="H810" s="1">
        <v>38965</v>
      </c>
      <c r="I810" s="1">
        <v>39007</v>
      </c>
      <c r="J810" t="s">
        <v>15</v>
      </c>
      <c r="K810">
        <v>52</v>
      </c>
      <c r="L810">
        <v>20000</v>
      </c>
      <c r="M810" t="s">
        <v>16</v>
      </c>
      <c r="N810">
        <v>1</v>
      </c>
    </row>
    <row r="811" hidden="1" spans="1:14">
      <c r="A811">
        <v>3167</v>
      </c>
      <c r="B811">
        <v>0</v>
      </c>
      <c r="C811" t="s">
        <v>261</v>
      </c>
      <c r="D811">
        <v>0</v>
      </c>
      <c r="E811">
        <v>15.1096</v>
      </c>
      <c r="F811">
        <v>9.6446</v>
      </c>
      <c r="G811">
        <v>23497.35</v>
      </c>
      <c r="H811" s="1">
        <v>39303</v>
      </c>
      <c r="I811" s="1">
        <v>39309</v>
      </c>
      <c r="J811" t="s">
        <v>15</v>
      </c>
      <c r="K811">
        <v>3</v>
      </c>
      <c r="L811">
        <v>3000</v>
      </c>
      <c r="M811" t="s">
        <v>16</v>
      </c>
      <c r="N811">
        <v>1</v>
      </c>
    </row>
    <row r="812" hidden="1" spans="1:14">
      <c r="A812">
        <v>3179</v>
      </c>
      <c r="B812" t="s">
        <v>264</v>
      </c>
      <c r="C812" t="s">
        <v>261</v>
      </c>
      <c r="D812">
        <v>0</v>
      </c>
      <c r="E812">
        <v>19.0494</v>
      </c>
      <c r="F812">
        <v>11.5438</v>
      </c>
      <c r="G812">
        <v>454774.59</v>
      </c>
      <c r="H812" s="1">
        <v>39319</v>
      </c>
      <c r="I812" s="1">
        <v>39356</v>
      </c>
      <c r="J812" t="s">
        <v>15</v>
      </c>
      <c r="K812">
        <v>12</v>
      </c>
      <c r="L812">
        <v>170000</v>
      </c>
      <c r="M812" t="s">
        <v>16</v>
      </c>
      <c r="N812">
        <v>1</v>
      </c>
    </row>
    <row r="813" hidden="1" spans="1:14">
      <c r="A813">
        <v>3348</v>
      </c>
      <c r="B813">
        <v>0</v>
      </c>
      <c r="C813" t="s">
        <v>261</v>
      </c>
      <c r="D813">
        <v>0</v>
      </c>
      <c r="E813">
        <v>15.455</v>
      </c>
      <c r="F813">
        <v>9.28889</v>
      </c>
      <c r="G813">
        <v>178993.91</v>
      </c>
      <c r="H813" s="1">
        <v>39662</v>
      </c>
      <c r="I813" s="1">
        <v>39668</v>
      </c>
      <c r="J813" t="s">
        <v>15</v>
      </c>
      <c r="K813">
        <v>0</v>
      </c>
      <c r="L813">
        <v>0</v>
      </c>
      <c r="M813" t="s">
        <v>64</v>
      </c>
      <c r="N813">
        <v>1</v>
      </c>
    </row>
    <row r="814" hidden="1" spans="1:14">
      <c r="A814">
        <v>3368</v>
      </c>
      <c r="B814" t="s">
        <v>265</v>
      </c>
      <c r="C814" t="s">
        <v>261</v>
      </c>
      <c r="D814">
        <v>0</v>
      </c>
      <c r="E814">
        <v>18.3503</v>
      </c>
      <c r="F814">
        <v>9.2331</v>
      </c>
      <c r="G814">
        <v>61817.44</v>
      </c>
      <c r="H814" s="1">
        <v>39649</v>
      </c>
      <c r="I814" s="1">
        <v>39685</v>
      </c>
      <c r="J814" t="s">
        <v>15</v>
      </c>
      <c r="K814">
        <v>0</v>
      </c>
      <c r="L814">
        <v>200000</v>
      </c>
      <c r="M814" t="s">
        <v>266</v>
      </c>
      <c r="N814">
        <v>1.5</v>
      </c>
    </row>
    <row r="815" hidden="1" spans="1:14">
      <c r="A815">
        <v>3714</v>
      </c>
      <c r="B815">
        <v>0</v>
      </c>
      <c r="C815" t="s">
        <v>261</v>
      </c>
      <c r="D815">
        <v>0</v>
      </c>
      <c r="E815">
        <v>14.625</v>
      </c>
      <c r="F815">
        <v>11.385</v>
      </c>
      <c r="G815">
        <v>38021.99</v>
      </c>
      <c r="H815" s="1">
        <v>40405</v>
      </c>
      <c r="I815" s="1">
        <v>40438</v>
      </c>
      <c r="J815" t="s">
        <v>15</v>
      </c>
      <c r="K815">
        <v>24</v>
      </c>
      <c r="L815">
        <v>70000</v>
      </c>
      <c r="M815" t="s">
        <v>49</v>
      </c>
      <c r="N815">
        <v>1.5</v>
      </c>
    </row>
    <row r="816" hidden="1" spans="1:14">
      <c r="A816">
        <v>3741</v>
      </c>
      <c r="B816">
        <v>0</v>
      </c>
      <c r="C816" t="s">
        <v>261</v>
      </c>
      <c r="D816">
        <v>0</v>
      </c>
      <c r="E816">
        <v>15.21</v>
      </c>
      <c r="F816">
        <v>11.205</v>
      </c>
      <c r="G816">
        <v>8249.26</v>
      </c>
      <c r="H816" s="1">
        <v>40452</v>
      </c>
      <c r="I816" s="1">
        <v>40487</v>
      </c>
      <c r="J816" t="s">
        <v>15</v>
      </c>
      <c r="K816">
        <v>0</v>
      </c>
      <c r="L816">
        <v>0</v>
      </c>
      <c r="M816" t="s">
        <v>49</v>
      </c>
      <c r="N816">
        <v>1.5</v>
      </c>
    </row>
    <row r="817" hidden="1" spans="1:14">
      <c r="A817">
        <v>3995</v>
      </c>
      <c r="C817" t="s">
        <v>261</v>
      </c>
      <c r="E817">
        <v>20.5066</v>
      </c>
      <c r="F817">
        <v>11.0786</v>
      </c>
      <c r="G817">
        <v>86061.68</v>
      </c>
      <c r="H817" s="1">
        <v>41167</v>
      </c>
      <c r="I817" s="1">
        <v>41197</v>
      </c>
      <c r="J817" t="s">
        <v>15</v>
      </c>
      <c r="K817">
        <v>0</v>
      </c>
      <c r="L817">
        <v>17000</v>
      </c>
      <c r="M817" t="s">
        <v>49</v>
      </c>
      <c r="N817">
        <v>1</v>
      </c>
    </row>
    <row r="818" hidden="1" spans="1:14">
      <c r="A818">
        <v>4912</v>
      </c>
      <c r="C818" t="s">
        <v>261</v>
      </c>
      <c r="E818">
        <v>18.0854</v>
      </c>
      <c r="F818">
        <v>9.62794</v>
      </c>
      <c r="G818">
        <v>134488.38</v>
      </c>
      <c r="H818" s="1">
        <v>43941</v>
      </c>
      <c r="I818" s="1">
        <v>43947</v>
      </c>
      <c r="J818" t="s">
        <v>56</v>
      </c>
      <c r="K818">
        <v>0</v>
      </c>
      <c r="L818">
        <v>2062</v>
      </c>
      <c r="M818" t="s">
        <v>49</v>
      </c>
      <c r="N818">
        <v>1</v>
      </c>
    </row>
    <row r="819" hidden="1" spans="1:14">
      <c r="A819">
        <v>4954</v>
      </c>
      <c r="C819" t="s">
        <v>261</v>
      </c>
      <c r="D819" t="s">
        <v>267</v>
      </c>
      <c r="E819">
        <v>14.6461</v>
      </c>
      <c r="F819">
        <v>10.199</v>
      </c>
      <c r="G819">
        <v>107557.64</v>
      </c>
      <c r="H819" s="1">
        <v>44053</v>
      </c>
      <c r="I819" s="1">
        <v>44070</v>
      </c>
      <c r="J819" t="s">
        <v>56</v>
      </c>
      <c r="K819">
        <v>10</v>
      </c>
      <c r="L819">
        <v>38000</v>
      </c>
      <c r="M819" t="s">
        <v>49</v>
      </c>
      <c r="N819">
        <v>2</v>
      </c>
    </row>
    <row r="820" hidden="1" spans="1:14">
      <c r="A820">
        <v>4975</v>
      </c>
      <c r="C820" t="s">
        <v>261</v>
      </c>
      <c r="D820" t="s">
        <v>267</v>
      </c>
      <c r="E820">
        <v>15.1162</v>
      </c>
      <c r="F820">
        <v>11.885</v>
      </c>
      <c r="G820">
        <v>16269.78</v>
      </c>
      <c r="H820" s="1">
        <v>44063</v>
      </c>
      <c r="I820" s="1">
        <v>44144</v>
      </c>
      <c r="J820" t="s">
        <v>56</v>
      </c>
      <c r="K820">
        <v>10</v>
      </c>
      <c r="L820">
        <v>32000</v>
      </c>
      <c r="M820" t="s">
        <v>49</v>
      </c>
      <c r="N820">
        <v>1</v>
      </c>
    </row>
    <row r="821" hidden="1" spans="1:14">
      <c r="A821">
        <v>5124</v>
      </c>
      <c r="C821" t="s">
        <v>261</v>
      </c>
      <c r="E821">
        <v>18.1844</v>
      </c>
      <c r="F821">
        <v>11.7112</v>
      </c>
      <c r="G821">
        <v>414366.31</v>
      </c>
      <c r="H821" s="1">
        <v>44378</v>
      </c>
      <c r="I821" s="1">
        <v>44461</v>
      </c>
      <c r="J821" t="s">
        <v>56</v>
      </c>
      <c r="K821">
        <v>15</v>
      </c>
      <c r="L821">
        <v>160000</v>
      </c>
      <c r="M821" t="s">
        <v>49</v>
      </c>
      <c r="N821">
        <v>1.5</v>
      </c>
    </row>
    <row r="822" hidden="1" spans="1:14">
      <c r="A822">
        <v>1778</v>
      </c>
      <c r="B822">
        <v>0</v>
      </c>
      <c r="C822" t="s">
        <v>268</v>
      </c>
      <c r="D822">
        <v>0</v>
      </c>
      <c r="E822">
        <v>16.2605</v>
      </c>
      <c r="F822">
        <v>9.32666</v>
      </c>
      <c r="G822">
        <v>104251.73</v>
      </c>
      <c r="H822" s="1">
        <v>37122</v>
      </c>
      <c r="I822" s="1">
        <v>37175</v>
      </c>
      <c r="J822" t="s">
        <v>15</v>
      </c>
      <c r="K822">
        <v>100</v>
      </c>
      <c r="L822">
        <v>40000</v>
      </c>
      <c r="M822" t="s">
        <v>18</v>
      </c>
      <c r="N822">
        <v>1</v>
      </c>
    </row>
    <row r="823" hidden="1" spans="1:14">
      <c r="A823">
        <v>311</v>
      </c>
      <c r="B823">
        <v>0</v>
      </c>
      <c r="C823" t="s">
        <v>90</v>
      </c>
      <c r="D823">
        <v>0</v>
      </c>
      <c r="E823">
        <v>-70.6563</v>
      </c>
      <c r="F823">
        <v>-33.4482</v>
      </c>
      <c r="G823">
        <v>10675.38</v>
      </c>
      <c r="H823" s="1">
        <v>32678</v>
      </c>
      <c r="I823" s="1">
        <v>32680</v>
      </c>
      <c r="J823" t="s">
        <v>15</v>
      </c>
      <c r="K823">
        <v>0</v>
      </c>
      <c r="L823">
        <v>0</v>
      </c>
      <c r="M823" t="s">
        <v>16</v>
      </c>
      <c r="N823">
        <v>1</v>
      </c>
    </row>
    <row r="824" hidden="1" spans="1:14">
      <c r="A824">
        <v>526</v>
      </c>
      <c r="B824">
        <v>0</v>
      </c>
      <c r="C824" t="s">
        <v>90</v>
      </c>
      <c r="D824">
        <v>0</v>
      </c>
      <c r="E824">
        <v>-69.9059</v>
      </c>
      <c r="F824">
        <v>-23.4864</v>
      </c>
      <c r="G824">
        <v>15852.58</v>
      </c>
      <c r="H824" s="1">
        <v>33407</v>
      </c>
      <c r="I824" s="1">
        <v>33408</v>
      </c>
      <c r="J824" t="s">
        <v>15</v>
      </c>
      <c r="K824">
        <v>120</v>
      </c>
      <c r="L824">
        <v>30000</v>
      </c>
      <c r="M824" t="s">
        <v>64</v>
      </c>
      <c r="N824">
        <v>1</v>
      </c>
    </row>
    <row r="825" hidden="1" spans="1:14">
      <c r="A825">
        <v>1177</v>
      </c>
      <c r="B825">
        <v>0</v>
      </c>
      <c r="C825" t="s">
        <v>90</v>
      </c>
      <c r="D825">
        <v>0</v>
      </c>
      <c r="E825">
        <v>-69.2465</v>
      </c>
      <c r="F825">
        <v>-22.673</v>
      </c>
      <c r="G825">
        <v>224909.6</v>
      </c>
      <c r="H825" s="1">
        <v>35657</v>
      </c>
      <c r="I825" s="1">
        <v>35661</v>
      </c>
      <c r="J825" t="s">
        <v>15</v>
      </c>
      <c r="K825">
        <v>10</v>
      </c>
      <c r="L825">
        <v>0</v>
      </c>
      <c r="M825" t="s">
        <v>16</v>
      </c>
      <c r="N825">
        <v>1</v>
      </c>
    </row>
    <row r="826" hidden="1" spans="1:14">
      <c r="A826">
        <v>1236</v>
      </c>
      <c r="B826">
        <v>0</v>
      </c>
      <c r="C826" t="s">
        <v>90</v>
      </c>
      <c r="D826">
        <v>0</v>
      </c>
      <c r="E826">
        <v>-71.9148</v>
      </c>
      <c r="F826">
        <v>-36.9193</v>
      </c>
      <c r="G826">
        <v>144383.48</v>
      </c>
      <c r="H826" s="1">
        <v>35591</v>
      </c>
      <c r="I826" s="1">
        <v>35605</v>
      </c>
      <c r="J826" t="s">
        <v>15</v>
      </c>
      <c r="K826">
        <v>20</v>
      </c>
      <c r="L826">
        <v>51000</v>
      </c>
      <c r="M826" t="s">
        <v>16</v>
      </c>
      <c r="N826">
        <v>2</v>
      </c>
    </row>
    <row r="827" hidden="1" spans="1:14">
      <c r="A827">
        <v>1607</v>
      </c>
      <c r="B827">
        <v>0</v>
      </c>
      <c r="C827" t="s">
        <v>90</v>
      </c>
      <c r="D827">
        <v>0</v>
      </c>
      <c r="E827">
        <v>-71.4062</v>
      </c>
      <c r="F827">
        <v>-34.0886</v>
      </c>
      <c r="G827">
        <v>84226.48</v>
      </c>
      <c r="H827" s="1">
        <v>36682</v>
      </c>
      <c r="I827" s="1">
        <v>36693</v>
      </c>
      <c r="J827" t="s">
        <v>15</v>
      </c>
      <c r="K827">
        <v>0</v>
      </c>
      <c r="L827">
        <v>41000</v>
      </c>
      <c r="M827" t="s">
        <v>16</v>
      </c>
      <c r="N827">
        <v>2</v>
      </c>
    </row>
    <row r="828" hidden="1" spans="1:14">
      <c r="A828">
        <v>1932</v>
      </c>
      <c r="B828">
        <v>0</v>
      </c>
      <c r="C828" t="s">
        <v>90</v>
      </c>
      <c r="D828">
        <v>0</v>
      </c>
      <c r="E828">
        <v>-70.1631</v>
      </c>
      <c r="F828">
        <v>-30.1182</v>
      </c>
      <c r="G828">
        <v>166884.09</v>
      </c>
      <c r="H828" s="1">
        <v>37400</v>
      </c>
      <c r="I828" s="1">
        <v>37412</v>
      </c>
      <c r="J828" t="s">
        <v>15</v>
      </c>
      <c r="K828">
        <v>9</v>
      </c>
      <c r="L828">
        <v>50000</v>
      </c>
      <c r="M828" t="s">
        <v>16</v>
      </c>
      <c r="N828">
        <v>2</v>
      </c>
    </row>
    <row r="829" hidden="1" spans="1:14">
      <c r="A829">
        <v>2042</v>
      </c>
      <c r="B829">
        <v>0</v>
      </c>
      <c r="C829" t="s">
        <v>90</v>
      </c>
      <c r="D829">
        <v>0</v>
      </c>
      <c r="E829">
        <v>-72.1311</v>
      </c>
      <c r="F829">
        <v>-35.8628</v>
      </c>
      <c r="G829">
        <v>62183.46</v>
      </c>
      <c r="H829" s="1">
        <v>37492</v>
      </c>
      <c r="I829" s="1">
        <v>37497</v>
      </c>
      <c r="J829" t="s">
        <v>15</v>
      </c>
      <c r="K829">
        <v>2</v>
      </c>
      <c r="L829">
        <v>8000</v>
      </c>
      <c r="M829" t="s">
        <v>16</v>
      </c>
      <c r="N829">
        <v>1</v>
      </c>
    </row>
    <row r="830" hidden="1" spans="1:14">
      <c r="A830">
        <v>2517</v>
      </c>
      <c r="B830">
        <v>0</v>
      </c>
      <c r="C830" t="s">
        <v>90</v>
      </c>
      <c r="D830">
        <v>0</v>
      </c>
      <c r="E830">
        <v>-72.7137</v>
      </c>
      <c r="F830">
        <v>-39.6445</v>
      </c>
      <c r="G830">
        <v>4606.95</v>
      </c>
      <c r="H830" s="1">
        <v>38168</v>
      </c>
      <c r="I830" s="1">
        <v>38169</v>
      </c>
      <c r="J830" t="s">
        <v>15</v>
      </c>
      <c r="K830">
        <v>3</v>
      </c>
      <c r="L830">
        <v>9000</v>
      </c>
      <c r="M830" t="s">
        <v>16</v>
      </c>
      <c r="N830">
        <v>1</v>
      </c>
    </row>
    <row r="831" hidden="1" spans="1:14">
      <c r="A831">
        <v>2679</v>
      </c>
      <c r="B831">
        <v>0</v>
      </c>
      <c r="C831" t="s">
        <v>90</v>
      </c>
      <c r="D831">
        <v>0</v>
      </c>
      <c r="E831">
        <v>-72.76</v>
      </c>
      <c r="F831">
        <v>-36.9575</v>
      </c>
      <c r="G831">
        <v>12209.92</v>
      </c>
      <c r="H831" s="1">
        <v>38529</v>
      </c>
      <c r="I831" s="1">
        <v>38531</v>
      </c>
      <c r="J831" t="s">
        <v>15</v>
      </c>
      <c r="K831">
        <v>5</v>
      </c>
      <c r="L831">
        <v>800</v>
      </c>
      <c r="M831" t="s">
        <v>16</v>
      </c>
      <c r="N831">
        <v>1</v>
      </c>
    </row>
    <row r="832" hidden="1" spans="1:14">
      <c r="A832">
        <v>2920</v>
      </c>
      <c r="B832">
        <v>0</v>
      </c>
      <c r="C832" t="s">
        <v>90</v>
      </c>
      <c r="D832">
        <v>0</v>
      </c>
      <c r="E832">
        <v>-72.642</v>
      </c>
      <c r="F832">
        <v>-37.2588</v>
      </c>
      <c r="G832">
        <v>5035.05</v>
      </c>
      <c r="H832" s="1">
        <v>38909</v>
      </c>
      <c r="I832" s="1">
        <v>38915</v>
      </c>
      <c r="J832" t="s">
        <v>15</v>
      </c>
      <c r="K832">
        <v>15</v>
      </c>
      <c r="L832">
        <v>30000</v>
      </c>
      <c r="M832" t="s">
        <v>16</v>
      </c>
      <c r="N832">
        <v>1</v>
      </c>
    </row>
    <row r="833" hidden="1" spans="1:14">
      <c r="A833">
        <v>3308</v>
      </c>
      <c r="B833" t="s">
        <v>269</v>
      </c>
      <c r="C833" t="s">
        <v>90</v>
      </c>
      <c r="D833">
        <v>0</v>
      </c>
      <c r="E833">
        <v>-71.9498</v>
      </c>
      <c r="F833">
        <v>-35.8586</v>
      </c>
      <c r="G833">
        <v>110526.17</v>
      </c>
      <c r="H833" s="1">
        <v>39587</v>
      </c>
      <c r="I833" s="1">
        <v>39595</v>
      </c>
      <c r="J833" t="s">
        <v>15</v>
      </c>
      <c r="K833">
        <v>4</v>
      </c>
      <c r="L833">
        <v>32000</v>
      </c>
      <c r="M833" t="s">
        <v>16</v>
      </c>
      <c r="N833">
        <v>1</v>
      </c>
    </row>
    <row r="834" hidden="1" spans="1:14">
      <c r="A834">
        <v>3335</v>
      </c>
      <c r="B834" t="s">
        <v>270</v>
      </c>
      <c r="C834" t="s">
        <v>90</v>
      </c>
      <c r="D834">
        <v>0</v>
      </c>
      <c r="E834">
        <v>-71.9359</v>
      </c>
      <c r="F834">
        <v>-39.1167</v>
      </c>
      <c r="G834">
        <v>161604.85</v>
      </c>
      <c r="H834" s="1">
        <v>39649</v>
      </c>
      <c r="I834" s="1">
        <v>39649</v>
      </c>
      <c r="J834" t="s">
        <v>15</v>
      </c>
      <c r="K834">
        <v>0</v>
      </c>
      <c r="L834">
        <v>0</v>
      </c>
      <c r="M834" t="s">
        <v>49</v>
      </c>
      <c r="N834">
        <v>1.5</v>
      </c>
    </row>
    <row r="835" hidden="1" spans="1:14">
      <c r="A835">
        <v>3911</v>
      </c>
      <c r="C835" t="s">
        <v>90</v>
      </c>
      <c r="E835">
        <v>-69.408</v>
      </c>
      <c r="F835">
        <v>-52.8256</v>
      </c>
      <c r="G835">
        <v>88870.6</v>
      </c>
      <c r="H835" s="1">
        <v>40969</v>
      </c>
      <c r="I835" s="1">
        <v>40983</v>
      </c>
      <c r="J835" t="s">
        <v>15</v>
      </c>
      <c r="K835">
        <v>0</v>
      </c>
      <c r="L835">
        <v>1000</v>
      </c>
      <c r="M835" t="s">
        <v>49</v>
      </c>
      <c r="N835">
        <v>1.5</v>
      </c>
    </row>
    <row r="836" hidden="1" spans="1:14">
      <c r="A836">
        <v>4238</v>
      </c>
      <c r="B836" t="s">
        <v>271</v>
      </c>
      <c r="C836" t="s">
        <v>90</v>
      </c>
      <c r="E836">
        <v>-68.888</v>
      </c>
      <c r="F836">
        <v>-22.3617</v>
      </c>
      <c r="G836">
        <v>154773.16</v>
      </c>
      <c r="H836" s="1">
        <v>42088</v>
      </c>
      <c r="I836" s="1">
        <v>42102</v>
      </c>
      <c r="J836" t="s">
        <v>15</v>
      </c>
      <c r="K836">
        <v>27</v>
      </c>
      <c r="L836">
        <v>2514</v>
      </c>
      <c r="M836" t="s">
        <v>49</v>
      </c>
      <c r="N836">
        <v>2</v>
      </c>
    </row>
    <row r="837" hidden="1" spans="1:14">
      <c r="A837">
        <v>4255</v>
      </c>
      <c r="C837" t="s">
        <v>90</v>
      </c>
      <c r="E837">
        <v>-72.9212</v>
      </c>
      <c r="F837">
        <v>-44.1033</v>
      </c>
      <c r="G837">
        <v>224189.77</v>
      </c>
      <c r="H837" s="1">
        <v>42141</v>
      </c>
      <c r="I837" s="1">
        <v>42145</v>
      </c>
      <c r="J837" t="s">
        <v>15</v>
      </c>
      <c r="K837">
        <v>0</v>
      </c>
      <c r="L837">
        <v>100</v>
      </c>
      <c r="M837" t="s">
        <v>49</v>
      </c>
      <c r="N837">
        <v>1.5</v>
      </c>
    </row>
    <row r="838" hidden="1" spans="1:14">
      <c r="A838">
        <v>4445</v>
      </c>
      <c r="C838" t="s">
        <v>90</v>
      </c>
      <c r="E838">
        <v>-70.2489</v>
      </c>
      <c r="F838">
        <v>-30.9395</v>
      </c>
      <c r="G838">
        <v>183781.03</v>
      </c>
      <c r="H838" s="1">
        <v>42790</v>
      </c>
      <c r="I838" s="1">
        <v>42797</v>
      </c>
      <c r="J838" t="s">
        <v>15</v>
      </c>
      <c r="K838">
        <v>3</v>
      </c>
      <c r="L838">
        <v>1200</v>
      </c>
      <c r="M838" t="s">
        <v>49</v>
      </c>
      <c r="N838">
        <v>2</v>
      </c>
    </row>
    <row r="839" hidden="1" spans="1:14">
      <c r="A839">
        <v>4473</v>
      </c>
      <c r="C839" t="s">
        <v>90</v>
      </c>
      <c r="E839">
        <v>-69.952</v>
      </c>
      <c r="F839">
        <v>-27.1217</v>
      </c>
      <c r="G839">
        <v>157698.57</v>
      </c>
      <c r="H839" s="1">
        <v>42866</v>
      </c>
      <c r="I839" s="1">
        <v>42870</v>
      </c>
      <c r="J839" t="s">
        <v>15</v>
      </c>
      <c r="K839">
        <v>2</v>
      </c>
      <c r="L839">
        <v>3000</v>
      </c>
      <c r="M839" t="s">
        <v>49</v>
      </c>
      <c r="N839">
        <v>1.5</v>
      </c>
    </row>
    <row r="840" hidden="1" spans="1:14">
      <c r="A840">
        <v>4487</v>
      </c>
      <c r="C840" t="s">
        <v>90</v>
      </c>
      <c r="E840">
        <v>-70.9912</v>
      </c>
      <c r="F840">
        <v>-33.4188</v>
      </c>
      <c r="G840">
        <v>71430.43</v>
      </c>
      <c r="H840" s="1">
        <v>42900</v>
      </c>
      <c r="I840" s="1">
        <v>42906</v>
      </c>
      <c r="J840" t="s">
        <v>15</v>
      </c>
      <c r="K840">
        <v>4</v>
      </c>
      <c r="L840">
        <v>50</v>
      </c>
      <c r="M840" t="s">
        <v>49</v>
      </c>
      <c r="N840">
        <v>1</v>
      </c>
    </row>
    <row r="841" hidden="1" spans="1:14">
      <c r="A841">
        <v>4726</v>
      </c>
      <c r="C841" t="s">
        <v>90</v>
      </c>
      <c r="D841" t="s">
        <v>174</v>
      </c>
      <c r="E841">
        <v>-69.2454</v>
      </c>
      <c r="F841">
        <v>-21.9649</v>
      </c>
      <c r="G841">
        <v>272110.34</v>
      </c>
      <c r="H841" s="1">
        <v>43491</v>
      </c>
      <c r="I841" s="1">
        <v>43515</v>
      </c>
      <c r="J841" t="s">
        <v>56</v>
      </c>
      <c r="K841">
        <v>6</v>
      </c>
      <c r="L841">
        <v>600</v>
      </c>
      <c r="M841" t="s">
        <v>49</v>
      </c>
      <c r="N841">
        <v>1.5</v>
      </c>
    </row>
    <row r="842" hidden="1" spans="1:14">
      <c r="A842">
        <v>5021</v>
      </c>
      <c r="C842" t="s">
        <v>90</v>
      </c>
      <c r="E842">
        <v>-71.3871</v>
      </c>
      <c r="F842">
        <v>-35.3275</v>
      </c>
      <c r="G842">
        <v>93471.22</v>
      </c>
      <c r="H842" s="1">
        <v>44225</v>
      </c>
      <c r="I842" s="1">
        <v>44230</v>
      </c>
      <c r="J842" t="s">
        <v>56</v>
      </c>
      <c r="K842">
        <v>0</v>
      </c>
      <c r="L842">
        <v>521</v>
      </c>
      <c r="M842" t="s">
        <v>49</v>
      </c>
      <c r="N842">
        <v>1.5</v>
      </c>
    </row>
    <row r="843" hidden="1" spans="1:14">
      <c r="A843">
        <v>5078</v>
      </c>
      <c r="C843" t="s">
        <v>90</v>
      </c>
      <c r="E843">
        <v>-72.2778</v>
      </c>
      <c r="F843">
        <v>-37.8809</v>
      </c>
      <c r="G843">
        <v>18989.67</v>
      </c>
      <c r="H843" s="1">
        <v>44348</v>
      </c>
      <c r="I843" s="1">
        <v>44349</v>
      </c>
      <c r="J843" t="s">
        <v>56</v>
      </c>
      <c r="K843">
        <v>0</v>
      </c>
      <c r="L843">
        <v>36</v>
      </c>
      <c r="M843" t="s">
        <v>52</v>
      </c>
      <c r="N843">
        <v>1.5</v>
      </c>
    </row>
    <row r="844" hidden="1" spans="1:14">
      <c r="A844">
        <v>82</v>
      </c>
      <c r="B844">
        <v>0</v>
      </c>
      <c r="C844" t="s">
        <v>272</v>
      </c>
      <c r="D844">
        <v>0</v>
      </c>
      <c r="E844">
        <v>-71.0406</v>
      </c>
      <c r="F844">
        <v>-33.0922</v>
      </c>
      <c r="G844">
        <v>27913.34</v>
      </c>
      <c r="H844" s="1">
        <v>31559</v>
      </c>
      <c r="I844" s="1">
        <v>31561</v>
      </c>
      <c r="J844" t="s">
        <v>15</v>
      </c>
      <c r="K844">
        <v>8</v>
      </c>
      <c r="L844">
        <v>17000</v>
      </c>
      <c r="M844" t="s">
        <v>64</v>
      </c>
      <c r="N844">
        <v>1</v>
      </c>
    </row>
    <row r="845" hidden="1" spans="1:14">
      <c r="A845">
        <v>86</v>
      </c>
      <c r="B845">
        <v>0</v>
      </c>
      <c r="C845" t="s">
        <v>272</v>
      </c>
      <c r="D845">
        <v>0</v>
      </c>
      <c r="E845">
        <v>-71.0406</v>
      </c>
      <c r="F845">
        <v>-33.0922</v>
      </c>
      <c r="G845">
        <v>27913.34</v>
      </c>
      <c r="H845" s="1">
        <v>31578</v>
      </c>
      <c r="I845" s="1">
        <v>31581</v>
      </c>
      <c r="J845" t="s">
        <v>15</v>
      </c>
      <c r="K845">
        <v>40</v>
      </c>
      <c r="L845">
        <v>45000</v>
      </c>
      <c r="M845" t="s">
        <v>16</v>
      </c>
      <c r="N845">
        <v>1</v>
      </c>
    </row>
    <row r="846" hidden="1" spans="1:14">
      <c r="A846">
        <v>140</v>
      </c>
      <c r="B846">
        <v>0</v>
      </c>
      <c r="C846" t="s">
        <v>272</v>
      </c>
      <c r="D846">
        <v>0</v>
      </c>
      <c r="E846">
        <v>-71.1067</v>
      </c>
      <c r="F846">
        <v>-33.8689</v>
      </c>
      <c r="G846">
        <v>36283.59</v>
      </c>
      <c r="H846" s="1">
        <v>31970</v>
      </c>
      <c r="I846" s="1">
        <v>31976</v>
      </c>
      <c r="J846" t="s">
        <v>15</v>
      </c>
      <c r="K846">
        <v>47</v>
      </c>
      <c r="L846">
        <v>90000</v>
      </c>
      <c r="M846" t="s">
        <v>16</v>
      </c>
      <c r="N846">
        <v>1</v>
      </c>
    </row>
    <row r="847" hidden="1" spans="1:14">
      <c r="A847">
        <v>737</v>
      </c>
      <c r="B847">
        <v>0</v>
      </c>
      <c r="C847" t="s">
        <v>272</v>
      </c>
      <c r="D847">
        <v>0</v>
      </c>
      <c r="E847">
        <v>-71.6121</v>
      </c>
      <c r="F847">
        <v>-33.3854</v>
      </c>
      <c r="G847">
        <v>1261.76</v>
      </c>
      <c r="H847" s="1">
        <v>34092</v>
      </c>
      <c r="I847" s="1">
        <v>34092</v>
      </c>
      <c r="J847" t="s">
        <v>15</v>
      </c>
      <c r="K847">
        <v>21</v>
      </c>
      <c r="L847">
        <v>1225</v>
      </c>
      <c r="M847" t="s">
        <v>16</v>
      </c>
      <c r="N847">
        <v>1</v>
      </c>
    </row>
    <row r="848" hidden="1" spans="1:14">
      <c r="A848">
        <v>17</v>
      </c>
      <c r="B848">
        <v>0</v>
      </c>
      <c r="C848" t="s">
        <v>273</v>
      </c>
      <c r="D848">
        <v>0</v>
      </c>
      <c r="E848">
        <v>127.897</v>
      </c>
      <c r="F848">
        <v>48.0917</v>
      </c>
      <c r="G848">
        <v>300325.08</v>
      </c>
      <c r="H848" s="1">
        <v>31158</v>
      </c>
      <c r="I848" s="1">
        <v>31166</v>
      </c>
      <c r="J848" t="s">
        <v>15</v>
      </c>
      <c r="K848">
        <v>0</v>
      </c>
      <c r="L848">
        <v>200</v>
      </c>
      <c r="M848" t="s">
        <v>48</v>
      </c>
      <c r="N848">
        <v>1</v>
      </c>
    </row>
    <row r="849" hidden="1" spans="1:14">
      <c r="A849">
        <v>21</v>
      </c>
      <c r="B849">
        <v>0</v>
      </c>
      <c r="C849" t="s">
        <v>273</v>
      </c>
      <c r="D849">
        <v>0</v>
      </c>
      <c r="E849">
        <v>109.57</v>
      </c>
      <c r="F849">
        <v>25.6694</v>
      </c>
      <c r="G849">
        <v>458666.21</v>
      </c>
      <c r="H849" s="1">
        <v>31193</v>
      </c>
      <c r="I849" s="1">
        <v>31204</v>
      </c>
      <c r="J849" t="s">
        <v>15</v>
      </c>
      <c r="K849">
        <v>64</v>
      </c>
      <c r="L849">
        <v>10000</v>
      </c>
      <c r="M849" t="s">
        <v>16</v>
      </c>
      <c r="N849">
        <v>2</v>
      </c>
    </row>
    <row r="850" hidden="1" spans="1:14">
      <c r="A850">
        <v>28</v>
      </c>
      <c r="B850">
        <v>0</v>
      </c>
      <c r="C850" t="s">
        <v>273</v>
      </c>
      <c r="D850">
        <v>0</v>
      </c>
      <c r="E850">
        <v>109.974</v>
      </c>
      <c r="F850">
        <v>27.7882</v>
      </c>
      <c r="G850">
        <v>290679.68</v>
      </c>
      <c r="H850" s="1">
        <v>31226</v>
      </c>
      <c r="I850" s="1">
        <v>31238</v>
      </c>
      <c r="J850" t="s">
        <v>15</v>
      </c>
      <c r="K850">
        <v>275</v>
      </c>
      <c r="L850">
        <v>60000</v>
      </c>
      <c r="M850" t="s">
        <v>16</v>
      </c>
      <c r="N850">
        <v>2</v>
      </c>
    </row>
    <row r="851" hidden="1" spans="1:14">
      <c r="A851">
        <v>35</v>
      </c>
      <c r="B851">
        <v>0</v>
      </c>
      <c r="C851" t="s">
        <v>273</v>
      </c>
      <c r="D851">
        <v>0</v>
      </c>
      <c r="E851">
        <v>125.156</v>
      </c>
      <c r="F851">
        <v>42.6953</v>
      </c>
      <c r="G851">
        <v>994498.21</v>
      </c>
      <c r="H851" s="1">
        <v>31248</v>
      </c>
      <c r="I851" s="1">
        <v>31292</v>
      </c>
      <c r="J851" t="s">
        <v>15</v>
      </c>
      <c r="K851">
        <v>200</v>
      </c>
      <c r="L851">
        <v>2000000</v>
      </c>
      <c r="M851" t="s">
        <v>86</v>
      </c>
      <c r="N851">
        <v>2</v>
      </c>
    </row>
    <row r="852" hidden="1" spans="1:14">
      <c r="A852">
        <v>38</v>
      </c>
      <c r="B852">
        <v>0</v>
      </c>
      <c r="C852" t="s">
        <v>273</v>
      </c>
      <c r="D852">
        <v>0</v>
      </c>
      <c r="E852">
        <v>120.376</v>
      </c>
      <c r="F852">
        <v>31.5112</v>
      </c>
      <c r="G852">
        <v>58279.12</v>
      </c>
      <c r="H852" s="1">
        <v>31260</v>
      </c>
      <c r="I852" s="1">
        <v>31261</v>
      </c>
      <c r="J852" t="s">
        <v>15</v>
      </c>
      <c r="K852">
        <v>3</v>
      </c>
      <c r="L852">
        <v>200000</v>
      </c>
      <c r="M852" t="s">
        <v>16</v>
      </c>
      <c r="N852">
        <v>1</v>
      </c>
    </row>
    <row r="853" hidden="1" spans="1:14">
      <c r="A853">
        <v>41</v>
      </c>
      <c r="B853">
        <v>0</v>
      </c>
      <c r="C853" t="s">
        <v>273</v>
      </c>
      <c r="D853">
        <v>0</v>
      </c>
      <c r="E853">
        <v>100.797</v>
      </c>
      <c r="F853">
        <v>23.5255</v>
      </c>
      <c r="G853">
        <v>146691.46</v>
      </c>
      <c r="H853" s="1">
        <v>31265</v>
      </c>
      <c r="I853" s="1">
        <v>31268</v>
      </c>
      <c r="J853" t="s">
        <v>15</v>
      </c>
      <c r="K853">
        <v>283</v>
      </c>
      <c r="L853">
        <v>14000</v>
      </c>
      <c r="M853" t="s">
        <v>16</v>
      </c>
      <c r="N853">
        <v>1</v>
      </c>
    </row>
    <row r="854" hidden="1" spans="1:14">
      <c r="A854">
        <v>44</v>
      </c>
      <c r="B854">
        <v>0</v>
      </c>
      <c r="C854" t="s">
        <v>273</v>
      </c>
      <c r="D854">
        <v>0</v>
      </c>
      <c r="E854">
        <v>111.342</v>
      </c>
      <c r="F854">
        <v>25.3728</v>
      </c>
      <c r="G854">
        <v>38002.65</v>
      </c>
      <c r="H854" s="1">
        <v>31289</v>
      </c>
      <c r="I854" s="1">
        <v>31293</v>
      </c>
      <c r="J854" t="s">
        <v>15</v>
      </c>
      <c r="K854">
        <v>147</v>
      </c>
      <c r="L854">
        <v>0</v>
      </c>
      <c r="M854" t="s">
        <v>86</v>
      </c>
      <c r="N854">
        <v>1</v>
      </c>
    </row>
    <row r="855" hidden="1" spans="1:14">
      <c r="A855">
        <v>45</v>
      </c>
      <c r="B855">
        <v>0</v>
      </c>
      <c r="C855" t="s">
        <v>273</v>
      </c>
      <c r="D855">
        <v>0</v>
      </c>
      <c r="E855">
        <v>109.825</v>
      </c>
      <c r="F855">
        <v>21.6782</v>
      </c>
      <c r="G855">
        <v>49643.62</v>
      </c>
      <c r="H855" s="1">
        <v>31289</v>
      </c>
      <c r="I855" s="1">
        <v>31298</v>
      </c>
      <c r="J855" t="s">
        <v>15</v>
      </c>
      <c r="K855">
        <v>0</v>
      </c>
      <c r="L855">
        <v>200000</v>
      </c>
      <c r="M855" t="s">
        <v>16</v>
      </c>
      <c r="N855">
        <v>1</v>
      </c>
    </row>
    <row r="856" hidden="1" spans="1:14">
      <c r="A856">
        <v>48</v>
      </c>
      <c r="B856">
        <v>0</v>
      </c>
      <c r="C856" t="s">
        <v>273</v>
      </c>
      <c r="D856">
        <v>0</v>
      </c>
      <c r="E856">
        <v>110.542</v>
      </c>
      <c r="F856">
        <v>21.0725</v>
      </c>
      <c r="G856">
        <v>11098.52</v>
      </c>
      <c r="H856" s="1">
        <v>31291</v>
      </c>
      <c r="I856" s="1">
        <v>31294</v>
      </c>
      <c r="J856" t="s">
        <v>15</v>
      </c>
      <c r="K856">
        <v>26</v>
      </c>
      <c r="L856">
        <v>70000</v>
      </c>
      <c r="M856" t="s">
        <v>16</v>
      </c>
      <c r="N856">
        <v>1</v>
      </c>
    </row>
    <row r="857" hidden="1" spans="1:14">
      <c r="A857">
        <v>218</v>
      </c>
      <c r="B857">
        <v>0</v>
      </c>
      <c r="C857" t="s">
        <v>273</v>
      </c>
      <c r="D857">
        <v>0</v>
      </c>
      <c r="E857">
        <v>120.998</v>
      </c>
      <c r="F857">
        <v>30.1638</v>
      </c>
      <c r="G857">
        <v>12334.34</v>
      </c>
      <c r="H857" s="1">
        <v>32362</v>
      </c>
      <c r="I857" s="1">
        <v>32363</v>
      </c>
      <c r="J857" t="s">
        <v>15</v>
      </c>
      <c r="K857">
        <v>117</v>
      </c>
      <c r="L857">
        <v>188000</v>
      </c>
      <c r="M857" t="s">
        <v>86</v>
      </c>
      <c r="N857">
        <v>1</v>
      </c>
    </row>
    <row r="858" hidden="1" spans="1:14">
      <c r="A858">
        <v>252</v>
      </c>
      <c r="B858">
        <v>0</v>
      </c>
      <c r="C858" t="s">
        <v>273</v>
      </c>
      <c r="D858">
        <v>0</v>
      </c>
      <c r="E858">
        <v>118.345</v>
      </c>
      <c r="F858">
        <v>25.7425</v>
      </c>
      <c r="G858">
        <v>100699.46</v>
      </c>
      <c r="H858" s="1">
        <v>32406</v>
      </c>
      <c r="I858" s="1">
        <v>32412</v>
      </c>
      <c r="J858" t="s">
        <v>15</v>
      </c>
      <c r="K858">
        <v>9</v>
      </c>
      <c r="L858">
        <v>51000</v>
      </c>
      <c r="M858" t="s">
        <v>86</v>
      </c>
      <c r="N858">
        <v>1</v>
      </c>
    </row>
    <row r="859" hidden="1" spans="1:14">
      <c r="A859">
        <v>319</v>
      </c>
      <c r="B859">
        <v>0</v>
      </c>
      <c r="C859" t="s">
        <v>273</v>
      </c>
      <c r="D859">
        <v>0</v>
      </c>
      <c r="E859">
        <v>114.154</v>
      </c>
      <c r="F859">
        <v>22.268</v>
      </c>
      <c r="G859">
        <v>1005.64</v>
      </c>
      <c r="H859" s="1">
        <v>32695</v>
      </c>
      <c r="I859" s="1">
        <v>32699</v>
      </c>
      <c r="J859" t="s">
        <v>15</v>
      </c>
      <c r="K859">
        <v>1377</v>
      </c>
      <c r="L859">
        <v>0</v>
      </c>
      <c r="M859" t="s">
        <v>16</v>
      </c>
      <c r="N859">
        <v>1</v>
      </c>
    </row>
    <row r="860" hidden="1" spans="1:14">
      <c r="A860">
        <v>320</v>
      </c>
      <c r="B860">
        <v>0</v>
      </c>
      <c r="C860" t="s">
        <v>273</v>
      </c>
      <c r="D860">
        <v>0</v>
      </c>
      <c r="E860">
        <v>111.727</v>
      </c>
      <c r="F860">
        <v>27.5095</v>
      </c>
      <c r="G860">
        <v>178424.68</v>
      </c>
      <c r="H860" s="1">
        <v>32689</v>
      </c>
      <c r="I860" s="1">
        <v>32709</v>
      </c>
      <c r="J860" t="s">
        <v>15</v>
      </c>
      <c r="K860">
        <v>18</v>
      </c>
      <c r="L860">
        <v>22400</v>
      </c>
      <c r="M860" t="s">
        <v>16</v>
      </c>
      <c r="N860">
        <v>1</v>
      </c>
    </row>
    <row r="861" hidden="1" spans="1:14">
      <c r="A861">
        <v>321</v>
      </c>
      <c r="B861">
        <v>0</v>
      </c>
      <c r="C861" t="s">
        <v>273</v>
      </c>
      <c r="D861">
        <v>0</v>
      </c>
      <c r="E861">
        <v>104.284</v>
      </c>
      <c r="F861">
        <v>30.7561</v>
      </c>
      <c r="G861">
        <v>321489.7</v>
      </c>
      <c r="H861" s="1">
        <v>32700</v>
      </c>
      <c r="I861" s="1">
        <v>32712</v>
      </c>
      <c r="J861" t="s">
        <v>15</v>
      </c>
      <c r="K861">
        <v>814</v>
      </c>
      <c r="L861">
        <v>0</v>
      </c>
      <c r="M861" t="s">
        <v>16</v>
      </c>
      <c r="N861">
        <v>1</v>
      </c>
    </row>
    <row r="862" hidden="1" spans="1:14">
      <c r="A862">
        <v>322</v>
      </c>
      <c r="B862">
        <v>0</v>
      </c>
      <c r="C862" t="s">
        <v>273</v>
      </c>
      <c r="D862">
        <v>0</v>
      </c>
      <c r="E862">
        <v>108.437</v>
      </c>
      <c r="F862">
        <v>23.2505</v>
      </c>
      <c r="G862">
        <v>19169.5</v>
      </c>
      <c r="H862" s="1">
        <v>32696</v>
      </c>
      <c r="I862" s="1">
        <v>32709</v>
      </c>
      <c r="J862" t="s">
        <v>15</v>
      </c>
      <c r="K862">
        <v>50</v>
      </c>
      <c r="L862">
        <v>410000</v>
      </c>
      <c r="M862" t="s">
        <v>16</v>
      </c>
      <c r="N862">
        <v>1</v>
      </c>
    </row>
    <row r="863" hidden="1" spans="1:14">
      <c r="A863">
        <v>324</v>
      </c>
      <c r="B863">
        <v>0</v>
      </c>
      <c r="C863" t="s">
        <v>273</v>
      </c>
      <c r="D863">
        <v>0</v>
      </c>
      <c r="E863">
        <v>106.757</v>
      </c>
      <c r="F863">
        <v>39.1329</v>
      </c>
      <c r="G863">
        <v>207057.18</v>
      </c>
      <c r="H863" s="1">
        <v>32699</v>
      </c>
      <c r="I863" s="1">
        <v>32706</v>
      </c>
      <c r="J863" t="s">
        <v>15</v>
      </c>
      <c r="K863">
        <v>50</v>
      </c>
      <c r="L863">
        <v>48000</v>
      </c>
      <c r="M863" t="s">
        <v>16</v>
      </c>
      <c r="N863">
        <v>1</v>
      </c>
    </row>
    <row r="864" hidden="1" spans="1:14">
      <c r="A864">
        <v>326</v>
      </c>
      <c r="B864">
        <v>0</v>
      </c>
      <c r="C864" t="s">
        <v>273</v>
      </c>
      <c r="D864">
        <v>0</v>
      </c>
      <c r="E864">
        <v>101.941</v>
      </c>
      <c r="F864">
        <v>36.391</v>
      </c>
      <c r="G864">
        <v>8440.7</v>
      </c>
      <c r="H864" s="1">
        <v>32705</v>
      </c>
      <c r="I864" s="1">
        <v>32716</v>
      </c>
      <c r="J864" t="s">
        <v>15</v>
      </c>
      <c r="K864">
        <v>107</v>
      </c>
      <c r="L864">
        <v>1413</v>
      </c>
      <c r="M864" t="s">
        <v>16</v>
      </c>
      <c r="N864">
        <v>1</v>
      </c>
    </row>
    <row r="865" hidden="1" spans="1:14">
      <c r="A865">
        <v>327</v>
      </c>
      <c r="B865">
        <v>0</v>
      </c>
      <c r="C865" t="s">
        <v>273</v>
      </c>
      <c r="D865">
        <v>0</v>
      </c>
      <c r="E865">
        <v>116.927</v>
      </c>
      <c r="F865">
        <v>32.3978</v>
      </c>
      <c r="G865">
        <v>7716.69</v>
      </c>
      <c r="H865" s="1">
        <v>32708</v>
      </c>
      <c r="I865" s="1">
        <v>32716</v>
      </c>
      <c r="J865" t="s">
        <v>15</v>
      </c>
      <c r="K865">
        <v>3</v>
      </c>
      <c r="L865">
        <v>0</v>
      </c>
      <c r="M865" t="s">
        <v>16</v>
      </c>
      <c r="N865">
        <v>1</v>
      </c>
    </row>
    <row r="866" hidden="1" spans="1:14">
      <c r="A866">
        <v>328</v>
      </c>
      <c r="B866">
        <v>0</v>
      </c>
      <c r="C866" t="s">
        <v>273</v>
      </c>
      <c r="D866">
        <v>0</v>
      </c>
      <c r="E866">
        <v>120.795</v>
      </c>
      <c r="F866">
        <v>31.0772</v>
      </c>
      <c r="G866">
        <v>85600.47</v>
      </c>
      <c r="H866" s="1">
        <v>32709</v>
      </c>
      <c r="I866" s="1">
        <v>32714</v>
      </c>
      <c r="J866" t="s">
        <v>15</v>
      </c>
      <c r="K866">
        <v>0</v>
      </c>
      <c r="L866">
        <v>0</v>
      </c>
      <c r="M866" t="s">
        <v>86</v>
      </c>
      <c r="N866">
        <v>1</v>
      </c>
    </row>
    <row r="867" hidden="1" spans="1:14">
      <c r="A867">
        <v>329</v>
      </c>
      <c r="B867">
        <v>0</v>
      </c>
      <c r="C867" t="s">
        <v>273</v>
      </c>
      <c r="D867">
        <v>0</v>
      </c>
      <c r="E867">
        <v>133.028</v>
      </c>
      <c r="F867">
        <v>45.8679</v>
      </c>
      <c r="G867">
        <v>12533.33</v>
      </c>
      <c r="H867" s="1">
        <v>32710</v>
      </c>
      <c r="I867" s="1">
        <v>32720</v>
      </c>
      <c r="J867" t="s">
        <v>15</v>
      </c>
      <c r="K867">
        <v>24</v>
      </c>
      <c r="L867">
        <v>16000</v>
      </c>
      <c r="M867" t="s">
        <v>16</v>
      </c>
      <c r="N867">
        <v>1</v>
      </c>
    </row>
    <row r="868" hidden="1" spans="1:14">
      <c r="A868">
        <v>331</v>
      </c>
      <c r="B868">
        <v>0</v>
      </c>
      <c r="C868" t="s">
        <v>273</v>
      </c>
      <c r="D868">
        <v>0</v>
      </c>
      <c r="E868">
        <v>126.474</v>
      </c>
      <c r="F868">
        <v>43.5586</v>
      </c>
      <c r="G868">
        <v>192272.12</v>
      </c>
      <c r="H868" s="1">
        <v>32707</v>
      </c>
      <c r="I868" s="1">
        <v>32715</v>
      </c>
      <c r="J868" t="s">
        <v>15</v>
      </c>
      <c r="K868">
        <v>63</v>
      </c>
      <c r="L868">
        <v>0</v>
      </c>
      <c r="M868" t="s">
        <v>23</v>
      </c>
      <c r="N868">
        <v>1</v>
      </c>
    </row>
    <row r="869" hidden="1" spans="1:14">
      <c r="A869">
        <v>336</v>
      </c>
      <c r="B869">
        <v>0</v>
      </c>
      <c r="C869" t="s">
        <v>273</v>
      </c>
      <c r="D869">
        <v>0</v>
      </c>
      <c r="E869">
        <v>107.277</v>
      </c>
      <c r="F869">
        <v>30.2798</v>
      </c>
      <c r="G869">
        <v>70236.67</v>
      </c>
      <c r="H869" s="1">
        <v>32716</v>
      </c>
      <c r="I869" s="1">
        <v>32771</v>
      </c>
      <c r="J869" t="s">
        <v>15</v>
      </c>
      <c r="K869">
        <v>3000</v>
      </c>
      <c r="L869">
        <v>0</v>
      </c>
      <c r="M869" t="s">
        <v>16</v>
      </c>
      <c r="N869">
        <v>1</v>
      </c>
    </row>
    <row r="870" hidden="1" spans="1:14">
      <c r="A870">
        <v>339</v>
      </c>
      <c r="B870">
        <v>0</v>
      </c>
      <c r="C870" t="s">
        <v>273</v>
      </c>
      <c r="D870">
        <v>0</v>
      </c>
      <c r="E870">
        <v>119.575</v>
      </c>
      <c r="F870">
        <v>27.3487</v>
      </c>
      <c r="G870">
        <v>215082.72</v>
      </c>
      <c r="H870" s="1">
        <v>32709</v>
      </c>
      <c r="I870" s="1">
        <v>32718</v>
      </c>
      <c r="J870" t="s">
        <v>15</v>
      </c>
      <c r="K870">
        <v>104</v>
      </c>
      <c r="L870">
        <v>20000</v>
      </c>
      <c r="M870" t="s">
        <v>86</v>
      </c>
      <c r="N870">
        <v>1</v>
      </c>
    </row>
    <row r="871" hidden="1" spans="1:14">
      <c r="A871">
        <v>305</v>
      </c>
      <c r="B871">
        <v>0</v>
      </c>
      <c r="C871" t="s">
        <v>273</v>
      </c>
      <c r="D871">
        <v>0</v>
      </c>
      <c r="E871">
        <v>113.706</v>
      </c>
      <c r="F871">
        <v>22.8759</v>
      </c>
      <c r="G871">
        <v>90099.34</v>
      </c>
      <c r="H871" s="1">
        <v>32649</v>
      </c>
      <c r="I871" s="1">
        <v>32664</v>
      </c>
      <c r="J871" t="s">
        <v>15</v>
      </c>
      <c r="K871">
        <v>84</v>
      </c>
      <c r="L871">
        <v>1000000</v>
      </c>
      <c r="M871" t="s">
        <v>86</v>
      </c>
      <c r="N871">
        <v>1</v>
      </c>
    </row>
    <row r="872" hidden="1" spans="1:14">
      <c r="A872">
        <v>309</v>
      </c>
      <c r="B872">
        <v>0</v>
      </c>
      <c r="C872" t="s">
        <v>273</v>
      </c>
      <c r="D872">
        <v>0</v>
      </c>
      <c r="E872">
        <v>96.0144</v>
      </c>
      <c r="F872">
        <v>34.5846</v>
      </c>
      <c r="G872">
        <v>122520.03</v>
      </c>
      <c r="H872" s="1">
        <v>32674</v>
      </c>
      <c r="I872" s="1">
        <v>32689</v>
      </c>
      <c r="J872" t="s">
        <v>15</v>
      </c>
      <c r="K872">
        <v>3</v>
      </c>
      <c r="L872">
        <v>0</v>
      </c>
      <c r="M872" t="s">
        <v>16</v>
      </c>
      <c r="N872">
        <v>1</v>
      </c>
    </row>
    <row r="873" hidden="1" spans="1:14">
      <c r="A873">
        <v>314</v>
      </c>
      <c r="B873">
        <v>0</v>
      </c>
      <c r="C873" t="s">
        <v>273</v>
      </c>
      <c r="D873">
        <v>0</v>
      </c>
      <c r="E873">
        <v>107.033</v>
      </c>
      <c r="F873">
        <v>24.8295</v>
      </c>
      <c r="G873">
        <v>8667.86</v>
      </c>
      <c r="H873" s="1">
        <v>32680</v>
      </c>
      <c r="I873" s="1">
        <v>32689</v>
      </c>
      <c r="J873" t="s">
        <v>15</v>
      </c>
      <c r="K873">
        <v>28</v>
      </c>
      <c r="L873">
        <v>0</v>
      </c>
      <c r="M873" t="s">
        <v>16</v>
      </c>
      <c r="N873">
        <v>1</v>
      </c>
    </row>
    <row r="874" hidden="1" spans="1:14">
      <c r="A874">
        <v>317</v>
      </c>
      <c r="B874">
        <v>0</v>
      </c>
      <c r="C874" t="s">
        <v>273</v>
      </c>
      <c r="D874">
        <v>0</v>
      </c>
      <c r="E874">
        <v>119.4</v>
      </c>
      <c r="F874">
        <v>29.0801</v>
      </c>
      <c r="G874">
        <v>4578.7</v>
      </c>
      <c r="H874" s="1">
        <v>32692</v>
      </c>
      <c r="I874" s="1">
        <v>32696</v>
      </c>
      <c r="J874" t="s">
        <v>15</v>
      </c>
      <c r="K874">
        <v>38</v>
      </c>
      <c r="L874">
        <v>30000</v>
      </c>
      <c r="M874" t="s">
        <v>16</v>
      </c>
      <c r="N874">
        <v>1</v>
      </c>
    </row>
    <row r="875" hidden="1" spans="1:14">
      <c r="A875">
        <v>373</v>
      </c>
      <c r="B875">
        <v>0</v>
      </c>
      <c r="C875" t="s">
        <v>273</v>
      </c>
      <c r="D875">
        <v>0</v>
      </c>
      <c r="E875">
        <v>109.987</v>
      </c>
      <c r="F875">
        <v>19.1458</v>
      </c>
      <c r="G875">
        <v>18207.4</v>
      </c>
      <c r="H875" s="1">
        <v>32783</v>
      </c>
      <c r="I875" s="1">
        <v>32786</v>
      </c>
      <c r="J875" t="s">
        <v>15</v>
      </c>
      <c r="K875">
        <v>31</v>
      </c>
      <c r="L875">
        <v>0</v>
      </c>
      <c r="M875" t="s">
        <v>86</v>
      </c>
      <c r="N875">
        <v>1</v>
      </c>
    </row>
    <row r="876" hidden="1" spans="1:14">
      <c r="A876">
        <v>417</v>
      </c>
      <c r="B876">
        <v>0</v>
      </c>
      <c r="C876" t="s">
        <v>273</v>
      </c>
      <c r="D876">
        <v>0</v>
      </c>
      <c r="E876">
        <v>111.788</v>
      </c>
      <c r="F876">
        <v>27.4176</v>
      </c>
      <c r="G876">
        <v>206490.33</v>
      </c>
      <c r="H876" s="1">
        <v>33029</v>
      </c>
      <c r="I876" s="1">
        <v>33056</v>
      </c>
      <c r="J876" t="s">
        <v>15</v>
      </c>
      <c r="K876">
        <v>363</v>
      </c>
      <c r="L876">
        <v>350000</v>
      </c>
      <c r="M876" t="s">
        <v>16</v>
      </c>
      <c r="N876">
        <v>1</v>
      </c>
    </row>
    <row r="877" hidden="1" spans="1:14">
      <c r="A877">
        <v>423</v>
      </c>
      <c r="B877">
        <v>0</v>
      </c>
      <c r="C877" t="s">
        <v>273</v>
      </c>
      <c r="D877">
        <v>0</v>
      </c>
      <c r="E877">
        <v>101.857</v>
      </c>
      <c r="F877">
        <v>24.7683</v>
      </c>
      <c r="G877">
        <v>340844.67</v>
      </c>
      <c r="H877" s="1">
        <v>33042</v>
      </c>
      <c r="I877" s="1">
        <v>33046</v>
      </c>
      <c r="J877" t="s">
        <v>15</v>
      </c>
      <c r="K877">
        <v>108</v>
      </c>
      <c r="L877">
        <v>4000</v>
      </c>
      <c r="M877" t="s">
        <v>16</v>
      </c>
      <c r="N877">
        <v>1</v>
      </c>
    </row>
    <row r="878" hidden="1" spans="1:14">
      <c r="A878">
        <v>426</v>
      </c>
      <c r="B878">
        <v>0</v>
      </c>
      <c r="C878" t="s">
        <v>273</v>
      </c>
      <c r="D878">
        <v>0</v>
      </c>
      <c r="E878">
        <v>117.867</v>
      </c>
      <c r="F878">
        <v>25.6948</v>
      </c>
      <c r="G878">
        <v>377866.61</v>
      </c>
      <c r="H878" s="1">
        <v>33047</v>
      </c>
      <c r="I878" s="1">
        <v>33053</v>
      </c>
      <c r="J878" t="s">
        <v>15</v>
      </c>
      <c r="K878">
        <v>86</v>
      </c>
      <c r="L878">
        <v>0</v>
      </c>
      <c r="M878" t="s">
        <v>86</v>
      </c>
      <c r="N878">
        <v>1</v>
      </c>
    </row>
    <row r="879" hidden="1" spans="1:14">
      <c r="A879">
        <v>433</v>
      </c>
      <c r="B879">
        <v>0</v>
      </c>
      <c r="C879" t="s">
        <v>273</v>
      </c>
      <c r="D879">
        <v>0</v>
      </c>
      <c r="E879">
        <v>106.436</v>
      </c>
      <c r="F879">
        <v>32.2032</v>
      </c>
      <c r="G879">
        <v>438797.07</v>
      </c>
      <c r="H879" s="1">
        <v>33058</v>
      </c>
      <c r="I879" s="1">
        <v>33073</v>
      </c>
      <c r="J879" t="s">
        <v>15</v>
      </c>
      <c r="K879">
        <v>72</v>
      </c>
      <c r="L879">
        <v>71000</v>
      </c>
      <c r="M879" t="s">
        <v>16</v>
      </c>
      <c r="N879">
        <v>1</v>
      </c>
    </row>
    <row r="880" hidden="1" spans="1:14">
      <c r="A880">
        <v>441</v>
      </c>
      <c r="B880">
        <v>0</v>
      </c>
      <c r="C880" t="s">
        <v>273</v>
      </c>
      <c r="D880">
        <v>0</v>
      </c>
      <c r="E880">
        <v>115.015</v>
      </c>
      <c r="F880">
        <v>24.2973</v>
      </c>
      <c r="G880">
        <v>292874.78</v>
      </c>
      <c r="H880" s="1">
        <v>33083</v>
      </c>
      <c r="I880" s="1">
        <v>33089</v>
      </c>
      <c r="J880" t="s">
        <v>15</v>
      </c>
      <c r="K880">
        <v>108</v>
      </c>
      <c r="L880">
        <v>100800</v>
      </c>
      <c r="M880" t="s">
        <v>86</v>
      </c>
      <c r="N880">
        <v>1</v>
      </c>
    </row>
    <row r="881" hidden="1" spans="1:14">
      <c r="A881">
        <v>449</v>
      </c>
      <c r="B881">
        <v>0</v>
      </c>
      <c r="C881" t="s">
        <v>273</v>
      </c>
      <c r="D881">
        <v>0</v>
      </c>
      <c r="E881">
        <v>118.563</v>
      </c>
      <c r="F881">
        <v>29.3795</v>
      </c>
      <c r="G881">
        <v>457815</v>
      </c>
      <c r="H881" s="1">
        <v>33104</v>
      </c>
      <c r="I881" s="1">
        <v>33124</v>
      </c>
      <c r="J881" t="s">
        <v>15</v>
      </c>
      <c r="K881">
        <v>559</v>
      </c>
      <c r="L881">
        <v>4041000</v>
      </c>
      <c r="M881" t="s">
        <v>86</v>
      </c>
      <c r="N881">
        <v>1</v>
      </c>
    </row>
    <row r="882" hidden="1" spans="1:14">
      <c r="A882">
        <v>513</v>
      </c>
      <c r="B882">
        <v>0</v>
      </c>
      <c r="C882" t="s">
        <v>273</v>
      </c>
      <c r="D882">
        <v>0</v>
      </c>
      <c r="E882">
        <v>110.256</v>
      </c>
      <c r="F882">
        <v>28.7346</v>
      </c>
      <c r="G882">
        <v>1682864.93</v>
      </c>
      <c r="H882" s="1">
        <v>33376</v>
      </c>
      <c r="I882" s="1">
        <v>33404</v>
      </c>
      <c r="J882" t="s">
        <v>15</v>
      </c>
      <c r="K882">
        <v>400</v>
      </c>
      <c r="L882">
        <v>600000</v>
      </c>
      <c r="M882" t="s">
        <v>16</v>
      </c>
      <c r="N882">
        <v>2</v>
      </c>
    </row>
    <row r="883" hidden="1" spans="1:14">
      <c r="A883">
        <v>524</v>
      </c>
      <c r="B883">
        <v>0</v>
      </c>
      <c r="C883" t="s">
        <v>273</v>
      </c>
      <c r="D883">
        <v>0</v>
      </c>
      <c r="E883">
        <v>116.436</v>
      </c>
      <c r="F883">
        <v>40.2125</v>
      </c>
      <c r="G883">
        <v>19050.23</v>
      </c>
      <c r="H883" s="1">
        <v>33401</v>
      </c>
      <c r="I883" s="1">
        <v>33403</v>
      </c>
      <c r="J883" t="s">
        <v>15</v>
      </c>
      <c r="K883">
        <v>22</v>
      </c>
      <c r="L883">
        <v>4000</v>
      </c>
      <c r="M883" t="s">
        <v>16</v>
      </c>
      <c r="N883">
        <v>2</v>
      </c>
    </row>
    <row r="884" hidden="1" spans="1:14">
      <c r="A884">
        <v>528</v>
      </c>
      <c r="B884">
        <v>0</v>
      </c>
      <c r="C884" t="s">
        <v>273</v>
      </c>
      <c r="D884">
        <v>0</v>
      </c>
      <c r="E884">
        <v>106.342</v>
      </c>
      <c r="F884">
        <v>29.1481</v>
      </c>
      <c r="G884">
        <v>589049.52</v>
      </c>
      <c r="H884" s="1">
        <v>33420</v>
      </c>
      <c r="I884" s="1">
        <v>33437</v>
      </c>
      <c r="J884" t="s">
        <v>15</v>
      </c>
      <c r="K884">
        <v>750</v>
      </c>
      <c r="L884">
        <v>615000</v>
      </c>
      <c r="M884" t="s">
        <v>16</v>
      </c>
      <c r="N884">
        <v>1</v>
      </c>
    </row>
    <row r="885" hidden="1" spans="1:14">
      <c r="A885">
        <v>529</v>
      </c>
      <c r="B885">
        <v>0</v>
      </c>
      <c r="C885" t="s">
        <v>273</v>
      </c>
      <c r="D885">
        <v>0</v>
      </c>
      <c r="E885">
        <v>120.241</v>
      </c>
      <c r="F885">
        <v>30.1818</v>
      </c>
      <c r="G885">
        <v>32703.63</v>
      </c>
      <c r="H885" s="1">
        <v>33420</v>
      </c>
      <c r="I885" s="1">
        <v>33428</v>
      </c>
      <c r="J885" t="s">
        <v>15</v>
      </c>
      <c r="K885">
        <v>0</v>
      </c>
      <c r="L885">
        <v>0</v>
      </c>
      <c r="M885" t="s">
        <v>16</v>
      </c>
      <c r="N885">
        <v>1</v>
      </c>
    </row>
    <row r="886" hidden="1" spans="1:14">
      <c r="A886">
        <v>530</v>
      </c>
      <c r="B886">
        <v>0</v>
      </c>
      <c r="C886" t="s">
        <v>273</v>
      </c>
      <c r="D886">
        <v>0</v>
      </c>
      <c r="E886">
        <v>111.681</v>
      </c>
      <c r="F886">
        <v>28.1527</v>
      </c>
      <c r="G886">
        <v>134660.58</v>
      </c>
      <c r="H886" s="1">
        <v>33421</v>
      </c>
      <c r="I886" s="1">
        <v>33437</v>
      </c>
      <c r="J886" t="s">
        <v>15</v>
      </c>
      <c r="K886">
        <v>101</v>
      </c>
      <c r="L886">
        <v>160000</v>
      </c>
      <c r="M886" t="s">
        <v>16</v>
      </c>
      <c r="N886">
        <v>1</v>
      </c>
    </row>
    <row r="887" hidden="1" spans="1:14">
      <c r="A887">
        <v>545</v>
      </c>
      <c r="B887">
        <v>0</v>
      </c>
      <c r="C887" t="s">
        <v>273</v>
      </c>
      <c r="D887">
        <v>0</v>
      </c>
      <c r="E887">
        <v>120.096</v>
      </c>
      <c r="F887">
        <v>36.338</v>
      </c>
      <c r="G887">
        <v>94812.45</v>
      </c>
      <c r="H887" s="1">
        <v>33438</v>
      </c>
      <c r="I887" s="1">
        <v>33439</v>
      </c>
      <c r="J887" t="s">
        <v>15</v>
      </c>
      <c r="K887">
        <v>8</v>
      </c>
      <c r="L887">
        <v>0</v>
      </c>
      <c r="M887" t="s">
        <v>16</v>
      </c>
      <c r="N887">
        <v>1</v>
      </c>
    </row>
    <row r="888" hidden="1" spans="1:14">
      <c r="A888">
        <v>548</v>
      </c>
      <c r="B888">
        <v>0</v>
      </c>
      <c r="C888" t="s">
        <v>273</v>
      </c>
      <c r="D888">
        <v>0</v>
      </c>
      <c r="E888">
        <v>126.941</v>
      </c>
      <c r="F888">
        <v>44.8909</v>
      </c>
      <c r="G888">
        <v>508812.74</v>
      </c>
      <c r="H888" s="1">
        <v>33442</v>
      </c>
      <c r="I888" s="1">
        <v>33453</v>
      </c>
      <c r="J888" t="s">
        <v>15</v>
      </c>
      <c r="K888">
        <v>66</v>
      </c>
      <c r="L888">
        <v>160000</v>
      </c>
      <c r="M888" t="s">
        <v>86</v>
      </c>
      <c r="N888">
        <v>1</v>
      </c>
    </row>
    <row r="889" hidden="1" spans="1:14">
      <c r="A889">
        <v>562</v>
      </c>
      <c r="B889">
        <v>0</v>
      </c>
      <c r="C889" t="s">
        <v>273</v>
      </c>
      <c r="D889">
        <v>0</v>
      </c>
      <c r="E889">
        <v>121.424</v>
      </c>
      <c r="F889">
        <v>31.093</v>
      </c>
      <c r="G889">
        <v>4350.28</v>
      </c>
      <c r="H889" s="1">
        <v>33458</v>
      </c>
      <c r="I889" s="1">
        <v>33459</v>
      </c>
      <c r="J889" t="s">
        <v>15</v>
      </c>
      <c r="K889">
        <v>16</v>
      </c>
      <c r="L889">
        <v>20000</v>
      </c>
      <c r="M889" t="s">
        <v>64</v>
      </c>
      <c r="N889">
        <v>1</v>
      </c>
    </row>
    <row r="890" hidden="1" spans="1:14">
      <c r="A890">
        <v>564</v>
      </c>
      <c r="B890">
        <v>0</v>
      </c>
      <c r="C890" t="s">
        <v>273</v>
      </c>
      <c r="D890">
        <v>0</v>
      </c>
      <c r="E890">
        <v>103.821</v>
      </c>
      <c r="F890">
        <v>30.0516</v>
      </c>
      <c r="G890">
        <v>554217.86</v>
      </c>
      <c r="H890" s="1">
        <v>33459</v>
      </c>
      <c r="I890" s="1">
        <v>33462</v>
      </c>
      <c r="J890" t="s">
        <v>15</v>
      </c>
      <c r="K890">
        <v>456</v>
      </c>
      <c r="L890">
        <v>0</v>
      </c>
      <c r="M890" t="s">
        <v>16</v>
      </c>
      <c r="N890">
        <v>1</v>
      </c>
    </row>
    <row r="891" hidden="1" spans="1:14">
      <c r="A891">
        <v>634</v>
      </c>
      <c r="B891">
        <v>0</v>
      </c>
      <c r="C891" t="s">
        <v>273</v>
      </c>
      <c r="D891">
        <v>0</v>
      </c>
      <c r="E891">
        <v>113.878</v>
      </c>
      <c r="F891">
        <v>25.1128</v>
      </c>
      <c r="G891">
        <v>545359.27</v>
      </c>
      <c r="H891" s="1">
        <v>33678</v>
      </c>
      <c r="I891" s="1">
        <v>33717</v>
      </c>
      <c r="J891" t="s">
        <v>15</v>
      </c>
      <c r="K891">
        <v>248</v>
      </c>
      <c r="L891">
        <v>210000</v>
      </c>
      <c r="M891" t="s">
        <v>16</v>
      </c>
      <c r="N891">
        <v>2</v>
      </c>
    </row>
    <row r="892" hidden="1" spans="1:14">
      <c r="A892">
        <v>635</v>
      </c>
      <c r="B892">
        <v>0</v>
      </c>
      <c r="C892" t="s">
        <v>273</v>
      </c>
      <c r="D892">
        <v>0</v>
      </c>
      <c r="E892">
        <v>105.41</v>
      </c>
      <c r="F892">
        <v>28.7729</v>
      </c>
      <c r="G892">
        <v>542309.51</v>
      </c>
      <c r="H892" s="1">
        <v>33678</v>
      </c>
      <c r="I892" s="1">
        <v>33726</v>
      </c>
      <c r="J892" t="s">
        <v>15</v>
      </c>
      <c r="K892">
        <v>59</v>
      </c>
      <c r="L892">
        <v>0</v>
      </c>
      <c r="M892" t="s">
        <v>16</v>
      </c>
      <c r="N892">
        <v>1</v>
      </c>
    </row>
    <row r="893" hidden="1" spans="1:14">
      <c r="A893">
        <v>640</v>
      </c>
      <c r="B893">
        <v>0</v>
      </c>
      <c r="C893" t="s">
        <v>273</v>
      </c>
      <c r="D893">
        <v>0</v>
      </c>
      <c r="E893">
        <v>114.116</v>
      </c>
      <c r="F893">
        <v>22.3716</v>
      </c>
      <c r="G893">
        <v>1370.59</v>
      </c>
      <c r="H893" s="1">
        <v>33695</v>
      </c>
      <c r="I893" s="1">
        <v>33732</v>
      </c>
      <c r="J893" t="s">
        <v>15</v>
      </c>
      <c r="K893">
        <v>5</v>
      </c>
      <c r="L893">
        <v>3000</v>
      </c>
      <c r="M893" t="s">
        <v>16</v>
      </c>
      <c r="N893">
        <v>2</v>
      </c>
    </row>
    <row r="894" hidden="1" spans="1:14">
      <c r="A894">
        <v>653</v>
      </c>
      <c r="B894">
        <v>0</v>
      </c>
      <c r="C894" t="s">
        <v>273</v>
      </c>
      <c r="D894">
        <v>0</v>
      </c>
      <c r="E894">
        <v>105.471</v>
      </c>
      <c r="F894">
        <v>27.9919</v>
      </c>
      <c r="G894">
        <v>491147.38</v>
      </c>
      <c r="H894" s="1">
        <v>33767</v>
      </c>
      <c r="I894" s="1">
        <v>33817</v>
      </c>
      <c r="J894" t="s">
        <v>15</v>
      </c>
      <c r="K894">
        <v>93</v>
      </c>
      <c r="L894">
        <v>120000</v>
      </c>
      <c r="M894" t="s">
        <v>16</v>
      </c>
      <c r="N894">
        <v>1</v>
      </c>
    </row>
    <row r="895" hidden="1" spans="1:14">
      <c r="A895">
        <v>654</v>
      </c>
      <c r="B895">
        <v>0</v>
      </c>
      <c r="C895" t="s">
        <v>273</v>
      </c>
      <c r="D895">
        <v>0</v>
      </c>
      <c r="E895">
        <v>114.131</v>
      </c>
      <c r="F895">
        <v>22.3793</v>
      </c>
      <c r="G895">
        <v>1232.76</v>
      </c>
      <c r="H895" s="1">
        <v>33768</v>
      </c>
      <c r="I895" s="1">
        <v>33770</v>
      </c>
      <c r="J895" t="s">
        <v>15</v>
      </c>
      <c r="K895">
        <v>0</v>
      </c>
      <c r="L895">
        <v>31</v>
      </c>
      <c r="M895" t="s">
        <v>16</v>
      </c>
      <c r="N895">
        <v>1</v>
      </c>
    </row>
    <row r="896" hidden="1" spans="1:14">
      <c r="A896">
        <v>660</v>
      </c>
      <c r="B896">
        <v>0</v>
      </c>
      <c r="C896" t="s">
        <v>273</v>
      </c>
      <c r="D896">
        <v>0</v>
      </c>
      <c r="E896">
        <v>119.18</v>
      </c>
      <c r="F896">
        <v>27.3793</v>
      </c>
      <c r="G896">
        <v>392988.45</v>
      </c>
      <c r="H896" s="1">
        <v>33784</v>
      </c>
      <c r="I896" s="1">
        <v>33799</v>
      </c>
      <c r="J896" t="s">
        <v>15</v>
      </c>
      <c r="K896">
        <v>228</v>
      </c>
      <c r="L896">
        <v>172000</v>
      </c>
      <c r="M896" t="s">
        <v>16</v>
      </c>
      <c r="N896">
        <v>2</v>
      </c>
    </row>
    <row r="897" hidden="1" spans="1:14">
      <c r="A897">
        <v>663</v>
      </c>
      <c r="B897">
        <v>0</v>
      </c>
      <c r="C897" t="s">
        <v>273</v>
      </c>
      <c r="D897">
        <v>0</v>
      </c>
      <c r="E897">
        <v>110.295</v>
      </c>
      <c r="F897">
        <v>25.3272</v>
      </c>
      <c r="G897">
        <v>12868.25</v>
      </c>
      <c r="H897" s="1">
        <v>33787</v>
      </c>
      <c r="I897" s="1">
        <v>33790</v>
      </c>
      <c r="J897" t="s">
        <v>15</v>
      </c>
      <c r="K897">
        <v>0</v>
      </c>
      <c r="L897">
        <v>0</v>
      </c>
      <c r="M897" t="s">
        <v>16</v>
      </c>
      <c r="N897">
        <v>2</v>
      </c>
    </row>
    <row r="898" hidden="1" spans="1:14">
      <c r="A898">
        <v>664</v>
      </c>
      <c r="B898">
        <v>0</v>
      </c>
      <c r="C898" t="s">
        <v>273</v>
      </c>
      <c r="D898">
        <v>0</v>
      </c>
      <c r="E898">
        <v>112.615</v>
      </c>
      <c r="F898">
        <v>28.5125</v>
      </c>
      <c r="G898">
        <v>65829.37</v>
      </c>
      <c r="H898" s="1">
        <v>33787</v>
      </c>
      <c r="I898" s="1">
        <v>33806</v>
      </c>
      <c r="J898" t="s">
        <v>15</v>
      </c>
      <c r="K898">
        <v>96</v>
      </c>
      <c r="L898">
        <v>254472</v>
      </c>
      <c r="M898" t="s">
        <v>16</v>
      </c>
      <c r="N898">
        <v>2</v>
      </c>
    </row>
    <row r="899" hidden="1" spans="1:14">
      <c r="A899">
        <v>671</v>
      </c>
      <c r="B899">
        <v>0</v>
      </c>
      <c r="C899" t="s">
        <v>273</v>
      </c>
      <c r="D899">
        <v>0</v>
      </c>
      <c r="E899">
        <v>111.673</v>
      </c>
      <c r="F899">
        <v>22.2644</v>
      </c>
      <c r="G899">
        <v>74669.12</v>
      </c>
      <c r="H899" s="1">
        <v>33807</v>
      </c>
      <c r="I899" s="1">
        <v>33808</v>
      </c>
      <c r="J899" t="s">
        <v>15</v>
      </c>
      <c r="K899">
        <v>1</v>
      </c>
      <c r="L899">
        <v>0</v>
      </c>
      <c r="M899" t="s">
        <v>86</v>
      </c>
      <c r="N899">
        <v>1</v>
      </c>
    </row>
    <row r="900" hidden="1" spans="1:14">
      <c r="A900">
        <v>674</v>
      </c>
      <c r="B900">
        <v>0</v>
      </c>
      <c r="C900" t="s">
        <v>273</v>
      </c>
      <c r="D900">
        <v>0</v>
      </c>
      <c r="E900">
        <v>105.08</v>
      </c>
      <c r="F900">
        <v>35.8327</v>
      </c>
      <c r="G900">
        <v>432937.01</v>
      </c>
      <c r="H900" s="1">
        <v>33817</v>
      </c>
      <c r="I900" s="1">
        <v>33836</v>
      </c>
      <c r="J900" t="s">
        <v>15</v>
      </c>
      <c r="K900">
        <v>111</v>
      </c>
      <c r="L900">
        <v>0</v>
      </c>
      <c r="M900" t="s">
        <v>16</v>
      </c>
      <c r="N900">
        <v>1</v>
      </c>
    </row>
    <row r="901" hidden="1" spans="1:14">
      <c r="A901">
        <v>681</v>
      </c>
      <c r="B901">
        <v>0</v>
      </c>
      <c r="C901" t="s">
        <v>273</v>
      </c>
      <c r="D901">
        <v>0</v>
      </c>
      <c r="E901">
        <v>115.901</v>
      </c>
      <c r="F901">
        <v>23.6313</v>
      </c>
      <c r="G901">
        <v>33606.68</v>
      </c>
      <c r="H901" s="1">
        <v>33832</v>
      </c>
      <c r="I901" s="1">
        <v>33838</v>
      </c>
      <c r="J901" t="s">
        <v>15</v>
      </c>
      <c r="K901">
        <v>6</v>
      </c>
      <c r="L901">
        <v>0</v>
      </c>
      <c r="M901" t="s">
        <v>86</v>
      </c>
      <c r="N901">
        <v>1</v>
      </c>
    </row>
    <row r="902" hidden="1" spans="1:14">
      <c r="A902">
        <v>686</v>
      </c>
      <c r="B902">
        <v>0</v>
      </c>
      <c r="C902" t="s">
        <v>273</v>
      </c>
      <c r="D902" t="s">
        <v>274</v>
      </c>
      <c r="E902">
        <v>119.806</v>
      </c>
      <c r="F902">
        <v>27.8313</v>
      </c>
      <c r="G902">
        <v>166182.77</v>
      </c>
      <c r="H902" s="1">
        <v>33845</v>
      </c>
      <c r="I902" s="1">
        <v>33849</v>
      </c>
      <c r="J902" t="s">
        <v>15</v>
      </c>
      <c r="K902">
        <v>168</v>
      </c>
      <c r="L902">
        <v>5000000</v>
      </c>
      <c r="M902" t="s">
        <v>16</v>
      </c>
      <c r="N902">
        <v>1</v>
      </c>
    </row>
    <row r="903" hidden="1" spans="1:14">
      <c r="A903">
        <v>751</v>
      </c>
      <c r="B903">
        <v>0</v>
      </c>
      <c r="C903" t="s">
        <v>273</v>
      </c>
      <c r="D903">
        <v>0</v>
      </c>
      <c r="E903">
        <v>117.867</v>
      </c>
      <c r="F903">
        <v>27.9846</v>
      </c>
      <c r="G903">
        <v>432773.2</v>
      </c>
      <c r="H903" s="1">
        <v>34135</v>
      </c>
      <c r="I903" s="1">
        <v>34158</v>
      </c>
      <c r="J903" t="s">
        <v>15</v>
      </c>
      <c r="K903">
        <v>132</v>
      </c>
      <c r="L903">
        <v>375000</v>
      </c>
      <c r="M903" t="s">
        <v>16</v>
      </c>
      <c r="N903">
        <v>1</v>
      </c>
    </row>
    <row r="904" hidden="1" spans="1:14">
      <c r="A904">
        <v>762</v>
      </c>
      <c r="B904">
        <v>0</v>
      </c>
      <c r="C904" t="s">
        <v>273</v>
      </c>
      <c r="D904">
        <v>0</v>
      </c>
      <c r="E904">
        <v>103.653</v>
      </c>
      <c r="F904">
        <v>29.7518</v>
      </c>
      <c r="G904">
        <v>9596.62</v>
      </c>
      <c r="H904" s="1">
        <v>34177</v>
      </c>
      <c r="I904" s="1">
        <v>34182</v>
      </c>
      <c r="J904" t="s">
        <v>15</v>
      </c>
      <c r="K904">
        <v>41</v>
      </c>
      <c r="L904">
        <v>7000</v>
      </c>
      <c r="M904" t="s">
        <v>16</v>
      </c>
      <c r="N904">
        <v>1</v>
      </c>
    </row>
    <row r="905" hidden="1" spans="1:14">
      <c r="A905">
        <v>767</v>
      </c>
      <c r="B905">
        <v>0</v>
      </c>
      <c r="C905" t="s">
        <v>273</v>
      </c>
      <c r="D905">
        <v>0</v>
      </c>
      <c r="E905">
        <v>115.918</v>
      </c>
      <c r="F905">
        <v>36.4802</v>
      </c>
      <c r="G905">
        <v>112505.67</v>
      </c>
      <c r="H905" s="1">
        <v>34185</v>
      </c>
      <c r="I905" s="1">
        <v>34204</v>
      </c>
      <c r="J905" t="s">
        <v>15</v>
      </c>
      <c r="K905">
        <v>101</v>
      </c>
      <c r="L905">
        <v>2577000</v>
      </c>
      <c r="M905" t="s">
        <v>64</v>
      </c>
      <c r="N905">
        <v>1</v>
      </c>
    </row>
    <row r="906" hidden="1" spans="1:14">
      <c r="A906">
        <v>775</v>
      </c>
      <c r="B906">
        <v>0</v>
      </c>
      <c r="C906" t="s">
        <v>273</v>
      </c>
      <c r="D906">
        <v>0</v>
      </c>
      <c r="E906">
        <v>101.704</v>
      </c>
      <c r="F906">
        <v>24.4756</v>
      </c>
      <c r="G906">
        <v>77049.91</v>
      </c>
      <c r="H906" s="1">
        <v>34202</v>
      </c>
      <c r="I906" s="1">
        <v>34213</v>
      </c>
      <c r="J906" t="s">
        <v>15</v>
      </c>
      <c r="K906">
        <v>152</v>
      </c>
      <c r="L906">
        <v>21000</v>
      </c>
      <c r="M906" t="s">
        <v>64</v>
      </c>
      <c r="N906">
        <v>1</v>
      </c>
    </row>
    <row r="907" hidden="1" spans="1:14">
      <c r="A907">
        <v>776</v>
      </c>
      <c r="B907">
        <v>0</v>
      </c>
      <c r="C907" t="s">
        <v>273</v>
      </c>
      <c r="D907">
        <v>0</v>
      </c>
      <c r="E907">
        <v>100.265</v>
      </c>
      <c r="F907">
        <v>36.1271</v>
      </c>
      <c r="G907">
        <v>6844.66</v>
      </c>
      <c r="H907" s="1">
        <v>34208</v>
      </c>
      <c r="I907" s="1">
        <v>34208</v>
      </c>
      <c r="J907" t="s">
        <v>15</v>
      </c>
      <c r="K907">
        <v>242</v>
      </c>
      <c r="L907">
        <v>3000</v>
      </c>
      <c r="M907" t="s">
        <v>25</v>
      </c>
      <c r="N907">
        <v>1</v>
      </c>
    </row>
    <row r="908" hidden="1" spans="1:14">
      <c r="A908">
        <v>783</v>
      </c>
      <c r="B908">
        <v>0</v>
      </c>
      <c r="C908" t="s">
        <v>273</v>
      </c>
      <c r="D908">
        <v>0</v>
      </c>
      <c r="E908">
        <v>114.167</v>
      </c>
      <c r="F908">
        <v>22.5233</v>
      </c>
      <c r="G908">
        <v>280.443</v>
      </c>
      <c r="H908" s="1">
        <v>34239</v>
      </c>
      <c r="I908" s="1">
        <v>34240</v>
      </c>
      <c r="J908" t="s">
        <v>15</v>
      </c>
      <c r="K908">
        <v>0</v>
      </c>
      <c r="L908">
        <v>1200</v>
      </c>
      <c r="M908" t="s">
        <v>64</v>
      </c>
      <c r="N908">
        <v>2</v>
      </c>
    </row>
    <row r="909" hidden="1" spans="1:14">
      <c r="A909">
        <v>795</v>
      </c>
      <c r="B909">
        <v>0</v>
      </c>
      <c r="C909" t="s">
        <v>273</v>
      </c>
      <c r="D909">
        <v>0</v>
      </c>
      <c r="E909">
        <v>114.142</v>
      </c>
      <c r="F909">
        <v>22.4214</v>
      </c>
      <c r="G909">
        <v>1016.71</v>
      </c>
      <c r="H909" s="1">
        <v>34277</v>
      </c>
      <c r="I909" s="1">
        <v>34288</v>
      </c>
      <c r="J909" t="s">
        <v>15</v>
      </c>
      <c r="K909">
        <v>2</v>
      </c>
      <c r="L909">
        <v>0</v>
      </c>
      <c r="M909" t="s">
        <v>86</v>
      </c>
      <c r="N909">
        <v>1</v>
      </c>
    </row>
    <row r="910" hidden="1" spans="1:14">
      <c r="A910">
        <v>844</v>
      </c>
      <c r="B910">
        <v>0</v>
      </c>
      <c r="C910" t="s">
        <v>273</v>
      </c>
      <c r="D910">
        <v>0</v>
      </c>
      <c r="E910">
        <v>116.038</v>
      </c>
      <c r="F910">
        <v>27.2874</v>
      </c>
      <c r="G910">
        <v>165721.86</v>
      </c>
      <c r="H910" s="1">
        <v>34455</v>
      </c>
      <c r="I910" s="1">
        <v>34457</v>
      </c>
      <c r="J910" t="s">
        <v>15</v>
      </c>
      <c r="K910">
        <v>95</v>
      </c>
      <c r="L910">
        <v>0</v>
      </c>
      <c r="M910" t="s">
        <v>16</v>
      </c>
      <c r="N910">
        <v>1</v>
      </c>
    </row>
    <row r="911" hidden="1" spans="1:14">
      <c r="A911">
        <v>845</v>
      </c>
      <c r="B911">
        <v>0</v>
      </c>
      <c r="C911" t="s">
        <v>273</v>
      </c>
      <c r="D911">
        <v>0</v>
      </c>
      <c r="E911">
        <v>118.128</v>
      </c>
      <c r="F911">
        <v>25.9398</v>
      </c>
      <c r="G911">
        <v>121675.06</v>
      </c>
      <c r="H911" s="1">
        <v>34455</v>
      </c>
      <c r="I911" s="1">
        <v>34463</v>
      </c>
      <c r="J911" t="s">
        <v>15</v>
      </c>
      <c r="K911">
        <v>70</v>
      </c>
      <c r="L911">
        <v>2000</v>
      </c>
      <c r="M911" t="s">
        <v>16</v>
      </c>
      <c r="N911">
        <v>2</v>
      </c>
    </row>
    <row r="912" hidden="1" spans="1:14">
      <c r="A912">
        <v>851</v>
      </c>
      <c r="B912">
        <v>0</v>
      </c>
      <c r="C912" t="s">
        <v>273</v>
      </c>
      <c r="D912">
        <v>0</v>
      </c>
      <c r="E912">
        <v>113.189</v>
      </c>
      <c r="F912">
        <v>25.7177</v>
      </c>
      <c r="G912">
        <v>1015419.65</v>
      </c>
      <c r="H912" s="1">
        <v>34494</v>
      </c>
      <c r="I912" s="1">
        <v>34514</v>
      </c>
      <c r="J912" t="s">
        <v>15</v>
      </c>
      <c r="K912">
        <v>719</v>
      </c>
      <c r="L912">
        <v>0</v>
      </c>
      <c r="M912" t="s">
        <v>16</v>
      </c>
      <c r="N912">
        <v>2</v>
      </c>
    </row>
    <row r="913" hidden="1" spans="1:14">
      <c r="A913">
        <v>862</v>
      </c>
      <c r="B913">
        <v>0</v>
      </c>
      <c r="C913" t="s">
        <v>273</v>
      </c>
      <c r="D913">
        <v>0</v>
      </c>
      <c r="E913">
        <v>112.268</v>
      </c>
      <c r="F913">
        <v>31.1973</v>
      </c>
      <c r="G913">
        <v>183806.7</v>
      </c>
      <c r="H913" s="1">
        <v>34526</v>
      </c>
      <c r="I913" s="1">
        <v>34533</v>
      </c>
      <c r="J913" t="s">
        <v>15</v>
      </c>
      <c r="K913">
        <v>41</v>
      </c>
      <c r="L913">
        <v>0</v>
      </c>
      <c r="M913" t="s">
        <v>16</v>
      </c>
      <c r="N913">
        <v>1</v>
      </c>
    </row>
    <row r="914" hidden="1" spans="1:14">
      <c r="A914">
        <v>866</v>
      </c>
      <c r="B914">
        <v>0</v>
      </c>
      <c r="C914" t="s">
        <v>273</v>
      </c>
      <c r="D914">
        <v>0</v>
      </c>
      <c r="E914">
        <v>114.116</v>
      </c>
      <c r="F914">
        <v>22.4405</v>
      </c>
      <c r="G914">
        <v>2987.02</v>
      </c>
      <c r="H914" s="1">
        <v>34537</v>
      </c>
      <c r="I914" s="1">
        <v>34542</v>
      </c>
      <c r="J914" t="s">
        <v>15</v>
      </c>
      <c r="K914">
        <v>10</v>
      </c>
      <c r="L914">
        <v>2000</v>
      </c>
      <c r="M914" t="s">
        <v>16</v>
      </c>
      <c r="N914">
        <v>2</v>
      </c>
    </row>
    <row r="915" hidden="1" spans="1:14">
      <c r="A915">
        <v>867</v>
      </c>
      <c r="B915">
        <v>0</v>
      </c>
      <c r="C915" t="s">
        <v>273</v>
      </c>
      <c r="D915">
        <v>0</v>
      </c>
      <c r="E915">
        <v>125.126</v>
      </c>
      <c r="F915">
        <v>46.1544</v>
      </c>
      <c r="G915">
        <v>1066165.02</v>
      </c>
      <c r="H915" s="1">
        <v>34538</v>
      </c>
      <c r="I915" s="1">
        <v>34559</v>
      </c>
      <c r="J915" t="s">
        <v>15</v>
      </c>
      <c r="K915">
        <v>128</v>
      </c>
      <c r="L915">
        <v>2000000</v>
      </c>
      <c r="M915" t="s">
        <v>16</v>
      </c>
      <c r="N915">
        <v>2</v>
      </c>
    </row>
    <row r="916" hidden="1" spans="1:14">
      <c r="A916">
        <v>878</v>
      </c>
      <c r="B916">
        <v>0</v>
      </c>
      <c r="C916" t="s">
        <v>273</v>
      </c>
      <c r="D916">
        <v>0</v>
      </c>
      <c r="E916">
        <v>114.207</v>
      </c>
      <c r="F916">
        <v>22.5094</v>
      </c>
      <c r="G916">
        <v>3849.87</v>
      </c>
      <c r="H916" s="1">
        <v>34552</v>
      </c>
      <c r="I916" s="1">
        <v>34556</v>
      </c>
      <c r="J916" t="s">
        <v>15</v>
      </c>
      <c r="K916">
        <v>14</v>
      </c>
      <c r="L916">
        <v>0</v>
      </c>
      <c r="M916" t="s">
        <v>86</v>
      </c>
      <c r="N916">
        <v>1</v>
      </c>
    </row>
    <row r="917" hidden="1" spans="1:14">
      <c r="A917">
        <v>884</v>
      </c>
      <c r="B917">
        <v>0</v>
      </c>
      <c r="C917" t="s">
        <v>273</v>
      </c>
      <c r="D917">
        <v>0</v>
      </c>
      <c r="E917">
        <v>120.692</v>
      </c>
      <c r="F917">
        <v>31.1521</v>
      </c>
      <c r="G917">
        <v>206025.85</v>
      </c>
      <c r="H917" s="1">
        <v>34567</v>
      </c>
      <c r="I917" s="1">
        <v>34570</v>
      </c>
      <c r="J917" t="s">
        <v>15</v>
      </c>
      <c r="K917">
        <v>762</v>
      </c>
      <c r="L917">
        <v>600000</v>
      </c>
      <c r="M917" t="s">
        <v>86</v>
      </c>
      <c r="N917">
        <v>2</v>
      </c>
    </row>
    <row r="918" hidden="1" spans="1:14">
      <c r="A918">
        <v>908</v>
      </c>
      <c r="B918">
        <v>0</v>
      </c>
      <c r="C918" t="s">
        <v>273</v>
      </c>
      <c r="D918">
        <v>0</v>
      </c>
      <c r="E918">
        <v>117.653</v>
      </c>
      <c r="F918">
        <v>36.1734</v>
      </c>
      <c r="G918">
        <v>13150.29</v>
      </c>
      <c r="H918" s="1">
        <v>34626</v>
      </c>
      <c r="I918" s="1">
        <v>34627</v>
      </c>
      <c r="J918" t="s">
        <v>15</v>
      </c>
      <c r="K918">
        <v>17</v>
      </c>
      <c r="L918">
        <v>0</v>
      </c>
      <c r="M918" t="s">
        <v>16</v>
      </c>
      <c r="N918">
        <v>1</v>
      </c>
    </row>
    <row r="919" hidden="1" spans="1:14">
      <c r="A919">
        <v>943</v>
      </c>
      <c r="B919">
        <v>0</v>
      </c>
      <c r="C919" t="s">
        <v>273</v>
      </c>
      <c r="D919">
        <v>0</v>
      </c>
      <c r="E919">
        <v>113.285</v>
      </c>
      <c r="F919">
        <v>22.8414</v>
      </c>
      <c r="G919">
        <v>169667.47</v>
      </c>
      <c r="H919" s="1">
        <v>34809</v>
      </c>
      <c r="I919" s="1">
        <v>34810</v>
      </c>
      <c r="J919" t="s">
        <v>15</v>
      </c>
      <c r="K919">
        <v>40</v>
      </c>
      <c r="L919">
        <v>300000</v>
      </c>
      <c r="M919" t="s">
        <v>16</v>
      </c>
      <c r="N919">
        <v>1</v>
      </c>
    </row>
    <row r="920" hidden="1" spans="1:14">
      <c r="A920">
        <v>952</v>
      </c>
      <c r="B920">
        <v>0</v>
      </c>
      <c r="C920" t="s">
        <v>273</v>
      </c>
      <c r="D920">
        <v>0</v>
      </c>
      <c r="E920">
        <v>112.827</v>
      </c>
      <c r="F920">
        <v>28.2914</v>
      </c>
      <c r="G920">
        <v>1668229.65</v>
      </c>
      <c r="H920" s="1">
        <v>34834</v>
      </c>
      <c r="I920" s="1">
        <v>34926</v>
      </c>
      <c r="J920" t="s">
        <v>15</v>
      </c>
      <c r="K920">
        <v>1530</v>
      </c>
      <c r="L920">
        <v>7000000</v>
      </c>
      <c r="M920" t="s">
        <v>16</v>
      </c>
      <c r="N920">
        <v>2</v>
      </c>
    </row>
    <row r="921" hidden="1" spans="1:14">
      <c r="A921">
        <v>969</v>
      </c>
      <c r="B921">
        <v>0</v>
      </c>
      <c r="C921" t="s">
        <v>273</v>
      </c>
      <c r="D921">
        <v>0</v>
      </c>
      <c r="E921">
        <v>108.209</v>
      </c>
      <c r="F921">
        <v>30.1801</v>
      </c>
      <c r="G921">
        <v>231371.29</v>
      </c>
      <c r="H921" s="1">
        <v>34885</v>
      </c>
      <c r="I921" s="1">
        <v>34899</v>
      </c>
      <c r="J921" t="s">
        <v>15</v>
      </c>
      <c r="K921">
        <v>65</v>
      </c>
      <c r="L921">
        <v>25000</v>
      </c>
      <c r="M921" t="s">
        <v>16</v>
      </c>
      <c r="N921">
        <v>2</v>
      </c>
    </row>
    <row r="922" hidden="1" spans="1:14">
      <c r="A922">
        <v>977</v>
      </c>
      <c r="B922">
        <v>0</v>
      </c>
      <c r="C922" t="s">
        <v>273</v>
      </c>
      <c r="D922">
        <v>0</v>
      </c>
      <c r="E922">
        <v>125.154</v>
      </c>
      <c r="F922">
        <v>42.5413</v>
      </c>
      <c r="G922">
        <v>325414.55</v>
      </c>
      <c r="H922" s="1">
        <v>34905</v>
      </c>
      <c r="I922" s="1">
        <v>34939</v>
      </c>
      <c r="J922" t="s">
        <v>15</v>
      </c>
      <c r="K922">
        <v>123</v>
      </c>
      <c r="L922">
        <v>3000000</v>
      </c>
      <c r="M922" t="s">
        <v>16</v>
      </c>
      <c r="N922">
        <v>2</v>
      </c>
    </row>
    <row r="923" hidden="1" spans="1:14">
      <c r="A923">
        <v>1077</v>
      </c>
      <c r="B923">
        <v>0</v>
      </c>
      <c r="C923" t="s">
        <v>273</v>
      </c>
      <c r="D923">
        <v>0</v>
      </c>
      <c r="E923">
        <v>115.873</v>
      </c>
      <c r="F923">
        <v>27.3146</v>
      </c>
      <c r="G923">
        <v>150091.92</v>
      </c>
      <c r="H923" s="1">
        <v>35215</v>
      </c>
      <c r="I923" s="1">
        <v>35218</v>
      </c>
      <c r="J923" t="s">
        <v>15</v>
      </c>
      <c r="K923">
        <v>0</v>
      </c>
      <c r="L923">
        <v>22800</v>
      </c>
      <c r="M923" t="s">
        <v>16</v>
      </c>
      <c r="N923">
        <v>1</v>
      </c>
    </row>
    <row r="924" hidden="1" spans="1:14">
      <c r="A924">
        <v>1078</v>
      </c>
      <c r="B924">
        <v>0</v>
      </c>
      <c r="C924" t="s">
        <v>273</v>
      </c>
      <c r="D924">
        <v>0</v>
      </c>
      <c r="E924">
        <v>111.292</v>
      </c>
      <c r="F924">
        <v>25.1596</v>
      </c>
      <c r="G924">
        <v>233546.84</v>
      </c>
      <c r="H924" s="1">
        <v>35229</v>
      </c>
      <c r="I924" s="1">
        <v>35241</v>
      </c>
      <c r="J924" t="s">
        <v>15</v>
      </c>
      <c r="K924">
        <v>340</v>
      </c>
      <c r="L924">
        <v>37770</v>
      </c>
      <c r="M924" t="s">
        <v>16</v>
      </c>
      <c r="N924">
        <v>2</v>
      </c>
    </row>
    <row r="925" hidden="1" spans="1:14">
      <c r="A925">
        <v>1083</v>
      </c>
      <c r="B925">
        <v>0</v>
      </c>
      <c r="C925" t="s">
        <v>273</v>
      </c>
      <c r="D925">
        <v>0</v>
      </c>
      <c r="E925">
        <v>118.323</v>
      </c>
      <c r="F925">
        <v>30.8939</v>
      </c>
      <c r="G925">
        <v>236745.24</v>
      </c>
      <c r="H925" s="1">
        <v>35246</v>
      </c>
      <c r="I925" s="1">
        <v>35254</v>
      </c>
      <c r="J925" t="s">
        <v>15</v>
      </c>
      <c r="K925">
        <v>43</v>
      </c>
      <c r="L925">
        <v>271200</v>
      </c>
      <c r="M925" t="s">
        <v>16</v>
      </c>
      <c r="N925">
        <v>2</v>
      </c>
    </row>
    <row r="926" hidden="1" spans="1:14">
      <c r="A926">
        <v>1096</v>
      </c>
      <c r="B926">
        <v>0</v>
      </c>
      <c r="C926" t="s">
        <v>273</v>
      </c>
      <c r="D926">
        <v>0</v>
      </c>
      <c r="E926">
        <v>111.032</v>
      </c>
      <c r="F926">
        <v>23.3441</v>
      </c>
      <c r="G926">
        <v>17021.75</v>
      </c>
      <c r="H926" s="1">
        <v>35265</v>
      </c>
      <c r="I926" s="1">
        <v>35271</v>
      </c>
      <c r="J926" t="s">
        <v>15</v>
      </c>
      <c r="K926">
        <v>0</v>
      </c>
      <c r="L926">
        <v>0</v>
      </c>
      <c r="M926" t="s">
        <v>49</v>
      </c>
      <c r="N926">
        <v>1</v>
      </c>
    </row>
    <row r="927" hidden="1" spans="1:14">
      <c r="A927">
        <v>1099</v>
      </c>
      <c r="B927">
        <v>0</v>
      </c>
      <c r="C927" t="s">
        <v>273</v>
      </c>
      <c r="D927">
        <v>0</v>
      </c>
      <c r="E927">
        <v>118.021</v>
      </c>
      <c r="F927">
        <v>25.6245</v>
      </c>
      <c r="G927">
        <v>138167.33</v>
      </c>
      <c r="H927" s="1">
        <v>35283</v>
      </c>
      <c r="I927" s="1">
        <v>35287</v>
      </c>
      <c r="J927" t="s">
        <v>15</v>
      </c>
      <c r="K927">
        <v>266</v>
      </c>
      <c r="L927">
        <v>100000</v>
      </c>
      <c r="M927" t="s">
        <v>49</v>
      </c>
      <c r="N927">
        <v>2</v>
      </c>
    </row>
    <row r="928" hidden="1" spans="1:14">
      <c r="A928">
        <v>1117</v>
      </c>
      <c r="B928">
        <v>0</v>
      </c>
      <c r="C928" t="s">
        <v>273</v>
      </c>
      <c r="D928">
        <v>0</v>
      </c>
      <c r="E928">
        <v>109.807</v>
      </c>
      <c r="F928">
        <v>19.4326</v>
      </c>
      <c r="G928">
        <v>36474.36</v>
      </c>
      <c r="H928" s="1">
        <v>35328</v>
      </c>
      <c r="I928" s="1">
        <v>35339</v>
      </c>
      <c r="J928" t="s">
        <v>15</v>
      </c>
      <c r="K928">
        <v>38</v>
      </c>
      <c r="L928">
        <v>0</v>
      </c>
      <c r="M928" t="s">
        <v>103</v>
      </c>
      <c r="N928">
        <v>1</v>
      </c>
    </row>
    <row r="929" hidden="1" spans="1:14">
      <c r="A929">
        <v>1158</v>
      </c>
      <c r="B929">
        <v>0</v>
      </c>
      <c r="C929" t="s">
        <v>273</v>
      </c>
      <c r="D929">
        <v>0</v>
      </c>
      <c r="E929">
        <v>115.176</v>
      </c>
      <c r="F929">
        <v>26.0024</v>
      </c>
      <c r="G929">
        <v>832682.35</v>
      </c>
      <c r="H929" s="1">
        <v>35617</v>
      </c>
      <c r="I929" s="1">
        <v>35643</v>
      </c>
      <c r="J929" t="s">
        <v>15</v>
      </c>
      <c r="K929">
        <v>287</v>
      </c>
      <c r="L929">
        <v>200000</v>
      </c>
      <c r="M929" t="s">
        <v>23</v>
      </c>
      <c r="N929">
        <v>1</v>
      </c>
    </row>
    <row r="930" hidden="1" spans="1:14">
      <c r="A930">
        <v>1167</v>
      </c>
      <c r="B930">
        <v>0</v>
      </c>
      <c r="C930" t="s">
        <v>273</v>
      </c>
      <c r="D930">
        <v>0</v>
      </c>
      <c r="E930">
        <v>114.815</v>
      </c>
      <c r="F930">
        <v>22.6192</v>
      </c>
      <c r="G930">
        <v>34586.09</v>
      </c>
      <c r="H930" s="1">
        <v>35644</v>
      </c>
      <c r="I930" s="1">
        <v>35649</v>
      </c>
      <c r="J930" t="s">
        <v>15</v>
      </c>
      <c r="K930">
        <v>65</v>
      </c>
      <c r="L930">
        <v>0</v>
      </c>
      <c r="M930" t="s">
        <v>86</v>
      </c>
      <c r="N930">
        <v>1</v>
      </c>
    </row>
    <row r="931" hidden="1" spans="1:14">
      <c r="A931">
        <v>1169</v>
      </c>
      <c r="B931">
        <v>0</v>
      </c>
      <c r="C931" t="s">
        <v>273</v>
      </c>
      <c r="D931">
        <v>0</v>
      </c>
      <c r="E931">
        <v>114.116</v>
      </c>
      <c r="F931">
        <v>22.3798</v>
      </c>
      <c r="G931">
        <v>1368.35</v>
      </c>
      <c r="H931" s="1">
        <v>35655</v>
      </c>
      <c r="I931" s="1">
        <v>35657</v>
      </c>
      <c r="J931" t="s">
        <v>15</v>
      </c>
      <c r="K931">
        <v>0</v>
      </c>
      <c r="L931">
        <v>4000</v>
      </c>
      <c r="M931" t="s">
        <v>23</v>
      </c>
      <c r="N931">
        <v>2</v>
      </c>
    </row>
    <row r="932" hidden="1" spans="1:14">
      <c r="A932">
        <v>1174</v>
      </c>
      <c r="B932">
        <v>0</v>
      </c>
      <c r="C932" t="s">
        <v>273</v>
      </c>
      <c r="D932">
        <v>0</v>
      </c>
      <c r="E932">
        <v>120.262</v>
      </c>
      <c r="F932">
        <v>29.9379</v>
      </c>
      <c r="G932">
        <v>67369.75</v>
      </c>
      <c r="H932" s="1">
        <v>35657</v>
      </c>
      <c r="I932" s="1">
        <v>35663</v>
      </c>
      <c r="J932" t="s">
        <v>15</v>
      </c>
      <c r="K932">
        <v>56</v>
      </c>
      <c r="L932">
        <v>790000</v>
      </c>
      <c r="M932" t="s">
        <v>86</v>
      </c>
      <c r="N932">
        <v>1</v>
      </c>
    </row>
    <row r="933" hidden="1" spans="1:14">
      <c r="A933">
        <v>1180</v>
      </c>
      <c r="B933">
        <v>0</v>
      </c>
      <c r="C933" t="s">
        <v>273</v>
      </c>
      <c r="D933">
        <v>0</v>
      </c>
      <c r="E933">
        <v>110.884</v>
      </c>
      <c r="F933">
        <v>21.6936</v>
      </c>
      <c r="G933">
        <v>55174.38</v>
      </c>
      <c r="H933" s="1">
        <v>35661</v>
      </c>
      <c r="I933" s="1">
        <v>35667</v>
      </c>
      <c r="J933" t="s">
        <v>15</v>
      </c>
      <c r="K933">
        <v>345</v>
      </c>
      <c r="L933">
        <v>54000</v>
      </c>
      <c r="M933" t="s">
        <v>86</v>
      </c>
      <c r="N933">
        <v>1</v>
      </c>
    </row>
    <row r="934" hidden="1" spans="1:14">
      <c r="A934">
        <v>1204</v>
      </c>
      <c r="B934">
        <v>0</v>
      </c>
      <c r="C934" t="s">
        <v>273</v>
      </c>
      <c r="D934">
        <v>0</v>
      </c>
      <c r="E934">
        <v>83.1199</v>
      </c>
      <c r="F934">
        <v>43.4361</v>
      </c>
      <c r="G934">
        <v>62966.22</v>
      </c>
      <c r="H934" s="1">
        <v>35444</v>
      </c>
      <c r="I934" s="1">
        <v>35448</v>
      </c>
      <c r="J934" t="s">
        <v>15</v>
      </c>
      <c r="K934">
        <v>21</v>
      </c>
      <c r="L934">
        <v>50400</v>
      </c>
      <c r="M934" t="s">
        <v>38</v>
      </c>
      <c r="N934">
        <v>1</v>
      </c>
    </row>
    <row r="935" hidden="1" spans="1:14">
      <c r="A935">
        <v>1226</v>
      </c>
      <c r="B935">
        <v>0</v>
      </c>
      <c r="C935" t="s">
        <v>273</v>
      </c>
      <c r="D935">
        <v>0</v>
      </c>
      <c r="E935">
        <v>113.348</v>
      </c>
      <c r="F935">
        <v>22.9053</v>
      </c>
      <c r="G935">
        <v>174990.06</v>
      </c>
      <c r="H935" s="1">
        <v>35553</v>
      </c>
      <c r="I935" s="1">
        <v>35566</v>
      </c>
      <c r="J935" t="s">
        <v>15</v>
      </c>
      <c r="K935">
        <v>135</v>
      </c>
      <c r="L935">
        <v>360000</v>
      </c>
      <c r="M935" t="s">
        <v>16</v>
      </c>
      <c r="N935">
        <v>2</v>
      </c>
    </row>
    <row r="936" hidden="1" spans="1:14">
      <c r="A936">
        <v>1228</v>
      </c>
      <c r="B936">
        <v>0</v>
      </c>
      <c r="C936" t="s">
        <v>273</v>
      </c>
      <c r="D936">
        <v>0</v>
      </c>
      <c r="E936">
        <v>109.438</v>
      </c>
      <c r="F936">
        <v>23.8505</v>
      </c>
      <c r="G936">
        <v>183090.32</v>
      </c>
      <c r="H936" s="1">
        <v>35559</v>
      </c>
      <c r="I936" s="1">
        <v>35563</v>
      </c>
      <c r="J936" t="s">
        <v>15</v>
      </c>
      <c r="K936">
        <v>111</v>
      </c>
      <c r="L936">
        <v>0</v>
      </c>
      <c r="M936" t="s">
        <v>16</v>
      </c>
      <c r="N936">
        <v>1</v>
      </c>
    </row>
    <row r="937" hidden="1" spans="1:14">
      <c r="A937">
        <v>1229</v>
      </c>
      <c r="B937">
        <v>0</v>
      </c>
      <c r="C937" t="s">
        <v>273</v>
      </c>
      <c r="D937">
        <v>0</v>
      </c>
      <c r="E937">
        <v>117.365</v>
      </c>
      <c r="F937">
        <v>25.4892</v>
      </c>
      <c r="G937">
        <v>74261.33</v>
      </c>
      <c r="H937" s="1">
        <v>35555</v>
      </c>
      <c r="I937" s="1">
        <v>35561</v>
      </c>
      <c r="J937" t="s">
        <v>15</v>
      </c>
      <c r="K937">
        <v>19</v>
      </c>
      <c r="L937">
        <v>0</v>
      </c>
      <c r="M937" t="s">
        <v>16</v>
      </c>
      <c r="N937">
        <v>1</v>
      </c>
    </row>
    <row r="938" hidden="1" spans="1:14">
      <c r="A938">
        <v>1243</v>
      </c>
      <c r="B938">
        <v>0</v>
      </c>
      <c r="C938" t="s">
        <v>273</v>
      </c>
      <c r="D938">
        <v>0</v>
      </c>
      <c r="E938">
        <v>113.235</v>
      </c>
      <c r="F938">
        <v>28.2139</v>
      </c>
      <c r="G938">
        <v>25292.41</v>
      </c>
      <c r="H938" s="1">
        <v>35589</v>
      </c>
      <c r="I938" s="1">
        <v>35593</v>
      </c>
      <c r="J938" t="s">
        <v>15</v>
      </c>
      <c r="K938">
        <v>56</v>
      </c>
      <c r="L938">
        <v>383000</v>
      </c>
      <c r="M938" t="s">
        <v>16</v>
      </c>
      <c r="N938">
        <v>1</v>
      </c>
    </row>
    <row r="939" hidden="1" spans="1:14">
      <c r="A939">
        <v>1245</v>
      </c>
      <c r="B939">
        <v>0</v>
      </c>
      <c r="C939" t="s">
        <v>273</v>
      </c>
      <c r="D939">
        <v>0</v>
      </c>
      <c r="E939">
        <v>103.687</v>
      </c>
      <c r="F939">
        <v>26.8739</v>
      </c>
      <c r="G939">
        <v>28999.54</v>
      </c>
      <c r="H939" s="1">
        <v>35584</v>
      </c>
      <c r="I939" s="1">
        <v>35591</v>
      </c>
      <c r="J939" t="s">
        <v>15</v>
      </c>
      <c r="K939">
        <v>40</v>
      </c>
      <c r="L939">
        <v>0</v>
      </c>
      <c r="M939" t="s">
        <v>16</v>
      </c>
      <c r="N939">
        <v>1</v>
      </c>
    </row>
    <row r="940" hidden="1" spans="1:14">
      <c r="A940">
        <v>1246</v>
      </c>
      <c r="B940">
        <v>0</v>
      </c>
      <c r="C940" t="s">
        <v>273</v>
      </c>
      <c r="D940">
        <v>0</v>
      </c>
      <c r="E940">
        <v>104.958</v>
      </c>
      <c r="F940">
        <v>31.2078</v>
      </c>
      <c r="G940">
        <v>10074.02</v>
      </c>
      <c r="H940" s="1">
        <v>35587</v>
      </c>
      <c r="I940" s="1">
        <v>35591</v>
      </c>
      <c r="J940" t="s">
        <v>15</v>
      </c>
      <c r="K940">
        <v>150</v>
      </c>
      <c r="L940">
        <v>0</v>
      </c>
      <c r="M940" t="s">
        <v>16</v>
      </c>
      <c r="N940">
        <v>1</v>
      </c>
    </row>
    <row r="941" hidden="1" spans="1:14">
      <c r="A941">
        <v>1248</v>
      </c>
      <c r="B941">
        <v>0</v>
      </c>
      <c r="C941" t="s">
        <v>273</v>
      </c>
      <c r="D941">
        <v>0</v>
      </c>
      <c r="E941">
        <v>114.213</v>
      </c>
      <c r="F941">
        <v>22.3357</v>
      </c>
      <c r="G941">
        <v>1017.5</v>
      </c>
      <c r="H941" s="1">
        <v>35583</v>
      </c>
      <c r="I941" s="1">
        <v>35585</v>
      </c>
      <c r="J941" t="s">
        <v>15</v>
      </c>
      <c r="K941">
        <v>1</v>
      </c>
      <c r="L941">
        <v>0</v>
      </c>
      <c r="M941" t="s">
        <v>18</v>
      </c>
      <c r="N941">
        <v>1</v>
      </c>
    </row>
    <row r="942" hidden="1" spans="1:14">
      <c r="A942">
        <v>1254</v>
      </c>
      <c r="B942">
        <v>0</v>
      </c>
      <c r="C942" t="s">
        <v>273</v>
      </c>
      <c r="D942">
        <v>0</v>
      </c>
      <c r="E942">
        <v>99.4781</v>
      </c>
      <c r="F942">
        <v>26.94</v>
      </c>
      <c r="G942">
        <v>27345.45</v>
      </c>
      <c r="H942" s="1">
        <v>35621</v>
      </c>
      <c r="I942" s="1">
        <v>35641</v>
      </c>
      <c r="J942" t="s">
        <v>15</v>
      </c>
      <c r="K942">
        <v>301</v>
      </c>
      <c r="L942">
        <v>300000</v>
      </c>
      <c r="M942" t="s">
        <v>16</v>
      </c>
      <c r="N942">
        <v>1</v>
      </c>
    </row>
    <row r="943" hidden="1" spans="1:14">
      <c r="A943">
        <v>1255</v>
      </c>
      <c r="B943">
        <v>0</v>
      </c>
      <c r="C943" t="s">
        <v>273</v>
      </c>
      <c r="D943">
        <v>0</v>
      </c>
      <c r="E943">
        <v>104.42</v>
      </c>
      <c r="F943">
        <v>35.2403</v>
      </c>
      <c r="G943">
        <v>124210.68</v>
      </c>
      <c r="H943" s="1">
        <v>35628</v>
      </c>
      <c r="I943" s="1">
        <v>35633</v>
      </c>
      <c r="J943" t="s">
        <v>15</v>
      </c>
      <c r="K943">
        <v>19</v>
      </c>
      <c r="L943">
        <v>0</v>
      </c>
      <c r="M943" t="s">
        <v>16</v>
      </c>
      <c r="N943">
        <v>2</v>
      </c>
    </row>
    <row r="944" hidden="1" spans="1:14">
      <c r="A944">
        <v>1257</v>
      </c>
      <c r="B944">
        <v>0</v>
      </c>
      <c r="C944" t="s">
        <v>273</v>
      </c>
      <c r="D944">
        <v>0</v>
      </c>
      <c r="E944">
        <v>105.185</v>
      </c>
      <c r="F944">
        <v>28.47</v>
      </c>
      <c r="G944">
        <v>20184.73</v>
      </c>
      <c r="H944" s="1">
        <v>35626</v>
      </c>
      <c r="I944" s="1">
        <v>35629</v>
      </c>
      <c r="J944" t="s">
        <v>15</v>
      </c>
      <c r="K944">
        <v>48</v>
      </c>
      <c r="L944">
        <v>0</v>
      </c>
      <c r="M944" t="s">
        <v>16</v>
      </c>
      <c r="N944">
        <v>1</v>
      </c>
    </row>
    <row r="945" hidden="1" spans="1:14">
      <c r="A945">
        <v>1268</v>
      </c>
      <c r="B945">
        <v>0</v>
      </c>
      <c r="C945" t="s">
        <v>273</v>
      </c>
      <c r="D945">
        <v>0</v>
      </c>
      <c r="E945">
        <v>110.494</v>
      </c>
      <c r="F945">
        <v>24.9893</v>
      </c>
      <c r="G945">
        <v>25075</v>
      </c>
      <c r="H945" s="1">
        <v>35649</v>
      </c>
      <c r="I945" s="1">
        <v>35656</v>
      </c>
      <c r="J945" t="s">
        <v>15</v>
      </c>
      <c r="K945">
        <v>13</v>
      </c>
      <c r="L945">
        <v>0</v>
      </c>
      <c r="M945" t="s">
        <v>16</v>
      </c>
      <c r="N945">
        <v>1</v>
      </c>
    </row>
    <row r="946" hidden="1" spans="1:14">
      <c r="A946">
        <v>1273</v>
      </c>
      <c r="B946">
        <v>0</v>
      </c>
      <c r="C946" t="s">
        <v>273</v>
      </c>
      <c r="D946">
        <v>0</v>
      </c>
      <c r="E946">
        <v>112.648</v>
      </c>
      <c r="F946">
        <v>27.2307</v>
      </c>
      <c r="G946">
        <v>124671.45</v>
      </c>
      <c r="H946" s="1">
        <v>35674</v>
      </c>
      <c r="I946" s="1">
        <v>35681</v>
      </c>
      <c r="J946" t="s">
        <v>15</v>
      </c>
      <c r="K946">
        <v>63</v>
      </c>
      <c r="L946">
        <v>92000</v>
      </c>
      <c r="M946" t="s">
        <v>16</v>
      </c>
      <c r="N946">
        <v>1</v>
      </c>
    </row>
    <row r="947" hidden="1" spans="1:14">
      <c r="A947">
        <v>1319</v>
      </c>
      <c r="B947">
        <v>0</v>
      </c>
      <c r="C947" t="s">
        <v>273</v>
      </c>
      <c r="D947">
        <v>0</v>
      </c>
      <c r="E947">
        <v>113.08</v>
      </c>
      <c r="F947">
        <v>30.3557</v>
      </c>
      <c r="G947">
        <v>199739.2</v>
      </c>
      <c r="H947" s="1">
        <v>35860</v>
      </c>
      <c r="I947" s="1">
        <v>35867</v>
      </c>
      <c r="J947" t="s">
        <v>15</v>
      </c>
      <c r="K947">
        <v>2</v>
      </c>
      <c r="L947">
        <v>130000</v>
      </c>
      <c r="M947" t="s">
        <v>16</v>
      </c>
      <c r="N947">
        <v>2</v>
      </c>
    </row>
    <row r="948" hidden="1" spans="1:14">
      <c r="A948">
        <v>1346</v>
      </c>
      <c r="B948">
        <v>0</v>
      </c>
      <c r="C948" t="s">
        <v>273</v>
      </c>
      <c r="D948">
        <v>0</v>
      </c>
      <c r="E948">
        <v>113.915</v>
      </c>
      <c r="F948">
        <v>22.4657</v>
      </c>
      <c r="G948">
        <v>5592.68</v>
      </c>
      <c r="H948" s="1">
        <v>35911</v>
      </c>
      <c r="I948" s="1">
        <v>35912</v>
      </c>
      <c r="J948" t="s">
        <v>15</v>
      </c>
      <c r="K948">
        <v>0</v>
      </c>
      <c r="L948">
        <v>0</v>
      </c>
      <c r="M948" t="s">
        <v>18</v>
      </c>
      <c r="N948">
        <v>1</v>
      </c>
    </row>
    <row r="949" hidden="1" spans="1:14">
      <c r="A949">
        <v>1359</v>
      </c>
      <c r="B949">
        <v>0</v>
      </c>
      <c r="C949" t="s">
        <v>273</v>
      </c>
      <c r="D949">
        <v>0</v>
      </c>
      <c r="E949">
        <v>111.459</v>
      </c>
      <c r="F949">
        <v>28.7172</v>
      </c>
      <c r="G949">
        <v>96993.28</v>
      </c>
      <c r="H949" s="1">
        <v>35916</v>
      </c>
      <c r="I949" s="1">
        <v>35920</v>
      </c>
      <c r="J949" t="s">
        <v>15</v>
      </c>
      <c r="K949">
        <v>0</v>
      </c>
      <c r="L949">
        <v>2000</v>
      </c>
      <c r="M949" t="s">
        <v>18</v>
      </c>
      <c r="N949">
        <v>1</v>
      </c>
    </row>
    <row r="950" hidden="1" spans="1:14">
      <c r="A950">
        <v>1361</v>
      </c>
      <c r="B950">
        <v>0</v>
      </c>
      <c r="C950" t="s">
        <v>273</v>
      </c>
      <c r="D950">
        <v>0</v>
      </c>
      <c r="E950">
        <v>117.939</v>
      </c>
      <c r="F950">
        <v>25.1204</v>
      </c>
      <c r="G950">
        <v>60529.47</v>
      </c>
      <c r="H950" s="1">
        <v>35927</v>
      </c>
      <c r="I950" s="1">
        <v>35932</v>
      </c>
      <c r="J950" t="s">
        <v>15</v>
      </c>
      <c r="K950">
        <v>11</v>
      </c>
      <c r="L950">
        <v>0</v>
      </c>
      <c r="M950" t="s">
        <v>16</v>
      </c>
      <c r="N950">
        <v>1</v>
      </c>
    </row>
    <row r="951" hidden="1" spans="1:14">
      <c r="A951">
        <v>1366</v>
      </c>
      <c r="B951">
        <v>0</v>
      </c>
      <c r="C951" t="s">
        <v>273</v>
      </c>
      <c r="D951">
        <v>0</v>
      </c>
      <c r="E951">
        <v>83.6735</v>
      </c>
      <c r="F951">
        <v>40.9204</v>
      </c>
      <c r="G951">
        <v>178662.77</v>
      </c>
      <c r="H951" s="1">
        <v>35931</v>
      </c>
      <c r="I951" s="1">
        <v>35935</v>
      </c>
      <c r="J951" t="s">
        <v>15</v>
      </c>
      <c r="K951">
        <v>11</v>
      </c>
      <c r="L951">
        <v>508</v>
      </c>
      <c r="M951" t="s">
        <v>18</v>
      </c>
      <c r="N951">
        <v>1</v>
      </c>
    </row>
    <row r="952" hidden="1" spans="1:14">
      <c r="A952">
        <v>1370</v>
      </c>
      <c r="B952">
        <v>0</v>
      </c>
      <c r="C952" t="s">
        <v>273</v>
      </c>
      <c r="D952">
        <v>0</v>
      </c>
      <c r="E952">
        <v>112.018</v>
      </c>
      <c r="F952">
        <v>26.7131</v>
      </c>
      <c r="G952">
        <v>70343.63</v>
      </c>
      <c r="H952" s="1">
        <v>35935</v>
      </c>
      <c r="I952" s="1">
        <v>35940</v>
      </c>
      <c r="J952" t="s">
        <v>15</v>
      </c>
      <c r="K952">
        <v>58</v>
      </c>
      <c r="L952">
        <v>106000</v>
      </c>
      <c r="M952" t="s">
        <v>16</v>
      </c>
      <c r="N952">
        <v>2</v>
      </c>
    </row>
    <row r="953" hidden="1" spans="1:14">
      <c r="A953">
        <v>1380</v>
      </c>
      <c r="B953">
        <v>0</v>
      </c>
      <c r="C953" t="s">
        <v>273</v>
      </c>
      <c r="D953">
        <v>0</v>
      </c>
      <c r="E953">
        <v>114.339</v>
      </c>
      <c r="F953">
        <v>22.6488</v>
      </c>
      <c r="G953">
        <v>5843.61</v>
      </c>
      <c r="H953" s="1">
        <v>35955</v>
      </c>
      <c r="I953" s="1">
        <v>35958</v>
      </c>
      <c r="J953" t="s">
        <v>15</v>
      </c>
      <c r="K953">
        <v>1</v>
      </c>
      <c r="L953">
        <v>24</v>
      </c>
      <c r="M953" t="s">
        <v>16</v>
      </c>
      <c r="N953">
        <v>1</v>
      </c>
    </row>
    <row r="954" hidden="1" spans="1:14">
      <c r="A954">
        <v>1390</v>
      </c>
      <c r="B954">
        <v>0</v>
      </c>
      <c r="C954" t="s">
        <v>273</v>
      </c>
      <c r="D954">
        <v>0</v>
      </c>
      <c r="E954">
        <v>112.322</v>
      </c>
      <c r="F954">
        <v>28.8202</v>
      </c>
      <c r="G954">
        <v>292972.72</v>
      </c>
      <c r="H954" s="1">
        <v>36012</v>
      </c>
      <c r="I954" s="1">
        <v>36045</v>
      </c>
      <c r="J954" t="s">
        <v>15</v>
      </c>
      <c r="K954">
        <v>575</v>
      </c>
      <c r="L954">
        <v>1115000</v>
      </c>
      <c r="M954" t="s">
        <v>16</v>
      </c>
      <c r="N954">
        <v>2</v>
      </c>
    </row>
    <row r="955" hidden="1" spans="1:14">
      <c r="A955">
        <v>1392</v>
      </c>
      <c r="B955">
        <v>0</v>
      </c>
      <c r="C955" t="s">
        <v>273</v>
      </c>
      <c r="D955">
        <v>0</v>
      </c>
      <c r="E955">
        <v>111.905</v>
      </c>
      <c r="F955">
        <v>36.6228</v>
      </c>
      <c r="G955">
        <v>72123.72</v>
      </c>
      <c r="H955" s="1">
        <v>35980</v>
      </c>
      <c r="I955" s="1">
        <v>35996</v>
      </c>
      <c r="J955" t="s">
        <v>15</v>
      </c>
      <c r="K955">
        <v>113</v>
      </c>
      <c r="L955">
        <v>90000</v>
      </c>
      <c r="M955" t="s">
        <v>16</v>
      </c>
      <c r="N955">
        <v>1</v>
      </c>
    </row>
    <row r="956" hidden="1" spans="1:14">
      <c r="A956">
        <v>1393</v>
      </c>
      <c r="B956">
        <v>0</v>
      </c>
      <c r="C956" t="s">
        <v>273</v>
      </c>
      <c r="D956">
        <v>0</v>
      </c>
      <c r="E956">
        <v>102.714</v>
      </c>
      <c r="F956">
        <v>28.9415</v>
      </c>
      <c r="G956">
        <v>235631.23</v>
      </c>
      <c r="H956" s="1">
        <v>35973</v>
      </c>
      <c r="I956" s="1">
        <v>35989</v>
      </c>
      <c r="J956" t="s">
        <v>15</v>
      </c>
      <c r="K956">
        <v>170</v>
      </c>
      <c r="L956">
        <v>240000</v>
      </c>
      <c r="M956" t="s">
        <v>16</v>
      </c>
      <c r="N956">
        <v>1</v>
      </c>
    </row>
    <row r="957" hidden="1" spans="1:14">
      <c r="A957">
        <v>1394</v>
      </c>
      <c r="B957">
        <v>0</v>
      </c>
      <c r="C957" t="s">
        <v>273</v>
      </c>
      <c r="D957">
        <v>0</v>
      </c>
      <c r="E957">
        <v>114.847</v>
      </c>
      <c r="F957">
        <v>30.3363</v>
      </c>
      <c r="G957">
        <v>305479.68</v>
      </c>
      <c r="H957" s="1">
        <v>35964</v>
      </c>
      <c r="I957" s="1">
        <v>35989</v>
      </c>
      <c r="J957" t="s">
        <v>15</v>
      </c>
      <c r="K957">
        <v>164</v>
      </c>
      <c r="L957">
        <v>370000</v>
      </c>
      <c r="M957" t="s">
        <v>16</v>
      </c>
      <c r="N957">
        <v>1</v>
      </c>
    </row>
    <row r="958" hidden="1" spans="1:14">
      <c r="A958">
        <v>1395</v>
      </c>
      <c r="B958">
        <v>0</v>
      </c>
      <c r="C958" t="s">
        <v>273</v>
      </c>
      <c r="D958">
        <v>0</v>
      </c>
      <c r="E958">
        <v>112.868</v>
      </c>
      <c r="F958">
        <v>23.1199</v>
      </c>
      <c r="G958">
        <v>41223.71</v>
      </c>
      <c r="H958" s="1">
        <v>35971</v>
      </c>
      <c r="I958" s="1">
        <v>35982</v>
      </c>
      <c r="J958" t="s">
        <v>15</v>
      </c>
      <c r="K958">
        <v>180</v>
      </c>
      <c r="L958">
        <v>150000</v>
      </c>
      <c r="M958" t="s">
        <v>16</v>
      </c>
      <c r="N958">
        <v>2</v>
      </c>
    </row>
    <row r="959" hidden="1" spans="1:14">
      <c r="A959">
        <v>1396</v>
      </c>
      <c r="B959">
        <v>0</v>
      </c>
      <c r="C959" t="s">
        <v>273</v>
      </c>
      <c r="D959">
        <v>0</v>
      </c>
      <c r="E959">
        <v>109.874</v>
      </c>
      <c r="F959">
        <v>24.8178</v>
      </c>
      <c r="G959">
        <v>26915.69</v>
      </c>
      <c r="H959" s="1">
        <v>35961</v>
      </c>
      <c r="I959" s="1">
        <v>35974</v>
      </c>
      <c r="J959" t="s">
        <v>15</v>
      </c>
      <c r="K959">
        <v>66</v>
      </c>
      <c r="L959">
        <v>500000</v>
      </c>
      <c r="M959" t="s">
        <v>16</v>
      </c>
      <c r="N959">
        <v>2</v>
      </c>
    </row>
    <row r="960" hidden="1" spans="1:14">
      <c r="A960">
        <v>1397</v>
      </c>
      <c r="B960">
        <v>0</v>
      </c>
      <c r="C960" t="s">
        <v>273</v>
      </c>
      <c r="D960">
        <v>0</v>
      </c>
      <c r="E960">
        <v>105.422</v>
      </c>
      <c r="F960">
        <v>29.6288</v>
      </c>
      <c r="G960">
        <v>29725.68</v>
      </c>
      <c r="H960" s="1">
        <v>35964</v>
      </c>
      <c r="I960" s="1">
        <v>35965</v>
      </c>
      <c r="J960" t="s">
        <v>15</v>
      </c>
      <c r="K960">
        <v>27</v>
      </c>
      <c r="L960">
        <v>0</v>
      </c>
      <c r="M960" t="s">
        <v>16</v>
      </c>
      <c r="N960">
        <v>1</v>
      </c>
    </row>
    <row r="961" hidden="1" spans="1:14">
      <c r="A961">
        <v>1398</v>
      </c>
      <c r="B961">
        <v>0</v>
      </c>
      <c r="C961" t="s">
        <v>273</v>
      </c>
      <c r="D961">
        <v>0</v>
      </c>
      <c r="E961">
        <v>117.451</v>
      </c>
      <c r="F961">
        <v>28.8404</v>
      </c>
      <c r="G961">
        <v>36417.4</v>
      </c>
      <c r="H961" s="1">
        <v>35958</v>
      </c>
      <c r="I961" s="1">
        <v>35985</v>
      </c>
      <c r="J961" t="s">
        <v>15</v>
      </c>
      <c r="K961">
        <v>51</v>
      </c>
      <c r="L961">
        <v>434500</v>
      </c>
      <c r="M961" t="s">
        <v>16</v>
      </c>
      <c r="N961">
        <v>2</v>
      </c>
    </row>
    <row r="962" hidden="1" spans="1:14">
      <c r="A962">
        <v>1399</v>
      </c>
      <c r="B962">
        <v>0</v>
      </c>
      <c r="C962" t="s">
        <v>273</v>
      </c>
      <c r="D962">
        <v>0</v>
      </c>
      <c r="E962">
        <v>119.82</v>
      </c>
      <c r="F962">
        <v>27.6882</v>
      </c>
      <c r="G962">
        <v>54190.53</v>
      </c>
      <c r="H962" s="1">
        <v>35958</v>
      </c>
      <c r="I962" s="1">
        <v>35971</v>
      </c>
      <c r="J962" t="s">
        <v>15</v>
      </c>
      <c r="K962">
        <v>126</v>
      </c>
      <c r="L962">
        <v>750000</v>
      </c>
      <c r="M962" t="s">
        <v>16</v>
      </c>
      <c r="N962">
        <v>2</v>
      </c>
    </row>
    <row r="963" hidden="1" spans="1:14">
      <c r="A963">
        <v>1400</v>
      </c>
      <c r="B963">
        <v>0</v>
      </c>
      <c r="C963" t="s">
        <v>273</v>
      </c>
      <c r="D963">
        <v>0</v>
      </c>
      <c r="E963">
        <v>113.649</v>
      </c>
      <c r="F963">
        <v>28.3755</v>
      </c>
      <c r="G963">
        <v>170585.74</v>
      </c>
      <c r="H963" s="1">
        <v>35958</v>
      </c>
      <c r="I963" s="1">
        <v>35973</v>
      </c>
      <c r="J963" t="s">
        <v>15</v>
      </c>
      <c r="K963">
        <v>40</v>
      </c>
      <c r="L963">
        <v>400000</v>
      </c>
      <c r="M963" t="s">
        <v>16</v>
      </c>
      <c r="N963">
        <v>2</v>
      </c>
    </row>
    <row r="964" hidden="1" spans="1:14">
      <c r="A964">
        <v>1358</v>
      </c>
      <c r="B964">
        <v>0</v>
      </c>
      <c r="C964" t="s">
        <v>273</v>
      </c>
      <c r="D964">
        <v>0</v>
      </c>
      <c r="E964">
        <v>108.082</v>
      </c>
      <c r="F964">
        <v>30.511</v>
      </c>
      <c r="G964">
        <v>79574.2</v>
      </c>
      <c r="H964" s="1">
        <v>35922</v>
      </c>
      <c r="I964" s="1">
        <v>35928</v>
      </c>
      <c r="J964" t="s">
        <v>15</v>
      </c>
      <c r="K964">
        <v>9</v>
      </c>
      <c r="L964">
        <v>0</v>
      </c>
      <c r="M964" t="s">
        <v>18</v>
      </c>
      <c r="N964">
        <v>1</v>
      </c>
    </row>
    <row r="965" hidden="1" spans="1:14">
      <c r="A965">
        <v>1367</v>
      </c>
      <c r="B965">
        <v>0</v>
      </c>
      <c r="C965" t="s">
        <v>273</v>
      </c>
      <c r="D965">
        <v>0</v>
      </c>
      <c r="E965">
        <v>107.668</v>
      </c>
      <c r="F965">
        <v>36.0394</v>
      </c>
      <c r="G965">
        <v>51481.79</v>
      </c>
      <c r="H965" s="1">
        <v>35935</v>
      </c>
      <c r="I965" s="1">
        <v>35936</v>
      </c>
      <c r="J965" t="s">
        <v>15</v>
      </c>
      <c r="K965">
        <v>37</v>
      </c>
      <c r="L965">
        <v>3600</v>
      </c>
      <c r="M965" t="s">
        <v>18</v>
      </c>
      <c r="N965">
        <v>1</v>
      </c>
    </row>
    <row r="966" hidden="1" spans="1:14">
      <c r="A966">
        <v>1368</v>
      </c>
      <c r="B966">
        <v>0</v>
      </c>
      <c r="C966" t="s">
        <v>273</v>
      </c>
      <c r="D966">
        <v>0</v>
      </c>
      <c r="E966">
        <v>113.059</v>
      </c>
      <c r="F966">
        <v>31.1389</v>
      </c>
      <c r="G966">
        <v>149532.7</v>
      </c>
      <c r="H966" s="1">
        <v>35935</v>
      </c>
      <c r="I966" s="1">
        <v>35940</v>
      </c>
      <c r="J966" t="s">
        <v>15</v>
      </c>
      <c r="K966">
        <v>8</v>
      </c>
      <c r="L966">
        <v>15000</v>
      </c>
      <c r="M966" t="s">
        <v>18</v>
      </c>
      <c r="N966">
        <v>1</v>
      </c>
    </row>
    <row r="967" hidden="1" spans="1:14">
      <c r="A967">
        <v>1369</v>
      </c>
      <c r="B967">
        <v>0</v>
      </c>
      <c r="C967" t="s">
        <v>273</v>
      </c>
      <c r="D967">
        <v>0</v>
      </c>
      <c r="E967">
        <v>104.391</v>
      </c>
      <c r="F967">
        <v>30.0976</v>
      </c>
      <c r="G967">
        <v>216145.35</v>
      </c>
      <c r="H967" s="1">
        <v>35935</v>
      </c>
      <c r="I967" s="1">
        <v>35939</v>
      </c>
      <c r="J967" t="s">
        <v>15</v>
      </c>
      <c r="K967">
        <v>10</v>
      </c>
      <c r="L967">
        <v>20000</v>
      </c>
      <c r="M967" t="s">
        <v>18</v>
      </c>
      <c r="N967">
        <v>1</v>
      </c>
    </row>
    <row r="968" hidden="1" spans="1:14">
      <c r="A968">
        <v>1371</v>
      </c>
      <c r="B968">
        <v>0</v>
      </c>
      <c r="C968" t="s">
        <v>273</v>
      </c>
      <c r="D968">
        <v>0</v>
      </c>
      <c r="E968">
        <v>112.446</v>
      </c>
      <c r="F968">
        <v>23.4359</v>
      </c>
      <c r="G968">
        <v>164944.04</v>
      </c>
      <c r="H968" s="1">
        <v>35939</v>
      </c>
      <c r="I968" s="1">
        <v>35947</v>
      </c>
      <c r="J968" t="s">
        <v>15</v>
      </c>
      <c r="K968">
        <v>15</v>
      </c>
      <c r="L968">
        <v>1300</v>
      </c>
      <c r="M968" t="s">
        <v>16</v>
      </c>
      <c r="N968">
        <v>1</v>
      </c>
    </row>
    <row r="969" hidden="1" spans="1:14">
      <c r="A969">
        <v>1388</v>
      </c>
      <c r="B969">
        <v>0</v>
      </c>
      <c r="C969" t="s">
        <v>273</v>
      </c>
      <c r="D969">
        <v>0</v>
      </c>
      <c r="E969">
        <v>105.065</v>
      </c>
      <c r="F969">
        <v>28.6274</v>
      </c>
      <c r="G969">
        <v>35148.44</v>
      </c>
      <c r="H969" s="1">
        <v>36026</v>
      </c>
      <c r="I969" s="1">
        <v>36036</v>
      </c>
      <c r="J969" t="s">
        <v>15</v>
      </c>
      <c r="K969">
        <v>19</v>
      </c>
      <c r="L969">
        <v>0</v>
      </c>
      <c r="M969" t="s">
        <v>16</v>
      </c>
      <c r="N969">
        <v>1</v>
      </c>
    </row>
    <row r="970" hidden="1" spans="1:14">
      <c r="A970">
        <v>1389</v>
      </c>
      <c r="B970">
        <v>0</v>
      </c>
      <c r="C970" t="s">
        <v>273</v>
      </c>
      <c r="D970">
        <v>0</v>
      </c>
      <c r="E970">
        <v>106.413</v>
      </c>
      <c r="F970">
        <v>28.2752</v>
      </c>
      <c r="G970">
        <v>133217.34</v>
      </c>
      <c r="H970" s="1">
        <v>36010</v>
      </c>
      <c r="I970" s="1">
        <v>36014</v>
      </c>
      <c r="J970" t="s">
        <v>15</v>
      </c>
      <c r="K970">
        <v>90</v>
      </c>
      <c r="L970">
        <v>0</v>
      </c>
      <c r="M970" t="s">
        <v>16</v>
      </c>
      <c r="N970">
        <v>1</v>
      </c>
    </row>
    <row r="971" hidden="1" spans="1:14">
      <c r="A971">
        <v>1391</v>
      </c>
      <c r="B971">
        <v>0</v>
      </c>
      <c r="C971" t="s">
        <v>273</v>
      </c>
      <c r="D971">
        <v>0</v>
      </c>
      <c r="E971">
        <v>112.799</v>
      </c>
      <c r="F971">
        <v>29.3931</v>
      </c>
      <c r="G971">
        <v>367328.26</v>
      </c>
      <c r="H971" s="1">
        <v>35993</v>
      </c>
      <c r="I971" s="1">
        <v>36012</v>
      </c>
      <c r="J971" t="s">
        <v>15</v>
      </c>
      <c r="K971">
        <v>345</v>
      </c>
      <c r="L971">
        <v>3120000</v>
      </c>
      <c r="M971" t="s">
        <v>16</v>
      </c>
      <c r="N971">
        <v>2</v>
      </c>
    </row>
    <row r="972" hidden="1" spans="1:14">
      <c r="A972">
        <v>1428</v>
      </c>
      <c r="B972">
        <v>0</v>
      </c>
      <c r="C972" t="s">
        <v>273</v>
      </c>
      <c r="D972">
        <v>0</v>
      </c>
      <c r="E972">
        <v>123.35</v>
      </c>
      <c r="F972">
        <v>46.5755</v>
      </c>
      <c r="G972">
        <v>620830.18</v>
      </c>
      <c r="H972" s="1">
        <v>36015</v>
      </c>
      <c r="I972" s="1">
        <v>36052</v>
      </c>
      <c r="J972" t="s">
        <v>15</v>
      </c>
      <c r="K972">
        <v>89</v>
      </c>
      <c r="L972">
        <v>2160000</v>
      </c>
      <c r="M972" t="s">
        <v>16</v>
      </c>
      <c r="N972">
        <v>2</v>
      </c>
    </row>
    <row r="973" hidden="1" spans="1:14">
      <c r="A973">
        <v>1508</v>
      </c>
      <c r="B973">
        <v>0</v>
      </c>
      <c r="C973" t="s">
        <v>273</v>
      </c>
      <c r="D973">
        <v>0</v>
      </c>
      <c r="E973">
        <v>111.865</v>
      </c>
      <c r="F973">
        <v>31.4841</v>
      </c>
      <c r="G973">
        <v>100713.39</v>
      </c>
      <c r="H973" s="1">
        <v>36298</v>
      </c>
      <c r="I973" s="1">
        <v>36301</v>
      </c>
      <c r="J973" t="s">
        <v>15</v>
      </c>
      <c r="K973">
        <v>3</v>
      </c>
      <c r="L973">
        <v>69200</v>
      </c>
      <c r="M973" t="s">
        <v>16</v>
      </c>
      <c r="N973">
        <v>1</v>
      </c>
    </row>
    <row r="974" hidden="1" spans="1:14">
      <c r="A974">
        <v>1512</v>
      </c>
      <c r="B974">
        <v>0</v>
      </c>
      <c r="C974" t="s">
        <v>273</v>
      </c>
      <c r="D974">
        <v>0</v>
      </c>
      <c r="E974">
        <v>116.149</v>
      </c>
      <c r="F974">
        <v>27.9323</v>
      </c>
      <c r="G974">
        <v>73327.2</v>
      </c>
      <c r="H974" s="1">
        <v>36306</v>
      </c>
      <c r="I974" s="1">
        <v>36334</v>
      </c>
      <c r="J974" t="s">
        <v>15</v>
      </c>
      <c r="K974">
        <v>11</v>
      </c>
      <c r="L974">
        <v>0</v>
      </c>
      <c r="M974" t="s">
        <v>16</v>
      </c>
      <c r="N974">
        <v>1</v>
      </c>
    </row>
    <row r="975" hidden="1" spans="1:14">
      <c r="A975">
        <v>1515</v>
      </c>
      <c r="B975">
        <v>0</v>
      </c>
      <c r="C975" t="s">
        <v>273</v>
      </c>
      <c r="D975">
        <v>0</v>
      </c>
      <c r="E975">
        <v>95.886</v>
      </c>
      <c r="F975">
        <v>34.8414</v>
      </c>
      <c r="G975">
        <v>97849.14</v>
      </c>
      <c r="H975" s="1">
        <v>36323</v>
      </c>
      <c r="I975" s="1">
        <v>36330</v>
      </c>
      <c r="J975" t="s">
        <v>15</v>
      </c>
      <c r="K975">
        <v>27</v>
      </c>
      <c r="L975">
        <v>100000</v>
      </c>
      <c r="M975" t="s">
        <v>16</v>
      </c>
      <c r="N975">
        <v>1</v>
      </c>
    </row>
    <row r="976" hidden="1" spans="1:14">
      <c r="A976">
        <v>1521</v>
      </c>
      <c r="B976">
        <v>0</v>
      </c>
      <c r="C976" t="s">
        <v>273</v>
      </c>
      <c r="D976">
        <v>0</v>
      </c>
      <c r="E976">
        <v>103.202</v>
      </c>
      <c r="F976">
        <v>28.1269</v>
      </c>
      <c r="G976">
        <v>123894.33</v>
      </c>
      <c r="H976" s="1">
        <v>36275</v>
      </c>
      <c r="I976" s="1">
        <v>36340</v>
      </c>
      <c r="J976" t="s">
        <v>15</v>
      </c>
      <c r="K976">
        <v>49</v>
      </c>
      <c r="L976">
        <v>830000</v>
      </c>
      <c r="M976" t="s">
        <v>16</v>
      </c>
      <c r="N976">
        <v>1</v>
      </c>
    </row>
    <row r="977" hidden="1" spans="1:14">
      <c r="A977">
        <v>1522</v>
      </c>
      <c r="B977">
        <v>0</v>
      </c>
      <c r="C977" t="s">
        <v>273</v>
      </c>
      <c r="D977">
        <v>0</v>
      </c>
      <c r="E977">
        <v>111.673</v>
      </c>
      <c r="F977">
        <v>28.5161</v>
      </c>
      <c r="G977">
        <v>362133.7</v>
      </c>
      <c r="H977" s="1">
        <v>36334</v>
      </c>
      <c r="I977" s="1">
        <v>36375</v>
      </c>
      <c r="J977" t="s">
        <v>15</v>
      </c>
      <c r="K977">
        <v>725</v>
      </c>
      <c r="L977">
        <v>5530000</v>
      </c>
      <c r="M977" t="s">
        <v>16</v>
      </c>
      <c r="N977">
        <v>1</v>
      </c>
    </row>
    <row r="978" hidden="1" spans="1:14">
      <c r="A978">
        <v>1529</v>
      </c>
      <c r="B978">
        <v>0</v>
      </c>
      <c r="C978" t="s">
        <v>273</v>
      </c>
      <c r="D978">
        <v>0</v>
      </c>
      <c r="E978">
        <v>105.127</v>
      </c>
      <c r="F978">
        <v>36.4956</v>
      </c>
      <c r="G978">
        <v>35711.45</v>
      </c>
      <c r="H978" s="1">
        <v>36354</v>
      </c>
      <c r="I978" s="1">
        <v>36356</v>
      </c>
      <c r="J978" t="s">
        <v>15</v>
      </c>
      <c r="K978">
        <v>2</v>
      </c>
      <c r="L978">
        <v>0</v>
      </c>
      <c r="M978" t="s">
        <v>16</v>
      </c>
      <c r="N978">
        <v>1</v>
      </c>
    </row>
    <row r="979" hidden="1" spans="1:14">
      <c r="A979">
        <v>1536</v>
      </c>
      <c r="B979">
        <v>0</v>
      </c>
      <c r="C979" t="s">
        <v>273</v>
      </c>
      <c r="D979">
        <v>0</v>
      </c>
      <c r="E979">
        <v>98.9663</v>
      </c>
      <c r="F979">
        <v>30.4623</v>
      </c>
      <c r="G979">
        <v>147169.8</v>
      </c>
      <c r="H979" s="1">
        <v>36376</v>
      </c>
      <c r="I979" s="1">
        <v>36379</v>
      </c>
      <c r="J979" t="s">
        <v>15</v>
      </c>
      <c r="K979">
        <v>8</v>
      </c>
      <c r="L979">
        <v>24000</v>
      </c>
      <c r="M979" t="s">
        <v>18</v>
      </c>
      <c r="N979">
        <v>1</v>
      </c>
    </row>
    <row r="980" hidden="1" spans="1:14">
      <c r="A980">
        <v>1539</v>
      </c>
      <c r="B980">
        <v>0</v>
      </c>
      <c r="C980" t="s">
        <v>273</v>
      </c>
      <c r="D980">
        <v>0</v>
      </c>
      <c r="E980">
        <v>111.384</v>
      </c>
      <c r="F980">
        <v>27.0564</v>
      </c>
      <c r="G980">
        <v>104528.16</v>
      </c>
      <c r="H980" s="1">
        <v>36384</v>
      </c>
      <c r="I980" s="1">
        <v>36388</v>
      </c>
      <c r="J980" t="s">
        <v>15</v>
      </c>
      <c r="K980">
        <v>77</v>
      </c>
      <c r="L980">
        <v>120000</v>
      </c>
      <c r="M980" t="s">
        <v>18</v>
      </c>
      <c r="N980">
        <v>1</v>
      </c>
    </row>
    <row r="981" hidden="1" spans="1:14">
      <c r="A981">
        <v>1543</v>
      </c>
      <c r="B981">
        <v>0</v>
      </c>
      <c r="C981" t="s">
        <v>273</v>
      </c>
      <c r="D981">
        <v>0</v>
      </c>
      <c r="E981">
        <v>113.711</v>
      </c>
      <c r="F981">
        <v>23.4891</v>
      </c>
      <c r="G981">
        <v>111159.49</v>
      </c>
      <c r="H981" s="1">
        <v>36393</v>
      </c>
      <c r="I981" s="1">
        <v>36397</v>
      </c>
      <c r="J981" t="s">
        <v>15</v>
      </c>
      <c r="K981">
        <v>1</v>
      </c>
      <c r="L981">
        <v>352</v>
      </c>
      <c r="M981" t="s">
        <v>18</v>
      </c>
      <c r="N981">
        <v>1</v>
      </c>
    </row>
    <row r="982" hidden="1" spans="1:14">
      <c r="A982">
        <v>1548</v>
      </c>
      <c r="B982">
        <v>0</v>
      </c>
      <c r="C982" t="s">
        <v>273</v>
      </c>
      <c r="D982">
        <v>0</v>
      </c>
      <c r="E982">
        <v>117.386</v>
      </c>
      <c r="F982">
        <v>27.0353</v>
      </c>
      <c r="G982">
        <v>112209.14</v>
      </c>
      <c r="H982" s="1">
        <v>36409</v>
      </c>
      <c r="I982" s="1">
        <v>36410</v>
      </c>
      <c r="J982" t="s">
        <v>15</v>
      </c>
      <c r="K982">
        <v>153</v>
      </c>
      <c r="L982">
        <v>720000</v>
      </c>
      <c r="M982" t="s">
        <v>18</v>
      </c>
      <c r="N982">
        <v>1</v>
      </c>
    </row>
    <row r="983" hidden="1" spans="1:14">
      <c r="A983">
        <v>1557</v>
      </c>
      <c r="B983">
        <v>0</v>
      </c>
      <c r="C983" t="s">
        <v>273</v>
      </c>
      <c r="D983">
        <v>0</v>
      </c>
      <c r="E983">
        <v>116.022</v>
      </c>
      <c r="F983">
        <v>24.975</v>
      </c>
      <c r="G983">
        <v>177650.73</v>
      </c>
      <c r="H983" s="1">
        <v>36418</v>
      </c>
      <c r="I983" s="1">
        <v>36421</v>
      </c>
      <c r="J983" t="s">
        <v>15</v>
      </c>
      <c r="K983">
        <v>8</v>
      </c>
      <c r="L983">
        <v>10000</v>
      </c>
      <c r="M983" t="s">
        <v>86</v>
      </c>
      <c r="N983">
        <v>1</v>
      </c>
    </row>
    <row r="984" hidden="1" spans="1:14">
      <c r="A984">
        <v>1605</v>
      </c>
      <c r="B984">
        <v>0</v>
      </c>
      <c r="C984" t="s">
        <v>273</v>
      </c>
      <c r="D984">
        <v>0</v>
      </c>
      <c r="E984">
        <v>105.491</v>
      </c>
      <c r="F984">
        <v>32.3632</v>
      </c>
      <c r="G984">
        <v>114035.69</v>
      </c>
      <c r="H984" s="1">
        <v>36677</v>
      </c>
      <c r="I984" s="1">
        <v>36696</v>
      </c>
      <c r="J984" t="s">
        <v>15</v>
      </c>
      <c r="K984">
        <v>94</v>
      </c>
      <c r="L984">
        <v>8725</v>
      </c>
      <c r="M984" t="s">
        <v>23</v>
      </c>
      <c r="N984">
        <v>2</v>
      </c>
    </row>
    <row r="985" hidden="1" spans="1:14">
      <c r="A985">
        <v>1627</v>
      </c>
      <c r="B985">
        <v>0</v>
      </c>
      <c r="C985" t="s">
        <v>273</v>
      </c>
      <c r="D985" t="s">
        <v>275</v>
      </c>
      <c r="E985">
        <v>132.058</v>
      </c>
      <c r="F985">
        <v>43.7739</v>
      </c>
      <c r="G985">
        <v>81863.87</v>
      </c>
      <c r="H985" s="1">
        <v>36768</v>
      </c>
      <c r="I985" s="1">
        <v>36779</v>
      </c>
      <c r="J985" t="s">
        <v>15</v>
      </c>
      <c r="K985">
        <v>31</v>
      </c>
      <c r="L985">
        <v>14140</v>
      </c>
      <c r="M985" t="s">
        <v>86</v>
      </c>
      <c r="N985">
        <v>1</v>
      </c>
    </row>
    <row r="986" hidden="1" spans="1:14">
      <c r="A986">
        <v>1630</v>
      </c>
      <c r="B986">
        <v>0</v>
      </c>
      <c r="C986" t="s">
        <v>273</v>
      </c>
      <c r="D986">
        <v>0</v>
      </c>
      <c r="E986">
        <v>89.3845</v>
      </c>
      <c r="F986">
        <v>28.9955</v>
      </c>
      <c r="G986">
        <v>9210.78</v>
      </c>
      <c r="H986" s="1">
        <v>36766</v>
      </c>
      <c r="I986" s="1">
        <v>36774</v>
      </c>
      <c r="J986" t="s">
        <v>15</v>
      </c>
      <c r="K986">
        <v>0</v>
      </c>
      <c r="L986">
        <v>1300</v>
      </c>
      <c r="M986" t="s">
        <v>16</v>
      </c>
      <c r="N986">
        <v>1</v>
      </c>
    </row>
    <row r="987" hidden="1" spans="1:14">
      <c r="A987">
        <v>1631</v>
      </c>
      <c r="B987">
        <v>0</v>
      </c>
      <c r="C987" t="s">
        <v>273</v>
      </c>
      <c r="D987">
        <v>0</v>
      </c>
      <c r="E987">
        <v>113.483</v>
      </c>
      <c r="F987">
        <v>25.2293</v>
      </c>
      <c r="G987">
        <v>25899.58</v>
      </c>
      <c r="H987" s="1">
        <v>36770</v>
      </c>
      <c r="I987" s="1">
        <v>36775</v>
      </c>
      <c r="J987" t="s">
        <v>15</v>
      </c>
      <c r="K987">
        <v>47</v>
      </c>
      <c r="L987">
        <v>46000</v>
      </c>
      <c r="M987" t="s">
        <v>16</v>
      </c>
      <c r="N987">
        <v>1</v>
      </c>
    </row>
    <row r="988" hidden="1" spans="1:14">
      <c r="A988">
        <v>1784</v>
      </c>
      <c r="B988">
        <v>0</v>
      </c>
      <c r="C988" t="s">
        <v>273</v>
      </c>
      <c r="D988">
        <v>0</v>
      </c>
      <c r="E988">
        <v>106.122</v>
      </c>
      <c r="F988">
        <v>23.6726</v>
      </c>
      <c r="G988">
        <v>5570.29</v>
      </c>
      <c r="H988" s="1">
        <v>37128</v>
      </c>
      <c r="I988" s="1">
        <v>37128</v>
      </c>
      <c r="J988" t="s">
        <v>15</v>
      </c>
      <c r="K988">
        <v>15</v>
      </c>
      <c r="L988">
        <v>2000</v>
      </c>
      <c r="M988" t="s">
        <v>16</v>
      </c>
      <c r="N988">
        <v>1</v>
      </c>
    </row>
    <row r="989" hidden="1" spans="1:14">
      <c r="A989">
        <v>1787</v>
      </c>
      <c r="B989">
        <v>0</v>
      </c>
      <c r="C989" t="s">
        <v>273</v>
      </c>
      <c r="D989">
        <v>0</v>
      </c>
      <c r="E989">
        <v>109.503</v>
      </c>
      <c r="F989">
        <v>19.39</v>
      </c>
      <c r="G989">
        <v>14470.91</v>
      </c>
      <c r="H989" s="1">
        <v>37131</v>
      </c>
      <c r="I989" s="1">
        <v>37143</v>
      </c>
      <c r="J989" t="s">
        <v>15</v>
      </c>
      <c r="K989">
        <v>4</v>
      </c>
      <c r="L989">
        <v>50000</v>
      </c>
      <c r="M989" t="s">
        <v>86</v>
      </c>
      <c r="N989">
        <v>1</v>
      </c>
    </row>
    <row r="990" hidden="1" spans="1:14">
      <c r="A990">
        <v>1797</v>
      </c>
      <c r="B990">
        <v>0</v>
      </c>
      <c r="C990" t="s">
        <v>273</v>
      </c>
      <c r="D990">
        <v>0</v>
      </c>
      <c r="E990">
        <v>104.595</v>
      </c>
      <c r="F990">
        <v>31.0389</v>
      </c>
      <c r="G990">
        <v>14700.46</v>
      </c>
      <c r="H990" s="1">
        <v>37153</v>
      </c>
      <c r="I990" s="1">
        <v>37156</v>
      </c>
      <c r="J990" t="s">
        <v>15</v>
      </c>
      <c r="K990">
        <v>25</v>
      </c>
      <c r="L990">
        <v>100000</v>
      </c>
      <c r="M990" t="s">
        <v>18</v>
      </c>
      <c r="N990">
        <v>1</v>
      </c>
    </row>
    <row r="991" hidden="1" spans="1:14">
      <c r="A991">
        <v>1853</v>
      </c>
      <c r="B991">
        <v>0</v>
      </c>
      <c r="C991" t="s">
        <v>273</v>
      </c>
      <c r="D991">
        <v>0</v>
      </c>
      <c r="E991">
        <v>108.573</v>
      </c>
      <c r="F991">
        <v>40.7369</v>
      </c>
      <c r="G991">
        <v>17366.54</v>
      </c>
      <c r="H991" s="1">
        <v>37242</v>
      </c>
      <c r="I991" s="1">
        <v>37243</v>
      </c>
      <c r="J991" t="s">
        <v>15</v>
      </c>
      <c r="K991">
        <v>0</v>
      </c>
      <c r="L991">
        <v>4000</v>
      </c>
      <c r="M991" t="s">
        <v>48</v>
      </c>
      <c r="N991">
        <v>1</v>
      </c>
    </row>
    <row r="992" hidden="1" spans="1:14">
      <c r="A992">
        <v>1892</v>
      </c>
      <c r="B992">
        <v>0</v>
      </c>
      <c r="C992" t="s">
        <v>273</v>
      </c>
      <c r="D992">
        <v>0</v>
      </c>
      <c r="E992">
        <v>77.3556</v>
      </c>
      <c r="F992">
        <v>39.6906</v>
      </c>
      <c r="G992">
        <v>1017.36</v>
      </c>
      <c r="H992" s="1">
        <v>37325</v>
      </c>
      <c r="I992" s="1">
        <v>37327</v>
      </c>
      <c r="J992" t="s">
        <v>15</v>
      </c>
      <c r="K992">
        <v>0</v>
      </c>
      <c r="L992">
        <v>0</v>
      </c>
      <c r="M992" t="s">
        <v>25</v>
      </c>
      <c r="N992">
        <v>1</v>
      </c>
    </row>
    <row r="993" hidden="1" spans="1:14">
      <c r="A993">
        <v>1929</v>
      </c>
      <c r="B993">
        <v>0</v>
      </c>
      <c r="C993" t="s">
        <v>273</v>
      </c>
      <c r="D993">
        <v>0</v>
      </c>
      <c r="E993">
        <v>111.889</v>
      </c>
      <c r="F993">
        <v>27.3326</v>
      </c>
      <c r="G993">
        <v>156149.14</v>
      </c>
      <c r="H993" s="1">
        <v>37398</v>
      </c>
      <c r="I993" s="1">
        <v>37405</v>
      </c>
      <c r="J993" t="s">
        <v>15</v>
      </c>
      <c r="K993">
        <v>0</v>
      </c>
      <c r="L993">
        <v>0</v>
      </c>
      <c r="M993" t="s">
        <v>16</v>
      </c>
      <c r="N993">
        <v>1</v>
      </c>
    </row>
    <row r="994" hidden="1" spans="1:14">
      <c r="A994">
        <v>1940</v>
      </c>
      <c r="B994">
        <v>0</v>
      </c>
      <c r="C994" t="s">
        <v>273</v>
      </c>
      <c r="D994">
        <v>0</v>
      </c>
      <c r="E994">
        <v>82.5486</v>
      </c>
      <c r="F994">
        <v>43.3672</v>
      </c>
      <c r="G994">
        <v>124885.49</v>
      </c>
      <c r="H994" s="1">
        <v>37399</v>
      </c>
      <c r="I994" s="1">
        <v>37429</v>
      </c>
      <c r="J994" t="s">
        <v>15</v>
      </c>
      <c r="K994">
        <v>22</v>
      </c>
      <c r="L994">
        <v>0</v>
      </c>
      <c r="M994" t="s">
        <v>16</v>
      </c>
      <c r="N994">
        <v>2</v>
      </c>
    </row>
    <row r="995" hidden="1" spans="1:14">
      <c r="A995">
        <v>1944</v>
      </c>
      <c r="B995">
        <v>0</v>
      </c>
      <c r="C995" t="s">
        <v>273</v>
      </c>
      <c r="D995">
        <v>0</v>
      </c>
      <c r="E995">
        <v>108.51</v>
      </c>
      <c r="F995">
        <v>33.2088</v>
      </c>
      <c r="G995">
        <v>252147.97</v>
      </c>
      <c r="H995" s="1">
        <v>37415</v>
      </c>
      <c r="I995" s="1">
        <v>37425</v>
      </c>
      <c r="J995" t="s">
        <v>15</v>
      </c>
      <c r="K995">
        <v>326</v>
      </c>
      <c r="L995">
        <v>300000</v>
      </c>
      <c r="M995" t="s">
        <v>16</v>
      </c>
      <c r="N995">
        <v>2</v>
      </c>
    </row>
    <row r="996" hidden="1" spans="1:14">
      <c r="A996">
        <v>1954</v>
      </c>
      <c r="B996">
        <v>0</v>
      </c>
      <c r="C996" t="s">
        <v>273</v>
      </c>
      <c r="D996">
        <v>0</v>
      </c>
      <c r="E996">
        <v>118.078</v>
      </c>
      <c r="F996">
        <v>26.5167</v>
      </c>
      <c r="G996">
        <v>50532.06</v>
      </c>
      <c r="H996" s="1">
        <v>37419</v>
      </c>
      <c r="I996" s="1">
        <v>37426</v>
      </c>
      <c r="J996" t="s">
        <v>15</v>
      </c>
      <c r="K996">
        <v>11</v>
      </c>
      <c r="L996">
        <v>0</v>
      </c>
      <c r="M996" t="s">
        <v>16</v>
      </c>
      <c r="N996">
        <v>2</v>
      </c>
    </row>
    <row r="997" hidden="1" spans="1:14">
      <c r="A997">
        <v>1955</v>
      </c>
      <c r="B997">
        <v>0</v>
      </c>
      <c r="C997" t="s">
        <v>273</v>
      </c>
      <c r="D997">
        <v>0</v>
      </c>
      <c r="E997">
        <v>111.824</v>
      </c>
      <c r="F997">
        <v>28.0222</v>
      </c>
      <c r="G997">
        <v>130291.33</v>
      </c>
      <c r="H997" s="1">
        <v>37422</v>
      </c>
      <c r="I997" s="1">
        <v>37431</v>
      </c>
      <c r="J997" t="s">
        <v>15</v>
      </c>
      <c r="K997">
        <v>53</v>
      </c>
      <c r="L997">
        <v>32000</v>
      </c>
      <c r="M997" t="s">
        <v>16</v>
      </c>
      <c r="N997">
        <v>1</v>
      </c>
    </row>
    <row r="998" hidden="1" spans="1:14">
      <c r="A998">
        <v>1958</v>
      </c>
      <c r="B998">
        <v>0</v>
      </c>
      <c r="C998" t="s">
        <v>273</v>
      </c>
      <c r="D998">
        <v>0</v>
      </c>
      <c r="E998">
        <v>116.52</v>
      </c>
      <c r="F998">
        <v>27.8524</v>
      </c>
      <c r="G998">
        <v>13634.82</v>
      </c>
      <c r="H998" s="1">
        <v>37420</v>
      </c>
      <c r="I998" s="1">
        <v>37431</v>
      </c>
      <c r="J998" t="s">
        <v>15</v>
      </c>
      <c r="K998">
        <v>24</v>
      </c>
      <c r="L998">
        <v>150000</v>
      </c>
      <c r="M998" t="s">
        <v>16</v>
      </c>
      <c r="N998">
        <v>1</v>
      </c>
    </row>
    <row r="999" hidden="1" spans="1:14">
      <c r="A999">
        <v>1959</v>
      </c>
      <c r="B999">
        <v>0</v>
      </c>
      <c r="C999" t="s">
        <v>273</v>
      </c>
      <c r="D999">
        <v>0</v>
      </c>
      <c r="E999">
        <v>110.574</v>
      </c>
      <c r="F999">
        <v>25.3411</v>
      </c>
      <c r="G999">
        <v>20154.02</v>
      </c>
      <c r="H999" s="1">
        <v>37421</v>
      </c>
      <c r="I999" s="1">
        <v>37429</v>
      </c>
      <c r="J999" t="s">
        <v>15</v>
      </c>
      <c r="K999">
        <v>0</v>
      </c>
      <c r="L999">
        <v>8000</v>
      </c>
      <c r="M999" t="s">
        <v>16</v>
      </c>
      <c r="N999">
        <v>2</v>
      </c>
    </row>
    <row r="1000" hidden="1" spans="1:14">
      <c r="A1000">
        <v>1964</v>
      </c>
      <c r="B1000">
        <v>0</v>
      </c>
      <c r="C1000" t="s">
        <v>273</v>
      </c>
      <c r="D1000">
        <v>0</v>
      </c>
      <c r="E1000">
        <v>107.99</v>
      </c>
      <c r="F1000">
        <v>33.0246</v>
      </c>
      <c r="G1000">
        <v>22455.41</v>
      </c>
      <c r="H1000" s="1">
        <v>37428</v>
      </c>
      <c r="I1000" s="1">
        <v>37432</v>
      </c>
      <c r="J1000" t="s">
        <v>15</v>
      </c>
      <c r="K1000">
        <v>0</v>
      </c>
      <c r="L1000">
        <v>0</v>
      </c>
      <c r="M1000" t="s">
        <v>16</v>
      </c>
      <c r="N1000">
        <v>1</v>
      </c>
    </row>
    <row r="1001" hidden="1" spans="1:14">
      <c r="A1001">
        <v>1971</v>
      </c>
      <c r="B1001">
        <v>0</v>
      </c>
      <c r="C1001" t="s">
        <v>273</v>
      </c>
      <c r="D1001">
        <v>0</v>
      </c>
      <c r="E1001">
        <v>115.253</v>
      </c>
      <c r="F1001">
        <v>29.6633</v>
      </c>
      <c r="G1001">
        <v>598178.98</v>
      </c>
      <c r="H1001" s="1">
        <v>37437</v>
      </c>
      <c r="I1001" s="1">
        <v>37450</v>
      </c>
      <c r="J1001" t="s">
        <v>15</v>
      </c>
      <c r="K1001">
        <v>0</v>
      </c>
      <c r="L1001">
        <v>0</v>
      </c>
      <c r="M1001" t="s">
        <v>16</v>
      </c>
      <c r="N1001">
        <v>1</v>
      </c>
    </row>
    <row r="1002" hidden="1" spans="1:14">
      <c r="A1002">
        <v>1973</v>
      </c>
      <c r="B1002">
        <v>0</v>
      </c>
      <c r="C1002" t="s">
        <v>273</v>
      </c>
      <c r="D1002">
        <v>0</v>
      </c>
      <c r="E1002">
        <v>110.702</v>
      </c>
      <c r="F1002">
        <v>25.0185</v>
      </c>
      <c r="G1002">
        <v>179044.58</v>
      </c>
      <c r="H1002" s="1">
        <v>37436</v>
      </c>
      <c r="I1002" s="1">
        <v>37443</v>
      </c>
      <c r="J1002" t="s">
        <v>15</v>
      </c>
      <c r="K1002">
        <v>11</v>
      </c>
      <c r="L1002">
        <v>80000</v>
      </c>
      <c r="M1002" t="s">
        <v>16</v>
      </c>
      <c r="N1002">
        <v>1</v>
      </c>
    </row>
    <row r="1003" hidden="1" spans="1:14">
      <c r="A1003">
        <v>1975</v>
      </c>
      <c r="B1003">
        <v>0</v>
      </c>
      <c r="C1003" t="s">
        <v>273</v>
      </c>
      <c r="D1003">
        <v>0</v>
      </c>
      <c r="E1003">
        <v>109.831</v>
      </c>
      <c r="F1003">
        <v>37.0417</v>
      </c>
      <c r="G1003">
        <v>4728.5</v>
      </c>
      <c r="H1003" s="1">
        <v>37441</v>
      </c>
      <c r="I1003" s="1">
        <v>37444</v>
      </c>
      <c r="J1003" t="s">
        <v>15</v>
      </c>
      <c r="K1003">
        <v>5</v>
      </c>
      <c r="L1003">
        <v>0</v>
      </c>
      <c r="M1003" t="s">
        <v>16</v>
      </c>
      <c r="N1003">
        <v>1</v>
      </c>
    </row>
    <row r="1004" hidden="1" spans="1:14">
      <c r="A1004">
        <v>2005</v>
      </c>
      <c r="B1004">
        <v>0</v>
      </c>
      <c r="C1004" t="s">
        <v>273</v>
      </c>
      <c r="D1004">
        <v>0</v>
      </c>
      <c r="E1004">
        <v>89.0049</v>
      </c>
      <c r="F1004">
        <v>46.3429</v>
      </c>
      <c r="G1004">
        <v>127556.41</v>
      </c>
      <c r="H1004" s="1">
        <v>37458</v>
      </c>
      <c r="I1004" s="1">
        <v>37466</v>
      </c>
      <c r="J1004" t="s">
        <v>15</v>
      </c>
      <c r="K1004">
        <v>15</v>
      </c>
      <c r="L1004">
        <v>10000</v>
      </c>
      <c r="M1004" t="s">
        <v>16</v>
      </c>
      <c r="N1004">
        <v>2</v>
      </c>
    </row>
    <row r="1005" hidden="1" spans="1:14">
      <c r="A1005">
        <v>2016</v>
      </c>
      <c r="B1005">
        <v>0</v>
      </c>
      <c r="C1005" t="s">
        <v>273</v>
      </c>
      <c r="D1005">
        <v>0</v>
      </c>
      <c r="E1005">
        <v>122.641</v>
      </c>
      <c r="F1005">
        <v>40.974</v>
      </c>
      <c r="G1005">
        <v>6075.26</v>
      </c>
      <c r="H1005" s="1">
        <v>37471</v>
      </c>
      <c r="I1005" s="1">
        <v>37474</v>
      </c>
      <c r="J1005" t="s">
        <v>15</v>
      </c>
      <c r="K1005">
        <v>2</v>
      </c>
      <c r="L1005">
        <v>0</v>
      </c>
      <c r="M1005" t="s">
        <v>16</v>
      </c>
      <c r="N1005">
        <v>1</v>
      </c>
    </row>
    <row r="1006" hidden="1" spans="1:14">
      <c r="A1006">
        <v>2018</v>
      </c>
      <c r="B1006">
        <v>0</v>
      </c>
      <c r="C1006" t="s">
        <v>273</v>
      </c>
      <c r="D1006">
        <v>0</v>
      </c>
      <c r="E1006">
        <v>104.559</v>
      </c>
      <c r="F1006">
        <v>35.6268</v>
      </c>
      <c r="G1006">
        <v>5174.6</v>
      </c>
      <c r="H1006" s="1">
        <v>37472</v>
      </c>
      <c r="I1006" s="1">
        <v>37473</v>
      </c>
      <c r="J1006" t="s">
        <v>15</v>
      </c>
      <c r="K1006">
        <v>28</v>
      </c>
      <c r="L1006">
        <v>0</v>
      </c>
      <c r="M1006" t="s">
        <v>16</v>
      </c>
      <c r="N1006">
        <v>1</v>
      </c>
    </row>
    <row r="1007" hidden="1" spans="1:14">
      <c r="A1007">
        <v>2019</v>
      </c>
      <c r="B1007">
        <v>0</v>
      </c>
      <c r="C1007" t="s">
        <v>273</v>
      </c>
      <c r="D1007">
        <v>0</v>
      </c>
      <c r="E1007">
        <v>116.272</v>
      </c>
      <c r="F1007">
        <v>24.4607</v>
      </c>
      <c r="G1007">
        <v>2120.16</v>
      </c>
      <c r="H1007" s="1">
        <v>37473</v>
      </c>
      <c r="I1007" s="1">
        <v>37480</v>
      </c>
      <c r="J1007" t="s">
        <v>15</v>
      </c>
      <c r="K1007">
        <v>10</v>
      </c>
      <c r="L1007">
        <v>1500</v>
      </c>
      <c r="M1007" t="s">
        <v>16</v>
      </c>
      <c r="N1007">
        <v>1</v>
      </c>
    </row>
    <row r="1008" hidden="1" spans="1:14">
      <c r="A1008">
        <v>2023</v>
      </c>
      <c r="B1008">
        <v>0</v>
      </c>
      <c r="C1008" t="s">
        <v>273</v>
      </c>
      <c r="D1008">
        <v>0</v>
      </c>
      <c r="E1008">
        <v>112.817</v>
      </c>
      <c r="F1008">
        <v>26.7781</v>
      </c>
      <c r="G1008">
        <v>94511.31</v>
      </c>
      <c r="H1008" s="1">
        <v>37474</v>
      </c>
      <c r="I1008" s="1">
        <v>37496</v>
      </c>
      <c r="J1008" t="s">
        <v>15</v>
      </c>
      <c r="K1008">
        <v>124</v>
      </c>
      <c r="L1008">
        <v>270000</v>
      </c>
      <c r="M1008" t="s">
        <v>16</v>
      </c>
      <c r="N1008">
        <v>1</v>
      </c>
    </row>
    <row r="1009" hidden="1" spans="1:14">
      <c r="A1009">
        <v>2028</v>
      </c>
      <c r="B1009">
        <v>0</v>
      </c>
      <c r="C1009" t="s">
        <v>273</v>
      </c>
      <c r="D1009">
        <v>0</v>
      </c>
      <c r="E1009">
        <v>104.103</v>
      </c>
      <c r="F1009">
        <v>30.6894</v>
      </c>
      <c r="G1009">
        <v>522.922</v>
      </c>
      <c r="H1009" s="1">
        <v>37476</v>
      </c>
      <c r="I1009" s="1">
        <v>37481</v>
      </c>
      <c r="J1009" t="s">
        <v>15</v>
      </c>
      <c r="K1009">
        <v>5</v>
      </c>
      <c r="L1009">
        <v>0</v>
      </c>
      <c r="M1009" t="s">
        <v>16</v>
      </c>
      <c r="N1009">
        <v>1</v>
      </c>
    </row>
    <row r="1010" hidden="1" spans="1:14">
      <c r="A1010">
        <v>2031</v>
      </c>
      <c r="B1010">
        <v>0</v>
      </c>
      <c r="C1010" t="s">
        <v>273</v>
      </c>
      <c r="D1010">
        <v>0</v>
      </c>
      <c r="E1010">
        <v>119.44</v>
      </c>
      <c r="F1010">
        <v>28.8575</v>
      </c>
      <c r="G1010">
        <v>28018.74</v>
      </c>
      <c r="H1010" s="1">
        <v>37481</v>
      </c>
      <c r="I1010" s="1">
        <v>37485</v>
      </c>
      <c r="J1010" t="s">
        <v>15</v>
      </c>
      <c r="K1010">
        <v>21</v>
      </c>
      <c r="L1010">
        <v>0</v>
      </c>
      <c r="M1010" t="s">
        <v>16</v>
      </c>
      <c r="N1010">
        <v>1</v>
      </c>
    </row>
    <row r="1011" hidden="1" spans="1:14">
      <c r="A1011">
        <v>2034</v>
      </c>
      <c r="B1011">
        <v>0</v>
      </c>
      <c r="C1011" t="s">
        <v>273</v>
      </c>
      <c r="D1011">
        <v>0</v>
      </c>
      <c r="E1011">
        <v>99.4409</v>
      </c>
      <c r="F1011">
        <v>25.5714</v>
      </c>
      <c r="G1011">
        <v>17267.47</v>
      </c>
      <c r="H1011" s="1">
        <v>37482</v>
      </c>
      <c r="I1011" s="1">
        <v>37488</v>
      </c>
      <c r="J1011" t="s">
        <v>15</v>
      </c>
      <c r="K1011">
        <v>106</v>
      </c>
      <c r="L1011">
        <v>13000</v>
      </c>
      <c r="M1011" t="s">
        <v>16</v>
      </c>
      <c r="N1011">
        <v>1</v>
      </c>
    </row>
    <row r="1012" hidden="1" spans="1:14">
      <c r="A1012">
        <v>2036</v>
      </c>
      <c r="B1012">
        <v>0</v>
      </c>
      <c r="C1012" t="s">
        <v>273</v>
      </c>
      <c r="D1012">
        <v>0</v>
      </c>
      <c r="E1012">
        <v>75.4151</v>
      </c>
      <c r="F1012">
        <v>39.7325</v>
      </c>
      <c r="G1012">
        <v>17448.18</v>
      </c>
      <c r="H1012" s="1">
        <v>37483</v>
      </c>
      <c r="I1012" s="1">
        <v>37487</v>
      </c>
      <c r="J1012" t="s">
        <v>15</v>
      </c>
      <c r="K1012">
        <v>0</v>
      </c>
      <c r="L1012">
        <v>0</v>
      </c>
      <c r="M1012" t="s">
        <v>16</v>
      </c>
      <c r="N1012">
        <v>2</v>
      </c>
    </row>
    <row r="1013" hidden="1" spans="1:14">
      <c r="A1013">
        <v>2079</v>
      </c>
      <c r="B1013">
        <v>0</v>
      </c>
      <c r="C1013" t="s">
        <v>273</v>
      </c>
      <c r="D1013">
        <v>0</v>
      </c>
      <c r="E1013">
        <v>113.385</v>
      </c>
      <c r="F1013">
        <v>24.2694</v>
      </c>
      <c r="G1013">
        <v>7741.04</v>
      </c>
      <c r="H1013" s="1">
        <v>37557</v>
      </c>
      <c r="I1013" s="1">
        <v>37562</v>
      </c>
      <c r="J1013" t="s">
        <v>15</v>
      </c>
      <c r="K1013">
        <v>0</v>
      </c>
      <c r="L1013">
        <v>50000</v>
      </c>
      <c r="M1013" t="s">
        <v>16</v>
      </c>
      <c r="N1013">
        <v>1</v>
      </c>
    </row>
    <row r="1014" hidden="1" spans="1:14">
      <c r="A1014">
        <v>2231</v>
      </c>
      <c r="B1014">
        <v>0</v>
      </c>
      <c r="C1014" t="s">
        <v>273</v>
      </c>
      <c r="D1014">
        <v>0</v>
      </c>
      <c r="E1014">
        <v>114.939</v>
      </c>
      <c r="F1014">
        <v>26.5695</v>
      </c>
      <c r="G1014">
        <v>317905.6</v>
      </c>
      <c r="H1014" s="1">
        <v>37756</v>
      </c>
      <c r="I1014" s="1">
        <v>37762</v>
      </c>
      <c r="J1014" t="s">
        <v>15</v>
      </c>
      <c r="K1014">
        <v>83</v>
      </c>
      <c r="L1014">
        <v>18000</v>
      </c>
      <c r="M1014" t="s">
        <v>16</v>
      </c>
      <c r="N1014">
        <v>1</v>
      </c>
    </row>
    <row r="1015" hidden="1" spans="1:14">
      <c r="A1015">
        <v>2242</v>
      </c>
      <c r="B1015">
        <v>0</v>
      </c>
      <c r="C1015" t="s">
        <v>273</v>
      </c>
      <c r="D1015">
        <v>0</v>
      </c>
      <c r="E1015">
        <v>82.5109</v>
      </c>
      <c r="F1015">
        <v>43.7754</v>
      </c>
      <c r="G1015">
        <v>44616.58</v>
      </c>
      <c r="H1015" s="1">
        <v>37777</v>
      </c>
      <c r="I1015" s="1">
        <v>37779</v>
      </c>
      <c r="J1015" t="s">
        <v>15</v>
      </c>
      <c r="K1015">
        <v>28</v>
      </c>
      <c r="L1015">
        <v>0</v>
      </c>
      <c r="M1015" t="s">
        <v>16</v>
      </c>
      <c r="N1015">
        <v>1</v>
      </c>
    </row>
    <row r="1016" hidden="1" spans="1:14">
      <c r="A1016">
        <v>2245</v>
      </c>
      <c r="B1016">
        <v>0</v>
      </c>
      <c r="C1016" t="s">
        <v>273</v>
      </c>
      <c r="D1016">
        <v>0</v>
      </c>
      <c r="E1016">
        <v>110.741</v>
      </c>
      <c r="F1016">
        <v>30.9182</v>
      </c>
      <c r="G1016">
        <v>9132.34</v>
      </c>
      <c r="H1016" s="1">
        <v>37773</v>
      </c>
      <c r="I1016" s="1">
        <v>37786</v>
      </c>
      <c r="J1016" t="s">
        <v>15</v>
      </c>
      <c r="K1016">
        <v>0</v>
      </c>
      <c r="L1016">
        <v>0</v>
      </c>
      <c r="M1016" t="s">
        <v>25</v>
      </c>
      <c r="N1016">
        <v>1</v>
      </c>
    </row>
    <row r="1017" hidden="1" spans="1:14">
      <c r="A1017">
        <v>2261</v>
      </c>
      <c r="B1017">
        <v>0</v>
      </c>
      <c r="C1017" t="s">
        <v>273</v>
      </c>
      <c r="D1017">
        <v>0</v>
      </c>
      <c r="E1017">
        <v>118.401</v>
      </c>
      <c r="F1017">
        <v>28.831</v>
      </c>
      <c r="G1017">
        <v>1540349.44</v>
      </c>
      <c r="H1017" s="1">
        <v>37795</v>
      </c>
      <c r="I1017" s="1">
        <v>37830</v>
      </c>
      <c r="J1017" t="s">
        <v>15</v>
      </c>
      <c r="K1017">
        <v>430</v>
      </c>
      <c r="L1017">
        <v>1500000</v>
      </c>
      <c r="M1017" t="s">
        <v>16</v>
      </c>
      <c r="N1017">
        <v>1</v>
      </c>
    </row>
    <row r="1018" hidden="1" spans="1:14">
      <c r="A1018">
        <v>2269</v>
      </c>
      <c r="B1018">
        <v>0</v>
      </c>
      <c r="C1018" t="s">
        <v>273</v>
      </c>
      <c r="D1018">
        <v>0</v>
      </c>
      <c r="E1018">
        <v>115.718</v>
      </c>
      <c r="F1018">
        <v>32.5166</v>
      </c>
      <c r="G1018">
        <v>126534.39</v>
      </c>
      <c r="H1018" s="1">
        <v>37803</v>
      </c>
      <c r="I1018" s="1">
        <v>37840</v>
      </c>
      <c r="J1018" t="s">
        <v>15</v>
      </c>
      <c r="K1018">
        <v>18</v>
      </c>
      <c r="L1018">
        <v>1600000</v>
      </c>
      <c r="M1018" t="s">
        <v>16</v>
      </c>
      <c r="N1018">
        <v>2</v>
      </c>
    </row>
    <row r="1019" hidden="1" spans="1:14">
      <c r="A1019">
        <v>2278</v>
      </c>
      <c r="B1019">
        <v>0</v>
      </c>
      <c r="C1019" t="s">
        <v>273</v>
      </c>
      <c r="D1019">
        <v>0</v>
      </c>
      <c r="E1019">
        <v>92.8839</v>
      </c>
      <c r="F1019">
        <v>43.1637</v>
      </c>
      <c r="G1019">
        <v>103777.99</v>
      </c>
      <c r="H1019" s="1">
        <v>37814</v>
      </c>
      <c r="I1019" s="1">
        <v>37817</v>
      </c>
      <c r="J1019" t="s">
        <v>15</v>
      </c>
      <c r="K1019">
        <v>1</v>
      </c>
      <c r="L1019">
        <v>0</v>
      </c>
      <c r="M1019" t="s">
        <v>16</v>
      </c>
      <c r="N1019">
        <v>1</v>
      </c>
    </row>
    <row r="1020" hidden="1" spans="1:14">
      <c r="A1020">
        <v>2291</v>
      </c>
      <c r="B1020">
        <v>0</v>
      </c>
      <c r="C1020" t="s">
        <v>273</v>
      </c>
      <c r="D1020">
        <v>0</v>
      </c>
      <c r="E1020">
        <v>110.141</v>
      </c>
      <c r="F1020">
        <v>21.2109</v>
      </c>
      <c r="G1020">
        <v>50628</v>
      </c>
      <c r="H1020" s="1">
        <v>37825</v>
      </c>
      <c r="I1020" s="1">
        <v>37827</v>
      </c>
      <c r="J1020" t="s">
        <v>15</v>
      </c>
      <c r="K1020">
        <v>14</v>
      </c>
      <c r="L1020">
        <v>30000</v>
      </c>
      <c r="M1020" t="s">
        <v>103</v>
      </c>
      <c r="N1020">
        <v>1</v>
      </c>
    </row>
    <row r="1021" hidden="1" spans="1:14">
      <c r="A1021">
        <v>2296</v>
      </c>
      <c r="B1021">
        <v>0</v>
      </c>
      <c r="C1021" t="s">
        <v>273</v>
      </c>
      <c r="D1021">
        <v>0</v>
      </c>
      <c r="E1021">
        <v>124.702</v>
      </c>
      <c r="F1021">
        <v>47.944</v>
      </c>
      <c r="G1021">
        <v>215590.79</v>
      </c>
      <c r="H1021" s="1">
        <v>37829</v>
      </c>
      <c r="I1021" s="1">
        <v>37904</v>
      </c>
      <c r="J1021" t="s">
        <v>15</v>
      </c>
      <c r="K1021">
        <v>0</v>
      </c>
      <c r="L1021">
        <v>1000</v>
      </c>
      <c r="M1021" t="s">
        <v>16</v>
      </c>
      <c r="N1021">
        <v>1</v>
      </c>
    </row>
    <row r="1022" hidden="1" spans="1:14">
      <c r="A1022">
        <v>2301</v>
      </c>
      <c r="B1022">
        <v>0</v>
      </c>
      <c r="C1022" t="s">
        <v>273</v>
      </c>
      <c r="D1022">
        <v>0</v>
      </c>
      <c r="E1022">
        <v>111.067</v>
      </c>
      <c r="F1022">
        <v>39.043</v>
      </c>
      <c r="G1022">
        <v>9891.46</v>
      </c>
      <c r="H1022" s="1">
        <v>37832</v>
      </c>
      <c r="I1022" s="1">
        <v>37834</v>
      </c>
      <c r="J1022" t="s">
        <v>15</v>
      </c>
      <c r="K1022">
        <v>2</v>
      </c>
      <c r="L1022">
        <v>0</v>
      </c>
      <c r="M1022" t="s">
        <v>16</v>
      </c>
      <c r="N1022">
        <v>1</v>
      </c>
    </row>
    <row r="1023" hidden="1" spans="1:14">
      <c r="A1023">
        <v>2321</v>
      </c>
      <c r="B1023">
        <v>0</v>
      </c>
      <c r="C1023" t="s">
        <v>273</v>
      </c>
      <c r="D1023">
        <v>0</v>
      </c>
      <c r="E1023">
        <v>94.3294</v>
      </c>
      <c r="F1023">
        <v>32.3393</v>
      </c>
      <c r="G1023">
        <v>323815.17</v>
      </c>
      <c r="H1023" s="1">
        <v>37834</v>
      </c>
      <c r="I1023" s="1">
        <v>37858</v>
      </c>
      <c r="J1023" t="s">
        <v>15</v>
      </c>
      <c r="K1023">
        <v>1</v>
      </c>
      <c r="L1023">
        <v>600</v>
      </c>
      <c r="M1023" t="s">
        <v>16</v>
      </c>
      <c r="N1023">
        <v>1</v>
      </c>
    </row>
    <row r="1024" hidden="1" spans="1:14">
      <c r="A1024">
        <v>2328</v>
      </c>
      <c r="B1024">
        <v>0</v>
      </c>
      <c r="C1024" t="s">
        <v>273</v>
      </c>
      <c r="D1024" t="s">
        <v>239</v>
      </c>
      <c r="E1024">
        <v>110.266</v>
      </c>
      <c r="F1024">
        <v>21.1505</v>
      </c>
      <c r="G1024">
        <v>27219.12</v>
      </c>
      <c r="H1024" s="1">
        <v>37858</v>
      </c>
      <c r="I1024" s="1">
        <v>37859</v>
      </c>
      <c r="J1024" t="s">
        <v>15</v>
      </c>
      <c r="K1024">
        <v>3</v>
      </c>
      <c r="L1024">
        <v>0</v>
      </c>
      <c r="M1024" t="s">
        <v>103</v>
      </c>
      <c r="N1024">
        <v>1</v>
      </c>
    </row>
    <row r="1025" hidden="1" spans="1:14">
      <c r="A1025">
        <v>2332</v>
      </c>
      <c r="B1025">
        <v>0</v>
      </c>
      <c r="C1025" t="s">
        <v>273</v>
      </c>
      <c r="D1025">
        <v>0</v>
      </c>
      <c r="E1025">
        <v>107.985</v>
      </c>
      <c r="F1025">
        <v>35.6812</v>
      </c>
      <c r="G1025">
        <v>471060.82</v>
      </c>
      <c r="H1025" s="1">
        <v>37857</v>
      </c>
      <c r="I1025" s="1">
        <v>37937</v>
      </c>
      <c r="J1025" t="s">
        <v>15</v>
      </c>
      <c r="K1025">
        <v>123</v>
      </c>
      <c r="L1025">
        <v>670000</v>
      </c>
      <c r="M1025" t="s">
        <v>16</v>
      </c>
      <c r="N1025">
        <v>2</v>
      </c>
    </row>
    <row r="1026" hidden="1" spans="1:14">
      <c r="A1026">
        <v>2337</v>
      </c>
      <c r="B1026">
        <v>0</v>
      </c>
      <c r="C1026" t="s">
        <v>273</v>
      </c>
      <c r="D1026">
        <v>0</v>
      </c>
      <c r="E1026">
        <v>103.018</v>
      </c>
      <c r="F1026">
        <v>30.0316</v>
      </c>
      <c r="G1026">
        <v>6155.34</v>
      </c>
      <c r="H1026" s="1">
        <v>37859</v>
      </c>
      <c r="I1026" s="1">
        <v>37863</v>
      </c>
      <c r="J1026" t="s">
        <v>15</v>
      </c>
      <c r="K1026">
        <v>17</v>
      </c>
      <c r="L1026">
        <v>0</v>
      </c>
      <c r="M1026" t="s">
        <v>16</v>
      </c>
      <c r="N1026">
        <v>1</v>
      </c>
    </row>
    <row r="1027" hidden="1" spans="1:14">
      <c r="A1027">
        <v>2353</v>
      </c>
      <c r="B1027">
        <v>0</v>
      </c>
      <c r="C1027" t="s">
        <v>273</v>
      </c>
      <c r="D1027">
        <v>0</v>
      </c>
      <c r="E1027">
        <v>118.581</v>
      </c>
      <c r="F1027">
        <v>25.7276</v>
      </c>
      <c r="G1027">
        <v>2292.81</v>
      </c>
      <c r="H1027" s="1">
        <v>37884</v>
      </c>
      <c r="I1027" s="1">
        <v>37886</v>
      </c>
      <c r="J1027" t="s">
        <v>15</v>
      </c>
      <c r="K1027">
        <v>13</v>
      </c>
      <c r="L1027">
        <v>8000</v>
      </c>
      <c r="M1027" t="s">
        <v>16</v>
      </c>
      <c r="N1027">
        <v>1</v>
      </c>
    </row>
    <row r="1028" hidden="1" spans="1:14">
      <c r="A1028">
        <v>2483</v>
      </c>
      <c r="B1028">
        <v>0</v>
      </c>
      <c r="C1028" t="s">
        <v>273</v>
      </c>
      <c r="D1028">
        <v>0</v>
      </c>
      <c r="E1028">
        <v>117.428</v>
      </c>
      <c r="F1028">
        <v>29.1622</v>
      </c>
      <c r="G1028">
        <v>10939.99</v>
      </c>
      <c r="H1028" s="1">
        <v>38120</v>
      </c>
      <c r="I1028" s="1">
        <v>38124</v>
      </c>
      <c r="J1028" t="s">
        <v>15</v>
      </c>
      <c r="K1028">
        <v>7</v>
      </c>
      <c r="L1028">
        <v>0</v>
      </c>
      <c r="M1028" t="s">
        <v>16</v>
      </c>
      <c r="N1028">
        <v>1</v>
      </c>
    </row>
    <row r="1029" hidden="1" spans="1:14">
      <c r="A1029">
        <v>2487</v>
      </c>
      <c r="B1029">
        <v>0</v>
      </c>
      <c r="C1029" t="s">
        <v>273</v>
      </c>
      <c r="D1029">
        <v>0</v>
      </c>
      <c r="E1029">
        <v>109.474</v>
      </c>
      <c r="F1029">
        <v>30.2851</v>
      </c>
      <c r="G1029">
        <v>114.073</v>
      </c>
      <c r="H1029" s="1">
        <v>38134</v>
      </c>
      <c r="I1029" s="1">
        <v>38135</v>
      </c>
      <c r="J1029" t="s">
        <v>15</v>
      </c>
      <c r="K1029">
        <v>18</v>
      </c>
      <c r="L1029">
        <v>0</v>
      </c>
      <c r="M1029" t="s">
        <v>25</v>
      </c>
      <c r="N1029">
        <v>1</v>
      </c>
    </row>
    <row r="1030" hidden="1" spans="1:14">
      <c r="A1030">
        <v>2489</v>
      </c>
      <c r="B1030">
        <v>0</v>
      </c>
      <c r="C1030" t="s">
        <v>273</v>
      </c>
      <c r="D1030">
        <v>0</v>
      </c>
      <c r="E1030">
        <v>86.2589</v>
      </c>
      <c r="F1030">
        <v>47.8637</v>
      </c>
      <c r="G1030">
        <v>2442.19</v>
      </c>
      <c r="H1030" s="1">
        <v>38138</v>
      </c>
      <c r="I1030" s="1">
        <v>38139</v>
      </c>
      <c r="J1030" t="s">
        <v>15</v>
      </c>
      <c r="K1030">
        <v>4</v>
      </c>
      <c r="L1030">
        <v>0</v>
      </c>
      <c r="M1030" t="s">
        <v>18</v>
      </c>
      <c r="N1030">
        <v>1</v>
      </c>
    </row>
    <row r="1031" hidden="1" spans="1:14">
      <c r="A1031">
        <v>2493</v>
      </c>
      <c r="B1031">
        <v>0</v>
      </c>
      <c r="C1031" t="s">
        <v>273</v>
      </c>
      <c r="D1031">
        <v>0</v>
      </c>
      <c r="E1031">
        <v>106.888</v>
      </c>
      <c r="F1031">
        <v>25.9751</v>
      </c>
      <c r="G1031">
        <v>9845.03</v>
      </c>
      <c r="H1031" s="1">
        <v>38143</v>
      </c>
      <c r="I1031" s="1">
        <v>38144</v>
      </c>
      <c r="J1031" t="s">
        <v>15</v>
      </c>
      <c r="K1031">
        <v>3</v>
      </c>
      <c r="L1031">
        <v>0</v>
      </c>
      <c r="M1031" t="s">
        <v>18</v>
      </c>
      <c r="N1031">
        <v>1</v>
      </c>
    </row>
    <row r="1032" hidden="1" spans="1:14">
      <c r="A1032">
        <v>2502</v>
      </c>
      <c r="B1032">
        <v>0</v>
      </c>
      <c r="C1032" t="s">
        <v>273</v>
      </c>
      <c r="D1032">
        <v>0</v>
      </c>
      <c r="E1032">
        <v>106.151</v>
      </c>
      <c r="F1032">
        <v>27.1983</v>
      </c>
      <c r="G1032">
        <v>47477.59</v>
      </c>
      <c r="H1032" s="1">
        <v>38152</v>
      </c>
      <c r="I1032" s="1">
        <v>38154</v>
      </c>
      <c r="J1032" t="s">
        <v>15</v>
      </c>
      <c r="K1032">
        <v>2</v>
      </c>
      <c r="L1032">
        <v>0</v>
      </c>
      <c r="M1032" t="s">
        <v>16</v>
      </c>
      <c r="N1032">
        <v>1</v>
      </c>
    </row>
    <row r="1033" hidden="1" spans="1:14">
      <c r="A1033">
        <v>2508</v>
      </c>
      <c r="B1033">
        <v>0</v>
      </c>
      <c r="C1033" t="s">
        <v>273</v>
      </c>
      <c r="D1033">
        <v>0</v>
      </c>
      <c r="E1033">
        <v>111.683</v>
      </c>
      <c r="F1033">
        <v>28.0894</v>
      </c>
      <c r="G1033">
        <v>92247.56</v>
      </c>
      <c r="H1033" s="1">
        <v>38158</v>
      </c>
      <c r="I1033" s="1">
        <v>38163</v>
      </c>
      <c r="J1033" t="s">
        <v>15</v>
      </c>
      <c r="K1033">
        <v>27</v>
      </c>
      <c r="L1033">
        <v>168000</v>
      </c>
      <c r="M1033" t="s">
        <v>16</v>
      </c>
      <c r="N1033">
        <v>1</v>
      </c>
    </row>
    <row r="1034" hidden="1" spans="1:14">
      <c r="A1034">
        <v>2515</v>
      </c>
      <c r="B1034">
        <v>0</v>
      </c>
      <c r="C1034" t="s">
        <v>273</v>
      </c>
      <c r="D1034">
        <v>0</v>
      </c>
      <c r="E1034">
        <v>104.834</v>
      </c>
      <c r="F1034">
        <v>28.8637</v>
      </c>
      <c r="G1034">
        <v>14994.27</v>
      </c>
      <c r="H1034" s="1">
        <v>38166</v>
      </c>
      <c r="I1034" s="1">
        <v>38168</v>
      </c>
      <c r="J1034" t="s">
        <v>15</v>
      </c>
      <c r="K1034">
        <v>15</v>
      </c>
      <c r="L1034">
        <v>0</v>
      </c>
      <c r="M1034" t="s">
        <v>16</v>
      </c>
      <c r="N1034">
        <v>1</v>
      </c>
    </row>
    <row r="1035" hidden="1" spans="1:14">
      <c r="A1035">
        <v>2518</v>
      </c>
      <c r="B1035">
        <v>0</v>
      </c>
      <c r="C1035" t="s">
        <v>273</v>
      </c>
      <c r="D1035">
        <v>0</v>
      </c>
      <c r="E1035">
        <v>98.8899</v>
      </c>
      <c r="F1035">
        <v>26.1245</v>
      </c>
      <c r="G1035">
        <v>44796.52</v>
      </c>
      <c r="H1035" s="1">
        <v>38172</v>
      </c>
      <c r="I1035" s="1">
        <v>38191</v>
      </c>
      <c r="J1035" t="s">
        <v>15</v>
      </c>
      <c r="K1035">
        <v>35</v>
      </c>
      <c r="L1035">
        <v>26000</v>
      </c>
      <c r="M1035" t="s">
        <v>16</v>
      </c>
      <c r="N1035">
        <v>1</v>
      </c>
    </row>
    <row r="1036" hidden="1" spans="1:14">
      <c r="A1036">
        <v>2522</v>
      </c>
      <c r="B1036">
        <v>0</v>
      </c>
      <c r="C1036" t="s">
        <v>273</v>
      </c>
      <c r="D1036">
        <v>0</v>
      </c>
      <c r="E1036">
        <v>110.433</v>
      </c>
      <c r="F1036">
        <v>24.0014</v>
      </c>
      <c r="G1036">
        <v>156995.58</v>
      </c>
      <c r="H1036" s="1">
        <v>38182</v>
      </c>
      <c r="I1036" s="1">
        <v>38195</v>
      </c>
      <c r="J1036" t="s">
        <v>15</v>
      </c>
      <c r="K1036">
        <v>24</v>
      </c>
      <c r="L1036">
        <v>82000</v>
      </c>
      <c r="M1036" t="s">
        <v>16</v>
      </c>
      <c r="N1036">
        <v>1</v>
      </c>
    </row>
    <row r="1037" hidden="1" spans="1:14">
      <c r="A1037">
        <v>2525</v>
      </c>
      <c r="B1037">
        <v>0</v>
      </c>
      <c r="C1037" t="s">
        <v>273</v>
      </c>
      <c r="D1037">
        <v>0</v>
      </c>
      <c r="E1037">
        <v>114.77</v>
      </c>
      <c r="F1037">
        <v>33.4219</v>
      </c>
      <c r="G1037">
        <v>52796.91</v>
      </c>
      <c r="H1037" s="1">
        <v>38184</v>
      </c>
      <c r="I1037" s="1">
        <v>38198</v>
      </c>
      <c r="J1037" t="s">
        <v>15</v>
      </c>
      <c r="K1037">
        <v>0</v>
      </c>
      <c r="L1037">
        <v>150000</v>
      </c>
      <c r="M1037" t="s">
        <v>16</v>
      </c>
      <c r="N1037">
        <v>1</v>
      </c>
    </row>
    <row r="1038" hidden="1" spans="1:14">
      <c r="A1038">
        <v>2527</v>
      </c>
      <c r="B1038">
        <v>0</v>
      </c>
      <c r="C1038" t="s">
        <v>273</v>
      </c>
      <c r="D1038">
        <v>0</v>
      </c>
      <c r="E1038">
        <v>110.829</v>
      </c>
      <c r="F1038">
        <v>27.8758</v>
      </c>
      <c r="G1038">
        <v>86023.99</v>
      </c>
      <c r="H1038" s="1">
        <v>38185</v>
      </c>
      <c r="I1038" s="1">
        <v>38198</v>
      </c>
      <c r="J1038" t="s">
        <v>15</v>
      </c>
      <c r="K1038">
        <v>2</v>
      </c>
      <c r="L1038">
        <v>135000</v>
      </c>
      <c r="M1038" t="s">
        <v>16</v>
      </c>
      <c r="N1038">
        <v>2</v>
      </c>
    </row>
    <row r="1039" hidden="1" spans="1:14">
      <c r="A1039">
        <v>2533</v>
      </c>
      <c r="B1039">
        <v>0</v>
      </c>
      <c r="C1039" t="s">
        <v>273</v>
      </c>
      <c r="D1039">
        <v>0</v>
      </c>
      <c r="E1039">
        <v>123.994</v>
      </c>
      <c r="F1039">
        <v>42.9703</v>
      </c>
      <c r="G1039">
        <v>106552.73</v>
      </c>
      <c r="H1039" s="1">
        <v>38180</v>
      </c>
      <c r="I1039" s="1">
        <v>38198</v>
      </c>
      <c r="J1039" t="s">
        <v>15</v>
      </c>
      <c r="K1039">
        <v>11</v>
      </c>
      <c r="L1039">
        <v>0</v>
      </c>
      <c r="M1039" t="s">
        <v>16</v>
      </c>
      <c r="N1039">
        <v>1</v>
      </c>
    </row>
    <row r="1040" hidden="1" spans="1:14">
      <c r="A1040">
        <v>2540</v>
      </c>
      <c r="B1040">
        <v>0</v>
      </c>
      <c r="C1040" t="s">
        <v>273</v>
      </c>
      <c r="D1040">
        <v>0</v>
      </c>
      <c r="E1040">
        <v>107.649</v>
      </c>
      <c r="F1040">
        <v>41.176</v>
      </c>
      <c r="G1040">
        <v>19410.64</v>
      </c>
      <c r="H1040" s="1">
        <v>38201</v>
      </c>
      <c r="I1040" s="1">
        <v>38202</v>
      </c>
      <c r="J1040" t="s">
        <v>15</v>
      </c>
      <c r="K1040">
        <v>8</v>
      </c>
      <c r="L1040">
        <v>0</v>
      </c>
      <c r="M1040" t="s">
        <v>18</v>
      </c>
      <c r="N1040">
        <v>1</v>
      </c>
    </row>
    <row r="1041" hidden="1" spans="1:14">
      <c r="A1041">
        <v>2547</v>
      </c>
      <c r="B1041">
        <v>0</v>
      </c>
      <c r="C1041" t="s">
        <v>273</v>
      </c>
      <c r="D1041">
        <v>0</v>
      </c>
      <c r="E1041">
        <v>120.833</v>
      </c>
      <c r="F1041">
        <v>28.418</v>
      </c>
      <c r="G1041">
        <v>16657.32</v>
      </c>
      <c r="H1041" s="1">
        <v>38211</v>
      </c>
      <c r="I1041" s="1">
        <v>38214</v>
      </c>
      <c r="J1041" t="s">
        <v>15</v>
      </c>
      <c r="K1041">
        <v>164</v>
      </c>
      <c r="L1041">
        <v>30000</v>
      </c>
      <c r="M1041" t="s">
        <v>86</v>
      </c>
      <c r="N1041">
        <v>1</v>
      </c>
    </row>
    <row r="1042" hidden="1" spans="1:14">
      <c r="A1042">
        <v>2559</v>
      </c>
      <c r="B1042">
        <v>0</v>
      </c>
      <c r="C1042" t="s">
        <v>273</v>
      </c>
      <c r="D1042">
        <v>0</v>
      </c>
      <c r="E1042">
        <v>108.196</v>
      </c>
      <c r="F1042">
        <v>30.5736</v>
      </c>
      <c r="G1042">
        <v>72283.7</v>
      </c>
      <c r="H1042" s="1">
        <v>38233</v>
      </c>
      <c r="I1042" s="1">
        <v>38239</v>
      </c>
      <c r="J1042" t="s">
        <v>15</v>
      </c>
      <c r="K1042">
        <v>196</v>
      </c>
      <c r="L1042">
        <v>500000</v>
      </c>
      <c r="M1042" t="s">
        <v>16</v>
      </c>
      <c r="N1042">
        <v>2</v>
      </c>
    </row>
    <row r="1043" hidden="1" spans="1:14">
      <c r="A1043">
        <v>2636</v>
      </c>
      <c r="B1043">
        <v>0</v>
      </c>
      <c r="C1043" t="s">
        <v>273</v>
      </c>
      <c r="D1043" t="s">
        <v>276</v>
      </c>
      <c r="E1043">
        <v>78.8332</v>
      </c>
      <c r="F1043">
        <v>44.8319</v>
      </c>
      <c r="G1043">
        <v>220943.44</v>
      </c>
      <c r="H1043" s="1">
        <v>38422</v>
      </c>
      <c r="I1043" s="1">
        <v>38433</v>
      </c>
      <c r="J1043" t="s">
        <v>15</v>
      </c>
      <c r="K1043">
        <v>1</v>
      </c>
      <c r="L1043">
        <v>3000</v>
      </c>
      <c r="M1043" t="s">
        <v>16</v>
      </c>
      <c r="N1043">
        <v>1</v>
      </c>
    </row>
    <row r="1044" hidden="1" spans="1:14">
      <c r="A1044">
        <v>2661</v>
      </c>
      <c r="B1044">
        <v>0</v>
      </c>
      <c r="C1044" t="s">
        <v>273</v>
      </c>
      <c r="D1044">
        <v>0</v>
      </c>
      <c r="E1044">
        <v>104.121</v>
      </c>
      <c r="F1044">
        <v>34.4136</v>
      </c>
      <c r="G1044">
        <v>2020.76</v>
      </c>
      <c r="H1044" s="1">
        <v>38500</v>
      </c>
      <c r="I1044" s="1">
        <v>38501</v>
      </c>
      <c r="J1044" t="s">
        <v>15</v>
      </c>
      <c r="K1044">
        <v>8</v>
      </c>
      <c r="L1044">
        <v>0</v>
      </c>
      <c r="M1044" t="s">
        <v>18</v>
      </c>
      <c r="N1044">
        <v>1</v>
      </c>
    </row>
    <row r="1045" hidden="1" spans="1:14">
      <c r="A1045">
        <v>2663</v>
      </c>
      <c r="B1045">
        <v>0</v>
      </c>
      <c r="C1045" t="s">
        <v>273</v>
      </c>
      <c r="D1045">
        <v>0</v>
      </c>
      <c r="E1045">
        <v>108.103</v>
      </c>
      <c r="F1045">
        <v>28.7151</v>
      </c>
      <c r="G1045">
        <v>679663.6</v>
      </c>
      <c r="H1045" s="1">
        <v>38502</v>
      </c>
      <c r="I1045" s="1">
        <v>38513</v>
      </c>
      <c r="J1045" t="s">
        <v>15</v>
      </c>
      <c r="K1045">
        <v>160</v>
      </c>
      <c r="L1045">
        <v>300000</v>
      </c>
      <c r="M1045" t="s">
        <v>16</v>
      </c>
      <c r="N1045">
        <v>1</v>
      </c>
    </row>
    <row r="1046" hidden="1" spans="1:14">
      <c r="A1046">
        <v>2668</v>
      </c>
      <c r="B1046">
        <v>0</v>
      </c>
      <c r="C1046" t="s">
        <v>273</v>
      </c>
      <c r="D1046">
        <v>0</v>
      </c>
      <c r="E1046">
        <v>129.266</v>
      </c>
      <c r="F1046">
        <v>44.3196</v>
      </c>
      <c r="G1046">
        <v>2332.12</v>
      </c>
      <c r="H1046" s="1">
        <v>38513</v>
      </c>
      <c r="I1046" s="1">
        <v>38515</v>
      </c>
      <c r="J1046" t="s">
        <v>15</v>
      </c>
      <c r="K1046">
        <v>117</v>
      </c>
      <c r="L1046">
        <v>400</v>
      </c>
      <c r="M1046" t="s">
        <v>18</v>
      </c>
      <c r="N1046">
        <v>2</v>
      </c>
    </row>
    <row r="1047" hidden="1" spans="1:14">
      <c r="A1047">
        <v>2671</v>
      </c>
      <c r="B1047">
        <v>0</v>
      </c>
      <c r="C1047" t="s">
        <v>273</v>
      </c>
      <c r="D1047">
        <v>0</v>
      </c>
      <c r="E1047">
        <v>117.773</v>
      </c>
      <c r="F1047">
        <v>26.6914</v>
      </c>
      <c r="G1047">
        <v>93628.71</v>
      </c>
      <c r="H1047" s="1">
        <v>38520</v>
      </c>
      <c r="I1047" s="1">
        <v>38528</v>
      </c>
      <c r="J1047" t="s">
        <v>15</v>
      </c>
      <c r="K1047">
        <v>19</v>
      </c>
      <c r="L1047">
        <v>210000</v>
      </c>
      <c r="M1047" t="s">
        <v>16</v>
      </c>
      <c r="N1047">
        <v>2</v>
      </c>
    </row>
    <row r="1048" hidden="1" spans="1:14">
      <c r="A1048">
        <v>2674</v>
      </c>
      <c r="B1048">
        <v>0</v>
      </c>
      <c r="C1048" t="s">
        <v>273</v>
      </c>
      <c r="D1048">
        <v>0</v>
      </c>
      <c r="E1048">
        <v>111.322</v>
      </c>
      <c r="F1048">
        <v>23.5449</v>
      </c>
      <c r="G1048">
        <v>226558.27</v>
      </c>
      <c r="H1048" s="1">
        <v>38522</v>
      </c>
      <c r="I1048" s="1">
        <v>38533</v>
      </c>
      <c r="J1048" t="s">
        <v>15</v>
      </c>
      <c r="K1048">
        <v>200</v>
      </c>
      <c r="L1048">
        <v>1500000</v>
      </c>
      <c r="M1048" t="s">
        <v>16</v>
      </c>
      <c r="N1048">
        <v>2</v>
      </c>
    </row>
    <row r="1049" hidden="1" spans="1:14">
      <c r="A1049">
        <v>2684</v>
      </c>
      <c r="B1049">
        <v>0</v>
      </c>
      <c r="C1049" t="s">
        <v>273</v>
      </c>
      <c r="D1049">
        <v>0</v>
      </c>
      <c r="E1049">
        <v>103.519</v>
      </c>
      <c r="F1049">
        <v>30.6766</v>
      </c>
      <c r="G1049">
        <v>69402.58</v>
      </c>
      <c r="H1049" s="1">
        <v>38531</v>
      </c>
      <c r="I1049" s="1">
        <v>38552</v>
      </c>
      <c r="J1049" t="s">
        <v>15</v>
      </c>
      <c r="K1049">
        <v>65</v>
      </c>
      <c r="L1049">
        <v>428000</v>
      </c>
      <c r="M1049" t="s">
        <v>16</v>
      </c>
      <c r="N1049">
        <v>1</v>
      </c>
    </row>
    <row r="1050" hidden="1" spans="1:14">
      <c r="A1050">
        <v>2688</v>
      </c>
      <c r="B1050">
        <v>0</v>
      </c>
      <c r="C1050" t="s">
        <v>273</v>
      </c>
      <c r="D1050">
        <v>0</v>
      </c>
      <c r="E1050">
        <v>125.501</v>
      </c>
      <c r="F1050">
        <v>44.5627</v>
      </c>
      <c r="G1050">
        <v>275029.31</v>
      </c>
      <c r="H1050" s="1">
        <v>38534</v>
      </c>
      <c r="I1050" s="1">
        <v>38576</v>
      </c>
      <c r="J1050" t="s">
        <v>15</v>
      </c>
      <c r="K1050">
        <v>5</v>
      </c>
      <c r="L1050">
        <v>1500</v>
      </c>
      <c r="M1050" t="s">
        <v>16</v>
      </c>
      <c r="N1050">
        <v>1</v>
      </c>
    </row>
    <row r="1051" hidden="1" spans="1:14">
      <c r="A1051">
        <v>2693</v>
      </c>
      <c r="B1051">
        <v>0</v>
      </c>
      <c r="C1051" t="s">
        <v>273</v>
      </c>
      <c r="D1051">
        <v>0</v>
      </c>
      <c r="E1051">
        <v>115.76</v>
      </c>
      <c r="F1051">
        <v>32.6055</v>
      </c>
      <c r="G1051">
        <v>101854.32</v>
      </c>
      <c r="H1051" s="1">
        <v>38543</v>
      </c>
      <c r="I1051" s="1">
        <v>38551</v>
      </c>
      <c r="J1051" t="s">
        <v>15</v>
      </c>
      <c r="K1051">
        <v>0</v>
      </c>
      <c r="L1051">
        <v>0</v>
      </c>
      <c r="M1051" t="s">
        <v>16</v>
      </c>
      <c r="N1051">
        <v>1</v>
      </c>
    </row>
    <row r="1052" hidden="1" spans="1:14">
      <c r="A1052">
        <v>2696</v>
      </c>
      <c r="B1052">
        <v>0</v>
      </c>
      <c r="C1052" t="s">
        <v>273</v>
      </c>
      <c r="D1052">
        <v>0</v>
      </c>
      <c r="E1052">
        <v>104.262</v>
      </c>
      <c r="F1052">
        <v>27.7023</v>
      </c>
      <c r="G1052">
        <v>395.807</v>
      </c>
      <c r="H1052" s="1">
        <v>38554</v>
      </c>
      <c r="I1052" s="1">
        <v>38555</v>
      </c>
      <c r="J1052" t="s">
        <v>15</v>
      </c>
      <c r="K1052">
        <v>16</v>
      </c>
      <c r="L1052">
        <v>0</v>
      </c>
      <c r="M1052" t="s">
        <v>25</v>
      </c>
      <c r="N1052">
        <v>1</v>
      </c>
    </row>
    <row r="1053" hidden="1" spans="1:14">
      <c r="A1053">
        <v>2706</v>
      </c>
      <c r="B1053">
        <v>0</v>
      </c>
      <c r="C1053" t="s">
        <v>273</v>
      </c>
      <c r="D1053">
        <v>0</v>
      </c>
      <c r="E1053">
        <v>81.8645</v>
      </c>
      <c r="F1053">
        <v>39.8858</v>
      </c>
      <c r="G1053">
        <v>855819.77</v>
      </c>
      <c r="H1053" s="1">
        <v>38569</v>
      </c>
      <c r="I1053" s="1">
        <v>38578</v>
      </c>
      <c r="J1053" t="s">
        <v>15</v>
      </c>
      <c r="K1053">
        <v>7</v>
      </c>
      <c r="L1053">
        <v>230000</v>
      </c>
      <c r="M1053" t="s">
        <v>16</v>
      </c>
      <c r="N1053">
        <v>1</v>
      </c>
    </row>
    <row r="1054" hidden="1" spans="1:14">
      <c r="A1054">
        <v>2711</v>
      </c>
      <c r="B1054">
        <v>0</v>
      </c>
      <c r="C1054" t="s">
        <v>273</v>
      </c>
      <c r="D1054">
        <v>0</v>
      </c>
      <c r="E1054">
        <v>123.07</v>
      </c>
      <c r="F1054">
        <v>41.8583</v>
      </c>
      <c r="G1054">
        <v>85856.94</v>
      </c>
      <c r="H1054" s="1">
        <v>38577</v>
      </c>
      <c r="I1054" s="1">
        <v>38584</v>
      </c>
      <c r="J1054" t="s">
        <v>15</v>
      </c>
      <c r="K1054">
        <v>15</v>
      </c>
      <c r="L1054">
        <v>206000</v>
      </c>
      <c r="M1054" t="s">
        <v>16</v>
      </c>
      <c r="N1054">
        <v>1</v>
      </c>
    </row>
    <row r="1055" hidden="1" spans="1:14">
      <c r="A1055">
        <v>2712</v>
      </c>
      <c r="B1055">
        <v>0</v>
      </c>
      <c r="C1055" t="s">
        <v>273</v>
      </c>
      <c r="D1055">
        <v>0</v>
      </c>
      <c r="E1055">
        <v>112.263</v>
      </c>
      <c r="F1055">
        <v>32.0585</v>
      </c>
      <c r="G1055">
        <v>43676.36</v>
      </c>
      <c r="H1055" s="1">
        <v>38578</v>
      </c>
      <c r="I1055" s="1">
        <v>38600</v>
      </c>
      <c r="J1055" t="s">
        <v>15</v>
      </c>
      <c r="K1055">
        <v>28</v>
      </c>
      <c r="L1055">
        <v>14500</v>
      </c>
      <c r="M1055" t="s">
        <v>16</v>
      </c>
      <c r="N1055">
        <v>1</v>
      </c>
    </row>
    <row r="1056" hidden="1" spans="1:14">
      <c r="A1056">
        <v>2726</v>
      </c>
      <c r="B1056">
        <v>0</v>
      </c>
      <c r="C1056" t="s">
        <v>273</v>
      </c>
      <c r="D1056">
        <v>0</v>
      </c>
      <c r="E1056">
        <v>120.242</v>
      </c>
      <c r="F1056">
        <v>30.3681</v>
      </c>
      <c r="G1056">
        <v>84372.28</v>
      </c>
      <c r="H1056" s="1">
        <v>38606</v>
      </c>
      <c r="I1056" s="1">
        <v>38608</v>
      </c>
      <c r="J1056" t="s">
        <v>15</v>
      </c>
      <c r="K1056">
        <v>16</v>
      </c>
      <c r="L1056">
        <v>1350000</v>
      </c>
      <c r="M1056" t="s">
        <v>86</v>
      </c>
      <c r="N1056">
        <v>1</v>
      </c>
    </row>
    <row r="1057" hidden="1" spans="1:14">
      <c r="A1057">
        <v>2736</v>
      </c>
      <c r="B1057">
        <v>0</v>
      </c>
      <c r="C1057" t="s">
        <v>273</v>
      </c>
      <c r="D1057" t="s">
        <v>239</v>
      </c>
      <c r="E1057">
        <v>110.083</v>
      </c>
      <c r="F1057">
        <v>19.2402</v>
      </c>
      <c r="G1057">
        <v>491950.15</v>
      </c>
      <c r="H1057" s="1">
        <v>38621</v>
      </c>
      <c r="I1057" s="1">
        <v>38631</v>
      </c>
      <c r="J1057" t="s">
        <v>15</v>
      </c>
      <c r="K1057">
        <v>104</v>
      </c>
      <c r="L1057">
        <v>470000</v>
      </c>
      <c r="M1057" t="s">
        <v>86</v>
      </c>
      <c r="N1057">
        <v>2</v>
      </c>
    </row>
    <row r="1058" hidden="1" spans="1:14">
      <c r="A1058">
        <v>2743</v>
      </c>
      <c r="B1058">
        <v>0</v>
      </c>
      <c r="C1058" t="s">
        <v>273</v>
      </c>
      <c r="D1058">
        <v>0</v>
      </c>
      <c r="E1058">
        <v>109.423</v>
      </c>
      <c r="F1058">
        <v>32.8686</v>
      </c>
      <c r="G1058">
        <v>29516.96</v>
      </c>
      <c r="H1058" s="1">
        <v>38624</v>
      </c>
      <c r="I1058" s="1">
        <v>38631</v>
      </c>
      <c r="J1058" t="s">
        <v>15</v>
      </c>
      <c r="K1058">
        <v>2</v>
      </c>
      <c r="L1058">
        <v>24000</v>
      </c>
      <c r="M1058" t="s">
        <v>16</v>
      </c>
      <c r="N1058">
        <v>1</v>
      </c>
    </row>
    <row r="1059" hidden="1" spans="1:14">
      <c r="A1059">
        <v>2745</v>
      </c>
      <c r="B1059">
        <v>0</v>
      </c>
      <c r="C1059" t="s">
        <v>273</v>
      </c>
      <c r="D1059">
        <v>0</v>
      </c>
      <c r="E1059">
        <v>119.21</v>
      </c>
      <c r="F1059">
        <v>25.9561</v>
      </c>
      <c r="G1059">
        <v>13902.97</v>
      </c>
      <c r="H1059" s="1">
        <v>38627</v>
      </c>
      <c r="I1059" s="1">
        <v>38631</v>
      </c>
      <c r="J1059" t="s">
        <v>15</v>
      </c>
      <c r="K1059">
        <v>95</v>
      </c>
      <c r="L1059">
        <v>0</v>
      </c>
      <c r="M1059" t="s">
        <v>86</v>
      </c>
      <c r="N1059">
        <v>1</v>
      </c>
    </row>
    <row r="1060" hidden="1" spans="1:14">
      <c r="A1060">
        <v>2746</v>
      </c>
      <c r="B1060">
        <v>0</v>
      </c>
      <c r="C1060" t="s">
        <v>273</v>
      </c>
      <c r="D1060">
        <v>0</v>
      </c>
      <c r="E1060">
        <v>109.084</v>
      </c>
      <c r="F1060">
        <v>34.5073</v>
      </c>
      <c r="G1060">
        <v>12375.93</v>
      </c>
      <c r="H1060" s="1">
        <v>38628</v>
      </c>
      <c r="I1060" s="1">
        <v>38631</v>
      </c>
      <c r="J1060" t="s">
        <v>15</v>
      </c>
      <c r="K1060">
        <v>16</v>
      </c>
      <c r="L1060">
        <v>359000</v>
      </c>
      <c r="M1060" t="s">
        <v>16</v>
      </c>
      <c r="N1060">
        <v>1</v>
      </c>
    </row>
    <row r="1061" hidden="1" spans="1:14">
      <c r="A1061">
        <v>2803</v>
      </c>
      <c r="B1061">
        <v>0</v>
      </c>
      <c r="C1061" t="s">
        <v>273</v>
      </c>
      <c r="D1061">
        <v>0</v>
      </c>
      <c r="E1061">
        <v>87.2118</v>
      </c>
      <c r="F1061">
        <v>40.658</v>
      </c>
      <c r="G1061">
        <v>76506.6</v>
      </c>
      <c r="H1061" s="1">
        <v>38764</v>
      </c>
      <c r="I1061" s="1">
        <v>38771</v>
      </c>
      <c r="J1061" t="s">
        <v>15</v>
      </c>
      <c r="K1061">
        <v>0</v>
      </c>
      <c r="L1061">
        <v>3000</v>
      </c>
      <c r="M1061" t="s">
        <v>39</v>
      </c>
      <c r="N1061">
        <v>1</v>
      </c>
    </row>
    <row r="1062" hidden="1" spans="1:14">
      <c r="A1062">
        <v>2861</v>
      </c>
      <c r="B1062">
        <v>0</v>
      </c>
      <c r="C1062" t="s">
        <v>273</v>
      </c>
      <c r="D1062">
        <v>0</v>
      </c>
      <c r="E1062">
        <v>106.58</v>
      </c>
      <c r="F1062">
        <v>26.9221</v>
      </c>
      <c r="G1062">
        <v>175249.12</v>
      </c>
      <c r="H1062" s="1">
        <v>38828</v>
      </c>
      <c r="I1062" s="1">
        <v>38852</v>
      </c>
      <c r="J1062" t="s">
        <v>15</v>
      </c>
      <c r="K1062">
        <v>22</v>
      </c>
      <c r="L1062">
        <v>36900</v>
      </c>
      <c r="M1062" t="s">
        <v>16</v>
      </c>
      <c r="N1062">
        <v>1</v>
      </c>
    </row>
    <row r="1063" hidden="1" spans="1:14">
      <c r="A1063">
        <v>2865</v>
      </c>
      <c r="B1063">
        <v>0</v>
      </c>
      <c r="C1063" t="s">
        <v>273</v>
      </c>
      <c r="D1063">
        <v>0</v>
      </c>
      <c r="E1063">
        <v>118.77</v>
      </c>
      <c r="F1063">
        <v>25.9707</v>
      </c>
      <c r="G1063">
        <v>141404.27</v>
      </c>
      <c r="H1063" s="1">
        <v>38855</v>
      </c>
      <c r="I1063" s="1">
        <v>38859</v>
      </c>
      <c r="J1063" t="s">
        <v>15</v>
      </c>
      <c r="K1063">
        <v>23</v>
      </c>
      <c r="L1063">
        <v>1030000</v>
      </c>
      <c r="M1063" t="s">
        <v>103</v>
      </c>
      <c r="N1063">
        <v>1</v>
      </c>
    </row>
    <row r="1064" hidden="1" spans="1:14">
      <c r="A1064">
        <v>2873</v>
      </c>
      <c r="B1064">
        <v>0</v>
      </c>
      <c r="C1064" t="s">
        <v>273</v>
      </c>
      <c r="D1064">
        <v>0</v>
      </c>
      <c r="E1064">
        <v>112.9</v>
      </c>
      <c r="F1064">
        <v>30.9231</v>
      </c>
      <c r="G1064">
        <v>107431.15</v>
      </c>
      <c r="H1064" s="1">
        <v>38861</v>
      </c>
      <c r="I1064" s="1">
        <v>38868</v>
      </c>
      <c r="J1064" t="s">
        <v>15</v>
      </c>
      <c r="K1064">
        <v>3</v>
      </c>
      <c r="L1064">
        <v>350000</v>
      </c>
      <c r="M1064" t="s">
        <v>16</v>
      </c>
      <c r="N1064">
        <v>1</v>
      </c>
    </row>
    <row r="1065" hidden="1" spans="1:14">
      <c r="A1065">
        <v>2877</v>
      </c>
      <c r="B1065">
        <v>0</v>
      </c>
      <c r="C1065" t="s">
        <v>273</v>
      </c>
      <c r="D1065">
        <v>0</v>
      </c>
      <c r="E1065">
        <v>118.574</v>
      </c>
      <c r="F1065">
        <v>26.7522</v>
      </c>
      <c r="G1065">
        <v>76601.15</v>
      </c>
      <c r="H1065" s="1">
        <v>38867</v>
      </c>
      <c r="I1065" s="1">
        <v>38877</v>
      </c>
      <c r="J1065" t="s">
        <v>15</v>
      </c>
      <c r="K1065">
        <v>57</v>
      </c>
      <c r="L1065">
        <v>356000</v>
      </c>
      <c r="M1065" t="s">
        <v>23</v>
      </c>
      <c r="N1065">
        <v>2</v>
      </c>
    </row>
    <row r="1066" hidden="1" spans="1:14">
      <c r="A1066">
        <v>2885</v>
      </c>
      <c r="B1066" t="s">
        <v>277</v>
      </c>
      <c r="C1066" t="s">
        <v>273</v>
      </c>
      <c r="D1066">
        <v>0</v>
      </c>
      <c r="E1066">
        <v>111.38</v>
      </c>
      <c r="F1066">
        <v>23.4205</v>
      </c>
      <c r="G1066">
        <v>4210.06</v>
      </c>
      <c r="H1066" s="1">
        <v>38876</v>
      </c>
      <c r="I1066" s="1">
        <v>38883</v>
      </c>
      <c r="J1066" t="s">
        <v>15</v>
      </c>
      <c r="K1066">
        <v>21</v>
      </c>
      <c r="L1066">
        <v>195500</v>
      </c>
      <c r="M1066" t="s">
        <v>16</v>
      </c>
      <c r="N1066">
        <v>1</v>
      </c>
    </row>
    <row r="1067" hidden="1" spans="1:14">
      <c r="A1067">
        <v>2887</v>
      </c>
      <c r="B1067" t="s">
        <v>277</v>
      </c>
      <c r="C1067" t="s">
        <v>273</v>
      </c>
      <c r="D1067">
        <v>0</v>
      </c>
      <c r="E1067">
        <v>106.512</v>
      </c>
      <c r="F1067">
        <v>25.506</v>
      </c>
      <c r="G1067">
        <v>11678.75</v>
      </c>
      <c r="H1067" s="1">
        <v>38880</v>
      </c>
      <c r="I1067" s="1">
        <v>38884</v>
      </c>
      <c r="J1067" t="s">
        <v>15</v>
      </c>
      <c r="K1067">
        <v>52</v>
      </c>
      <c r="L1067">
        <v>5900</v>
      </c>
      <c r="M1067" t="s">
        <v>16</v>
      </c>
      <c r="N1067">
        <v>1</v>
      </c>
    </row>
    <row r="1068" hidden="1" spans="1:14">
      <c r="A1068">
        <v>2888</v>
      </c>
      <c r="B1068" t="s">
        <v>277</v>
      </c>
      <c r="C1068" t="s">
        <v>273</v>
      </c>
      <c r="D1068">
        <v>0</v>
      </c>
      <c r="E1068">
        <v>112.754</v>
      </c>
      <c r="F1068">
        <v>26.1963</v>
      </c>
      <c r="G1068">
        <v>58065.33</v>
      </c>
      <c r="H1068" s="1">
        <v>38881</v>
      </c>
      <c r="I1068" s="1">
        <v>38884</v>
      </c>
      <c r="J1068" t="s">
        <v>15</v>
      </c>
      <c r="K1068">
        <v>2</v>
      </c>
      <c r="L1068">
        <v>50000</v>
      </c>
      <c r="M1068" t="s">
        <v>16</v>
      </c>
      <c r="N1068">
        <v>1</v>
      </c>
    </row>
    <row r="1069" hidden="1" spans="1:14">
      <c r="A1069">
        <v>2889</v>
      </c>
      <c r="B1069" t="s">
        <v>277</v>
      </c>
      <c r="C1069" t="s">
        <v>273</v>
      </c>
      <c r="D1069">
        <v>0</v>
      </c>
      <c r="E1069">
        <v>116.866</v>
      </c>
      <c r="F1069">
        <v>24.7288</v>
      </c>
      <c r="G1069">
        <v>7858.76</v>
      </c>
      <c r="H1069" s="1">
        <v>38885</v>
      </c>
      <c r="I1069" s="1">
        <v>38887</v>
      </c>
      <c r="J1069" t="s">
        <v>15</v>
      </c>
      <c r="K1069">
        <v>2</v>
      </c>
      <c r="L1069">
        <v>5000</v>
      </c>
      <c r="M1069" t="s">
        <v>16</v>
      </c>
      <c r="N1069">
        <v>1</v>
      </c>
    </row>
    <row r="1070" hidden="1" spans="1:14">
      <c r="A1070">
        <v>2897</v>
      </c>
      <c r="B1070">
        <v>0</v>
      </c>
      <c r="C1070" t="s">
        <v>273</v>
      </c>
      <c r="D1070">
        <v>0</v>
      </c>
      <c r="E1070">
        <v>111.06</v>
      </c>
      <c r="F1070">
        <v>27.0606</v>
      </c>
      <c r="G1070">
        <v>34991.37</v>
      </c>
      <c r="H1070" s="1">
        <v>38893</v>
      </c>
      <c r="I1070" s="1">
        <v>38894</v>
      </c>
      <c r="J1070" t="s">
        <v>15</v>
      </c>
      <c r="K1070">
        <v>25</v>
      </c>
      <c r="L1070">
        <v>123000</v>
      </c>
      <c r="M1070" t="s">
        <v>16</v>
      </c>
      <c r="N1070">
        <v>1</v>
      </c>
    </row>
    <row r="1071" hidden="1" spans="1:14">
      <c r="A1071">
        <v>2898</v>
      </c>
      <c r="B1071">
        <v>0</v>
      </c>
      <c r="C1071" t="s">
        <v>273</v>
      </c>
      <c r="D1071">
        <v>0</v>
      </c>
      <c r="E1071">
        <v>108.449</v>
      </c>
      <c r="F1071">
        <v>26.0133</v>
      </c>
      <c r="G1071">
        <v>11362.69</v>
      </c>
      <c r="H1071" s="1">
        <v>38893</v>
      </c>
      <c r="I1071" s="1">
        <v>38894</v>
      </c>
      <c r="J1071" t="s">
        <v>15</v>
      </c>
      <c r="K1071">
        <v>4</v>
      </c>
      <c r="L1071">
        <v>5000</v>
      </c>
      <c r="M1071" t="s">
        <v>16</v>
      </c>
      <c r="N1071">
        <v>1</v>
      </c>
    </row>
    <row r="1072" hidden="1" spans="1:14">
      <c r="A1072">
        <v>2900</v>
      </c>
      <c r="B1072">
        <v>0</v>
      </c>
      <c r="C1072" t="s">
        <v>273</v>
      </c>
      <c r="D1072">
        <v>0</v>
      </c>
      <c r="E1072">
        <v>105.73</v>
      </c>
      <c r="F1072">
        <v>28.4708</v>
      </c>
      <c r="G1072">
        <v>109599.76</v>
      </c>
      <c r="H1072" s="1">
        <v>38896</v>
      </c>
      <c r="I1072" s="1">
        <v>38906</v>
      </c>
      <c r="J1072" t="s">
        <v>15</v>
      </c>
      <c r="K1072">
        <v>50</v>
      </c>
      <c r="L1072">
        <v>10000</v>
      </c>
      <c r="M1072" t="s">
        <v>16</v>
      </c>
      <c r="N1072">
        <v>1</v>
      </c>
    </row>
    <row r="1073" hidden="1" spans="1:14">
      <c r="A1073">
        <v>2901</v>
      </c>
      <c r="B1073" t="s">
        <v>278</v>
      </c>
      <c r="C1073" t="s">
        <v>273</v>
      </c>
      <c r="D1073">
        <v>0</v>
      </c>
      <c r="E1073">
        <v>117.034</v>
      </c>
      <c r="F1073">
        <v>34.0401</v>
      </c>
      <c r="G1073">
        <v>43706.28</v>
      </c>
      <c r="H1073" s="1">
        <v>38896</v>
      </c>
      <c r="I1073" s="1">
        <v>38904</v>
      </c>
      <c r="J1073" t="s">
        <v>15</v>
      </c>
      <c r="K1073">
        <v>30</v>
      </c>
      <c r="L1073">
        <v>44400</v>
      </c>
      <c r="M1073" t="s">
        <v>16</v>
      </c>
      <c r="N1073">
        <v>1</v>
      </c>
    </row>
    <row r="1074" hidden="1" spans="1:14">
      <c r="A1074">
        <v>2903</v>
      </c>
      <c r="B1074">
        <v>0</v>
      </c>
      <c r="C1074" t="s">
        <v>273</v>
      </c>
      <c r="D1074">
        <v>0</v>
      </c>
      <c r="E1074">
        <v>120.959</v>
      </c>
      <c r="F1074">
        <v>40.7049</v>
      </c>
      <c r="G1074">
        <v>32.9631</v>
      </c>
      <c r="H1074" s="1">
        <v>38898</v>
      </c>
      <c r="I1074" s="1">
        <v>38899</v>
      </c>
      <c r="J1074" t="s">
        <v>15</v>
      </c>
      <c r="K1074">
        <v>8</v>
      </c>
      <c r="L1074">
        <v>0</v>
      </c>
      <c r="M1074" t="s">
        <v>16</v>
      </c>
      <c r="N1074">
        <v>1</v>
      </c>
    </row>
    <row r="1075" hidden="1" spans="1:14">
      <c r="A1075">
        <v>2906</v>
      </c>
      <c r="B1075">
        <v>0</v>
      </c>
      <c r="C1075" t="s">
        <v>273</v>
      </c>
      <c r="D1075">
        <v>0</v>
      </c>
      <c r="E1075">
        <v>83.7675</v>
      </c>
      <c r="F1075">
        <v>43.3175</v>
      </c>
      <c r="G1075">
        <v>138195.36</v>
      </c>
      <c r="H1075" s="1">
        <v>38900</v>
      </c>
      <c r="I1075" s="1">
        <v>38903</v>
      </c>
      <c r="J1075" t="s">
        <v>15</v>
      </c>
      <c r="K1075">
        <v>20</v>
      </c>
      <c r="L1075">
        <v>16</v>
      </c>
      <c r="M1075" t="s">
        <v>16</v>
      </c>
      <c r="N1075">
        <v>1</v>
      </c>
    </row>
    <row r="1076" hidden="1" spans="1:14">
      <c r="A1076">
        <v>2912</v>
      </c>
      <c r="B1076">
        <v>0</v>
      </c>
      <c r="C1076" t="s">
        <v>273</v>
      </c>
      <c r="D1076">
        <v>0</v>
      </c>
      <c r="E1076">
        <v>99.1252</v>
      </c>
      <c r="F1076">
        <v>39.4326</v>
      </c>
      <c r="G1076">
        <v>16831.95</v>
      </c>
      <c r="H1076" s="1">
        <v>38904</v>
      </c>
      <c r="I1076" s="1">
        <v>38915</v>
      </c>
      <c r="J1076" t="s">
        <v>15</v>
      </c>
      <c r="K1076">
        <v>24</v>
      </c>
      <c r="L1076">
        <v>50</v>
      </c>
      <c r="M1076" t="s">
        <v>16</v>
      </c>
      <c r="N1076">
        <v>1</v>
      </c>
    </row>
    <row r="1077" hidden="1" spans="1:14">
      <c r="A1077">
        <v>2914</v>
      </c>
      <c r="B1077">
        <v>0</v>
      </c>
      <c r="C1077" t="s">
        <v>273</v>
      </c>
      <c r="D1077">
        <v>0</v>
      </c>
      <c r="E1077">
        <v>109.4</v>
      </c>
      <c r="F1077">
        <v>22.3477</v>
      </c>
      <c r="G1077">
        <v>20117.68</v>
      </c>
      <c r="H1077" s="1">
        <v>38905</v>
      </c>
      <c r="I1077" s="1">
        <v>38909</v>
      </c>
      <c r="J1077" t="s">
        <v>15</v>
      </c>
      <c r="K1077">
        <v>8</v>
      </c>
      <c r="L1077">
        <v>130000</v>
      </c>
      <c r="M1077" t="s">
        <v>23</v>
      </c>
      <c r="N1077">
        <v>1</v>
      </c>
    </row>
    <row r="1078" hidden="1" spans="1:14">
      <c r="A1078">
        <v>2919</v>
      </c>
      <c r="B1078">
        <v>0</v>
      </c>
      <c r="C1078" t="s">
        <v>273</v>
      </c>
      <c r="D1078">
        <v>0</v>
      </c>
      <c r="E1078">
        <v>128.901</v>
      </c>
      <c r="F1078">
        <v>47.7334</v>
      </c>
      <c r="G1078">
        <v>1391.75</v>
      </c>
      <c r="H1078" s="1">
        <v>38909</v>
      </c>
      <c r="I1078" s="1">
        <v>38911</v>
      </c>
      <c r="J1078" t="s">
        <v>15</v>
      </c>
      <c r="K1078">
        <v>0</v>
      </c>
      <c r="L1078">
        <v>4000</v>
      </c>
      <c r="M1078" t="s">
        <v>16</v>
      </c>
      <c r="N1078">
        <v>1</v>
      </c>
    </row>
    <row r="1079" hidden="1" spans="1:14">
      <c r="A1079">
        <v>2924</v>
      </c>
      <c r="B1079">
        <v>0</v>
      </c>
      <c r="C1079" t="s">
        <v>273</v>
      </c>
      <c r="D1079">
        <v>0</v>
      </c>
      <c r="E1079">
        <v>106.588</v>
      </c>
      <c r="F1079">
        <v>39.0355</v>
      </c>
      <c r="G1079">
        <v>1726.33</v>
      </c>
      <c r="H1079" s="1">
        <v>38912</v>
      </c>
      <c r="I1079" s="1">
        <v>38915</v>
      </c>
      <c r="J1079" t="s">
        <v>15</v>
      </c>
      <c r="K1079">
        <v>1</v>
      </c>
      <c r="L1079">
        <v>1200</v>
      </c>
      <c r="M1079" t="s">
        <v>23</v>
      </c>
      <c r="N1079">
        <v>1</v>
      </c>
    </row>
    <row r="1080" hidden="1" spans="1:14">
      <c r="A1080">
        <v>2927</v>
      </c>
      <c r="B1080">
        <v>0</v>
      </c>
      <c r="C1080" t="s">
        <v>273</v>
      </c>
      <c r="D1080">
        <v>0</v>
      </c>
      <c r="E1080">
        <v>102.175</v>
      </c>
      <c r="F1080">
        <v>24.6625</v>
      </c>
      <c r="G1080">
        <v>1666.24</v>
      </c>
      <c r="H1080" s="1">
        <v>38918</v>
      </c>
      <c r="I1080" s="1">
        <v>38919</v>
      </c>
      <c r="J1080" t="s">
        <v>15</v>
      </c>
      <c r="K1080">
        <v>18</v>
      </c>
      <c r="L1080">
        <v>0</v>
      </c>
      <c r="M1080" t="s">
        <v>16</v>
      </c>
      <c r="N1080">
        <v>1</v>
      </c>
    </row>
    <row r="1081" hidden="1" spans="1:14">
      <c r="A1081">
        <v>2945</v>
      </c>
      <c r="B1081" t="s">
        <v>279</v>
      </c>
      <c r="C1081" t="s">
        <v>273</v>
      </c>
      <c r="D1081">
        <v>0</v>
      </c>
      <c r="E1081">
        <v>118.558</v>
      </c>
      <c r="F1081">
        <v>26.2746</v>
      </c>
      <c r="G1081">
        <v>191443.8</v>
      </c>
      <c r="H1081" s="1">
        <v>38938</v>
      </c>
      <c r="I1081" s="1">
        <v>38941</v>
      </c>
      <c r="J1081" t="s">
        <v>15</v>
      </c>
      <c r="K1081">
        <v>441</v>
      </c>
      <c r="L1081">
        <v>1600000</v>
      </c>
      <c r="M1081" t="s">
        <v>103</v>
      </c>
      <c r="N1081">
        <v>1</v>
      </c>
    </row>
    <row r="1082" hidden="1" spans="1:14">
      <c r="A1082">
        <v>2957</v>
      </c>
      <c r="B1082">
        <v>0</v>
      </c>
      <c r="C1082" t="s">
        <v>273</v>
      </c>
      <c r="D1082">
        <v>0</v>
      </c>
      <c r="E1082">
        <v>102.682</v>
      </c>
      <c r="F1082">
        <v>34.6955</v>
      </c>
      <c r="G1082">
        <v>16922.14</v>
      </c>
      <c r="H1082" s="1">
        <v>38959</v>
      </c>
      <c r="I1082" s="1">
        <v>38960</v>
      </c>
      <c r="J1082" t="s">
        <v>15</v>
      </c>
      <c r="K1082">
        <v>15</v>
      </c>
      <c r="L1082">
        <v>0</v>
      </c>
      <c r="M1082" t="s">
        <v>18</v>
      </c>
      <c r="N1082">
        <v>1</v>
      </c>
    </row>
    <row r="1083" hidden="1" spans="1:14">
      <c r="A1083">
        <v>2971</v>
      </c>
      <c r="B1083">
        <v>0</v>
      </c>
      <c r="C1083" t="s">
        <v>273</v>
      </c>
      <c r="D1083">
        <v>0</v>
      </c>
      <c r="E1083">
        <v>102.644</v>
      </c>
      <c r="F1083">
        <v>23.3406</v>
      </c>
      <c r="G1083">
        <v>24766.33</v>
      </c>
      <c r="H1083" s="1">
        <v>38996</v>
      </c>
      <c r="I1083" s="1">
        <v>39002</v>
      </c>
      <c r="J1083" t="s">
        <v>15</v>
      </c>
      <c r="K1083">
        <v>16</v>
      </c>
      <c r="L1083">
        <v>20000</v>
      </c>
      <c r="M1083" t="s">
        <v>16</v>
      </c>
      <c r="N1083">
        <v>1</v>
      </c>
    </row>
    <row r="1084" hidden="1" spans="1:14">
      <c r="A1084">
        <v>3058</v>
      </c>
      <c r="B1084">
        <v>0</v>
      </c>
      <c r="C1084" t="s">
        <v>273</v>
      </c>
      <c r="D1084">
        <v>0</v>
      </c>
      <c r="E1084">
        <v>99.8018</v>
      </c>
      <c r="F1084">
        <v>39.3328</v>
      </c>
      <c r="G1084">
        <v>940.378</v>
      </c>
      <c r="H1084" s="1">
        <v>39191</v>
      </c>
      <c r="I1084" s="1">
        <v>39193</v>
      </c>
      <c r="J1084" t="s">
        <v>15</v>
      </c>
      <c r="K1084">
        <v>0</v>
      </c>
      <c r="L1084">
        <v>5500</v>
      </c>
      <c r="M1084" t="s">
        <v>25</v>
      </c>
      <c r="N1084">
        <v>1</v>
      </c>
    </row>
    <row r="1085" hidden="1" spans="1:14">
      <c r="A1085">
        <v>3079</v>
      </c>
      <c r="B1085">
        <v>0</v>
      </c>
      <c r="C1085" t="s">
        <v>273</v>
      </c>
      <c r="D1085">
        <v>0</v>
      </c>
      <c r="E1085">
        <v>105.414</v>
      </c>
      <c r="F1085">
        <v>26.8709</v>
      </c>
      <c r="G1085">
        <v>3206.71</v>
      </c>
      <c r="H1085" s="1">
        <v>39222</v>
      </c>
      <c r="I1085" s="1">
        <v>39223</v>
      </c>
      <c r="J1085" t="s">
        <v>15</v>
      </c>
      <c r="K1085">
        <v>3</v>
      </c>
      <c r="L1085">
        <v>0</v>
      </c>
      <c r="M1085" t="s">
        <v>16</v>
      </c>
      <c r="N1085">
        <v>1</v>
      </c>
    </row>
    <row r="1086" hidden="1" spans="1:14">
      <c r="A1086">
        <v>3084</v>
      </c>
      <c r="B1086" t="s">
        <v>280</v>
      </c>
      <c r="C1086" t="s">
        <v>273</v>
      </c>
      <c r="D1086">
        <v>0</v>
      </c>
      <c r="E1086">
        <v>107.778</v>
      </c>
      <c r="F1086">
        <v>30.2821</v>
      </c>
      <c r="G1086">
        <v>43534.36</v>
      </c>
      <c r="H1086" s="1">
        <v>39226</v>
      </c>
      <c r="I1086" s="1">
        <v>39228</v>
      </c>
      <c r="J1086" t="s">
        <v>15</v>
      </c>
      <c r="K1086">
        <v>43</v>
      </c>
      <c r="L1086">
        <v>112000</v>
      </c>
      <c r="M1086" t="s">
        <v>16</v>
      </c>
      <c r="N1086">
        <v>1</v>
      </c>
    </row>
    <row r="1087" hidden="1" spans="1:14">
      <c r="A1087">
        <v>3091</v>
      </c>
      <c r="B1087">
        <v>0</v>
      </c>
      <c r="C1087" t="s">
        <v>273</v>
      </c>
      <c r="D1087">
        <v>0</v>
      </c>
      <c r="E1087">
        <v>116.143</v>
      </c>
      <c r="F1087">
        <v>27.1976</v>
      </c>
      <c r="G1087">
        <v>168579.76</v>
      </c>
      <c r="H1087" s="1">
        <v>39234</v>
      </c>
      <c r="I1087" s="1">
        <v>39239</v>
      </c>
      <c r="J1087" t="s">
        <v>15</v>
      </c>
      <c r="K1087">
        <v>0</v>
      </c>
      <c r="L1087">
        <v>8000</v>
      </c>
      <c r="M1087" t="s">
        <v>16</v>
      </c>
      <c r="N1087">
        <v>1</v>
      </c>
    </row>
    <row r="1088" hidden="1" spans="1:14">
      <c r="A1088">
        <v>3094</v>
      </c>
      <c r="B1088" t="s">
        <v>281</v>
      </c>
      <c r="C1088" t="s">
        <v>273</v>
      </c>
      <c r="D1088">
        <v>0</v>
      </c>
      <c r="E1088">
        <v>112.355</v>
      </c>
      <c r="F1088">
        <v>26.2928</v>
      </c>
      <c r="G1088">
        <v>1916283.71</v>
      </c>
      <c r="H1088" s="1">
        <v>39239</v>
      </c>
      <c r="I1088" s="1">
        <v>39311</v>
      </c>
      <c r="J1088" t="s">
        <v>15</v>
      </c>
      <c r="K1088">
        <v>600</v>
      </c>
      <c r="L1088">
        <v>3170000</v>
      </c>
      <c r="M1088" t="s">
        <v>16</v>
      </c>
      <c r="N1088">
        <v>1.5</v>
      </c>
    </row>
    <row r="1089" hidden="1" spans="1:14">
      <c r="A1089">
        <v>3132</v>
      </c>
      <c r="B1089" t="s">
        <v>282</v>
      </c>
      <c r="C1089" t="s">
        <v>273</v>
      </c>
      <c r="D1089">
        <v>0</v>
      </c>
      <c r="E1089">
        <v>88.212</v>
      </c>
      <c r="F1089">
        <v>43.0901</v>
      </c>
      <c r="G1089">
        <v>812726.21</v>
      </c>
      <c r="H1089" s="1">
        <v>39277</v>
      </c>
      <c r="I1089" s="1">
        <v>39297</v>
      </c>
      <c r="J1089" t="s">
        <v>15</v>
      </c>
      <c r="K1089">
        <v>29</v>
      </c>
      <c r="L1089">
        <v>38500</v>
      </c>
      <c r="M1089" t="s">
        <v>16</v>
      </c>
      <c r="N1089">
        <v>1</v>
      </c>
    </row>
    <row r="1090" hidden="1" spans="1:14">
      <c r="A1090">
        <v>3133</v>
      </c>
      <c r="B1090">
        <v>0</v>
      </c>
      <c r="C1090" t="s">
        <v>273</v>
      </c>
      <c r="D1090">
        <v>0</v>
      </c>
      <c r="E1090">
        <v>119.228</v>
      </c>
      <c r="F1090">
        <v>36.6842</v>
      </c>
      <c r="G1090">
        <v>96491.19</v>
      </c>
      <c r="H1090" s="1">
        <v>39281</v>
      </c>
      <c r="I1090" s="1">
        <v>39285</v>
      </c>
      <c r="J1090" t="s">
        <v>15</v>
      </c>
      <c r="K1090">
        <v>40</v>
      </c>
      <c r="L1090">
        <v>112600</v>
      </c>
      <c r="M1090" t="s">
        <v>16</v>
      </c>
      <c r="N1090">
        <v>1</v>
      </c>
    </row>
    <row r="1091" hidden="1" spans="1:14">
      <c r="A1091">
        <v>3134</v>
      </c>
      <c r="B1091">
        <v>0</v>
      </c>
      <c r="C1091" t="s">
        <v>273</v>
      </c>
      <c r="D1091">
        <v>0</v>
      </c>
      <c r="E1091">
        <v>100.164</v>
      </c>
      <c r="F1091">
        <v>24.0984</v>
      </c>
      <c r="G1091">
        <v>165133.85</v>
      </c>
      <c r="H1091" s="1">
        <v>39281</v>
      </c>
      <c r="I1091" s="1">
        <v>39307</v>
      </c>
      <c r="J1091" t="s">
        <v>15</v>
      </c>
      <c r="K1091">
        <v>170</v>
      </c>
      <c r="L1091">
        <v>10000</v>
      </c>
      <c r="M1091" t="s">
        <v>16</v>
      </c>
      <c r="N1091">
        <v>1</v>
      </c>
    </row>
    <row r="1092" hidden="1" spans="1:14">
      <c r="A1092">
        <v>3161</v>
      </c>
      <c r="B1092">
        <v>0</v>
      </c>
      <c r="C1092" t="s">
        <v>273</v>
      </c>
      <c r="D1092">
        <v>0</v>
      </c>
      <c r="E1092">
        <v>118.719</v>
      </c>
      <c r="F1092">
        <v>36.3693</v>
      </c>
      <c r="G1092">
        <v>100076.79</v>
      </c>
      <c r="H1092" s="1">
        <v>39303</v>
      </c>
      <c r="I1092" s="1">
        <v>39306</v>
      </c>
      <c r="J1092" t="s">
        <v>15</v>
      </c>
      <c r="K1092">
        <v>26</v>
      </c>
      <c r="L1092">
        <v>70000</v>
      </c>
      <c r="M1092" t="s">
        <v>16</v>
      </c>
      <c r="N1092">
        <v>1</v>
      </c>
    </row>
    <row r="1093" hidden="1" spans="1:14">
      <c r="A1093">
        <v>3176</v>
      </c>
      <c r="B1093">
        <v>0</v>
      </c>
      <c r="C1093" t="s">
        <v>273</v>
      </c>
      <c r="D1093">
        <v>0</v>
      </c>
      <c r="E1093">
        <v>104.066</v>
      </c>
      <c r="F1093">
        <v>27.719</v>
      </c>
      <c r="G1093">
        <v>32590.67</v>
      </c>
      <c r="H1093" s="1">
        <v>39316</v>
      </c>
      <c r="I1093" s="1">
        <v>39321</v>
      </c>
      <c r="J1093" t="s">
        <v>15</v>
      </c>
      <c r="K1093">
        <v>17</v>
      </c>
      <c r="L1093">
        <v>2309</v>
      </c>
      <c r="M1093" t="s">
        <v>16</v>
      </c>
      <c r="N1093">
        <v>1</v>
      </c>
    </row>
    <row r="1094" hidden="1" spans="1:14">
      <c r="A1094">
        <v>3181</v>
      </c>
      <c r="B1094">
        <v>0</v>
      </c>
      <c r="C1094" t="s">
        <v>273</v>
      </c>
      <c r="D1094">
        <v>0</v>
      </c>
      <c r="E1094">
        <v>108.872</v>
      </c>
      <c r="F1094">
        <v>32.7825</v>
      </c>
      <c r="G1094">
        <v>4380.35</v>
      </c>
      <c r="H1094" s="1">
        <v>39325</v>
      </c>
      <c r="I1094" s="1">
        <v>39327</v>
      </c>
      <c r="J1094" t="s">
        <v>15</v>
      </c>
      <c r="K1094">
        <v>7</v>
      </c>
      <c r="L1094">
        <v>0</v>
      </c>
      <c r="M1094" t="s">
        <v>16</v>
      </c>
      <c r="N1094">
        <v>1</v>
      </c>
    </row>
    <row r="1095" hidden="1" spans="1:14">
      <c r="A1095">
        <v>3275</v>
      </c>
      <c r="B1095">
        <v>0</v>
      </c>
      <c r="C1095" t="s">
        <v>273</v>
      </c>
      <c r="D1095">
        <v>0</v>
      </c>
      <c r="E1095">
        <v>81.8763</v>
      </c>
      <c r="F1095">
        <v>43.7745</v>
      </c>
      <c r="G1095">
        <v>17161.6</v>
      </c>
      <c r="H1095" s="1">
        <v>39479</v>
      </c>
      <c r="I1095" s="1">
        <v>39503</v>
      </c>
      <c r="J1095" t="s">
        <v>15</v>
      </c>
      <c r="K1095">
        <v>0</v>
      </c>
      <c r="L1095">
        <v>8000</v>
      </c>
      <c r="M1095" t="s">
        <v>48</v>
      </c>
      <c r="N1095">
        <v>1</v>
      </c>
    </row>
    <row r="1096" hidden="1" spans="1:14">
      <c r="A1096">
        <v>3282</v>
      </c>
      <c r="B1096">
        <v>0</v>
      </c>
      <c r="C1096" t="s">
        <v>273</v>
      </c>
      <c r="D1096">
        <v>0</v>
      </c>
      <c r="E1096">
        <v>106.735</v>
      </c>
      <c r="F1096">
        <v>39.4142</v>
      </c>
      <c r="G1096">
        <v>64010.29</v>
      </c>
      <c r="H1096" s="1">
        <v>39510</v>
      </c>
      <c r="I1096" s="1">
        <v>39539</v>
      </c>
      <c r="J1096" t="s">
        <v>15</v>
      </c>
      <c r="K1096">
        <v>0</v>
      </c>
      <c r="L1096">
        <v>13700</v>
      </c>
      <c r="M1096" t="s">
        <v>48</v>
      </c>
      <c r="N1096">
        <v>1.5</v>
      </c>
    </row>
    <row r="1097" hidden="1" spans="1:14">
      <c r="A1097">
        <v>3295</v>
      </c>
      <c r="B1097">
        <v>0</v>
      </c>
      <c r="C1097" t="s">
        <v>273</v>
      </c>
      <c r="D1097">
        <v>0</v>
      </c>
      <c r="E1097">
        <v>116.476</v>
      </c>
      <c r="F1097">
        <v>33.4521</v>
      </c>
      <c r="G1097">
        <v>20737.17</v>
      </c>
      <c r="H1097" s="1">
        <v>39558</v>
      </c>
      <c r="I1097" s="1">
        <v>39561</v>
      </c>
      <c r="J1097" t="s">
        <v>15</v>
      </c>
      <c r="K1097">
        <v>0</v>
      </c>
      <c r="L1097">
        <v>0</v>
      </c>
      <c r="M1097" t="s">
        <v>16</v>
      </c>
      <c r="N1097">
        <v>1</v>
      </c>
    </row>
    <row r="1098" hidden="1" spans="1:14">
      <c r="A1098">
        <v>3301</v>
      </c>
      <c r="B1098">
        <v>0</v>
      </c>
      <c r="C1098" t="s">
        <v>273</v>
      </c>
      <c r="D1098">
        <v>0</v>
      </c>
      <c r="E1098">
        <v>113.026</v>
      </c>
      <c r="F1098">
        <v>30.8658</v>
      </c>
      <c r="G1098">
        <v>43958.62</v>
      </c>
      <c r="H1098" s="1">
        <v>39570</v>
      </c>
      <c r="I1098" s="1">
        <v>39573</v>
      </c>
      <c r="J1098" t="s">
        <v>15</v>
      </c>
      <c r="K1098">
        <v>3</v>
      </c>
      <c r="L1098">
        <v>351</v>
      </c>
      <c r="M1098" t="s">
        <v>16</v>
      </c>
      <c r="N1098">
        <v>1</v>
      </c>
    </row>
    <row r="1099" hidden="1" spans="1:14">
      <c r="A1099">
        <v>3309</v>
      </c>
      <c r="C1099" t="s">
        <v>273</v>
      </c>
      <c r="D1099">
        <v>0</v>
      </c>
      <c r="E1099">
        <v>105.815</v>
      </c>
      <c r="F1099">
        <v>26.6159</v>
      </c>
      <c r="G1099">
        <v>144704.15</v>
      </c>
      <c r="H1099" s="1">
        <v>39595</v>
      </c>
      <c r="I1099" s="1">
        <v>39604</v>
      </c>
      <c r="J1099" t="s">
        <v>15</v>
      </c>
      <c r="K1099">
        <v>64</v>
      </c>
      <c r="L1099">
        <v>5000</v>
      </c>
      <c r="M1099" t="s">
        <v>16</v>
      </c>
      <c r="N1099">
        <v>1</v>
      </c>
    </row>
    <row r="1100" hidden="1" spans="1:14">
      <c r="A1100">
        <v>3319</v>
      </c>
      <c r="B1100" t="s">
        <v>283</v>
      </c>
      <c r="C1100" t="s">
        <v>273</v>
      </c>
      <c r="D1100">
        <v>0</v>
      </c>
      <c r="E1100">
        <v>110.224</v>
      </c>
      <c r="F1100">
        <v>22.1496</v>
      </c>
      <c r="G1100">
        <v>79368.52</v>
      </c>
      <c r="H1100" s="1">
        <v>39610</v>
      </c>
      <c r="I1100" s="1">
        <v>39632</v>
      </c>
      <c r="J1100" t="s">
        <v>15</v>
      </c>
      <c r="K1100">
        <v>65</v>
      </c>
      <c r="L1100">
        <v>500000</v>
      </c>
      <c r="M1100" t="s">
        <v>49</v>
      </c>
      <c r="N1100">
        <v>1.5</v>
      </c>
    </row>
    <row r="1101" hidden="1" spans="1:14">
      <c r="A1101">
        <v>3325</v>
      </c>
      <c r="B1101">
        <v>0</v>
      </c>
      <c r="C1101" t="s">
        <v>273</v>
      </c>
      <c r="D1101">
        <v>0</v>
      </c>
      <c r="E1101">
        <v>112.304</v>
      </c>
      <c r="F1101">
        <v>23.5424</v>
      </c>
      <c r="G1101">
        <v>373961.52</v>
      </c>
      <c r="H1101" s="1">
        <v>39623</v>
      </c>
      <c r="I1101" s="1">
        <v>39626</v>
      </c>
      <c r="J1101" t="s">
        <v>15</v>
      </c>
      <c r="K1101">
        <v>0</v>
      </c>
      <c r="L1101">
        <v>0</v>
      </c>
      <c r="M1101" t="s">
        <v>284</v>
      </c>
      <c r="N1101">
        <v>1.5</v>
      </c>
    </row>
    <row r="1102" hidden="1" spans="1:14">
      <c r="A1102">
        <v>3345</v>
      </c>
      <c r="B1102">
        <v>0</v>
      </c>
      <c r="C1102" t="s">
        <v>273</v>
      </c>
      <c r="D1102">
        <v>0</v>
      </c>
      <c r="E1102">
        <v>114.415</v>
      </c>
      <c r="F1102">
        <v>32.5559</v>
      </c>
      <c r="G1102">
        <v>533930.15</v>
      </c>
      <c r="H1102" s="1">
        <v>39657</v>
      </c>
      <c r="I1102" s="1">
        <v>39668</v>
      </c>
      <c r="J1102" t="s">
        <v>15</v>
      </c>
      <c r="K1102">
        <v>0</v>
      </c>
      <c r="L1102">
        <v>93000</v>
      </c>
      <c r="M1102" t="s">
        <v>285</v>
      </c>
      <c r="N1102">
        <v>2</v>
      </c>
    </row>
    <row r="1103" hidden="1" spans="1:14">
      <c r="A1103">
        <v>3353</v>
      </c>
      <c r="B1103" t="s">
        <v>286</v>
      </c>
      <c r="C1103" t="s">
        <v>273</v>
      </c>
      <c r="D1103">
        <v>0</v>
      </c>
      <c r="E1103">
        <v>101.548</v>
      </c>
      <c r="F1103">
        <v>22.6193</v>
      </c>
      <c r="G1103">
        <v>24614.95</v>
      </c>
      <c r="H1103" s="1">
        <v>39667</v>
      </c>
      <c r="I1103" s="1">
        <v>39671</v>
      </c>
      <c r="J1103" t="s">
        <v>15</v>
      </c>
      <c r="K1103">
        <v>20</v>
      </c>
      <c r="L1103">
        <v>0</v>
      </c>
      <c r="M1103" t="s">
        <v>64</v>
      </c>
      <c r="N1103">
        <v>1.5</v>
      </c>
    </row>
    <row r="1104" hidden="1" spans="1:14">
      <c r="A1104">
        <v>3354</v>
      </c>
      <c r="C1104" t="s">
        <v>273</v>
      </c>
      <c r="D1104">
        <v>0</v>
      </c>
      <c r="E1104">
        <v>113.151</v>
      </c>
      <c r="F1104">
        <v>22.5473</v>
      </c>
      <c r="G1104">
        <v>8409.86</v>
      </c>
      <c r="H1104" s="1">
        <v>39668</v>
      </c>
      <c r="I1104" s="1">
        <v>39671</v>
      </c>
      <c r="J1104" t="s">
        <v>15</v>
      </c>
      <c r="K1104">
        <v>0</v>
      </c>
      <c r="L1104">
        <v>42000</v>
      </c>
      <c r="M1104" t="s">
        <v>287</v>
      </c>
      <c r="N1104">
        <v>2</v>
      </c>
    </row>
    <row r="1105" hidden="1" spans="1:14">
      <c r="A1105">
        <v>3387</v>
      </c>
      <c r="B1105">
        <v>0</v>
      </c>
      <c r="C1105" t="s">
        <v>273</v>
      </c>
      <c r="D1105">
        <v>0</v>
      </c>
      <c r="E1105">
        <v>108.721</v>
      </c>
      <c r="F1105">
        <v>21.9351</v>
      </c>
      <c r="G1105">
        <v>6852.64</v>
      </c>
      <c r="H1105" s="1">
        <v>39717</v>
      </c>
      <c r="I1105" s="1">
        <v>39720</v>
      </c>
      <c r="J1105" t="s">
        <v>15</v>
      </c>
      <c r="K1105">
        <v>0</v>
      </c>
      <c r="L1105">
        <v>0</v>
      </c>
      <c r="M1105" t="s">
        <v>49</v>
      </c>
      <c r="N1105">
        <v>1</v>
      </c>
    </row>
    <row r="1106" hidden="1" spans="1:14">
      <c r="A1106">
        <v>3393</v>
      </c>
      <c r="B1106">
        <v>0</v>
      </c>
      <c r="C1106" t="s">
        <v>273</v>
      </c>
      <c r="D1106">
        <v>0</v>
      </c>
      <c r="E1106">
        <v>109.819</v>
      </c>
      <c r="F1106">
        <v>19.1585</v>
      </c>
      <c r="G1106">
        <v>29937.67</v>
      </c>
      <c r="H1106" s="1">
        <v>39731</v>
      </c>
      <c r="I1106" s="1">
        <v>39737</v>
      </c>
      <c r="J1106" t="s">
        <v>15</v>
      </c>
      <c r="K1106">
        <v>2</v>
      </c>
      <c r="L1106">
        <v>50000</v>
      </c>
      <c r="M1106" t="s">
        <v>49</v>
      </c>
      <c r="N1106">
        <v>1.5</v>
      </c>
    </row>
    <row r="1107" hidden="1" spans="1:14">
      <c r="A1107">
        <v>3481</v>
      </c>
      <c r="B1107">
        <v>0</v>
      </c>
      <c r="C1107" t="s">
        <v>273</v>
      </c>
      <c r="D1107">
        <v>0</v>
      </c>
      <c r="E1107">
        <v>111.232</v>
      </c>
      <c r="F1107">
        <v>25.7563</v>
      </c>
      <c r="G1107">
        <v>201149.89</v>
      </c>
      <c r="H1107" s="1">
        <v>39952</v>
      </c>
      <c r="I1107" s="1">
        <v>39961</v>
      </c>
      <c r="J1107" t="s">
        <v>15</v>
      </c>
      <c r="K1107">
        <v>0</v>
      </c>
      <c r="L1107">
        <v>16000</v>
      </c>
      <c r="M1107" t="s">
        <v>49</v>
      </c>
      <c r="N1107">
        <v>1.5</v>
      </c>
    </row>
    <row r="1108" hidden="1" spans="1:14">
      <c r="A1108">
        <v>3489</v>
      </c>
      <c r="B1108" t="s">
        <v>288</v>
      </c>
      <c r="C1108" t="s">
        <v>273</v>
      </c>
      <c r="D1108">
        <v>0</v>
      </c>
      <c r="E1108">
        <v>110.283</v>
      </c>
      <c r="F1108">
        <v>26.8483</v>
      </c>
      <c r="G1108">
        <v>82900.06</v>
      </c>
      <c r="H1108" s="1">
        <v>39984</v>
      </c>
      <c r="I1108" s="1">
        <v>39986</v>
      </c>
      <c r="J1108" t="s">
        <v>15</v>
      </c>
      <c r="K1108">
        <v>0</v>
      </c>
      <c r="L1108">
        <v>0</v>
      </c>
      <c r="M1108" t="s">
        <v>49</v>
      </c>
      <c r="N1108">
        <v>1</v>
      </c>
    </row>
    <row r="1109" hidden="1" spans="1:14">
      <c r="A1109">
        <v>3514</v>
      </c>
      <c r="B1109">
        <v>0</v>
      </c>
      <c r="C1109" t="s">
        <v>273</v>
      </c>
      <c r="D1109">
        <v>0</v>
      </c>
      <c r="E1109">
        <v>101.18</v>
      </c>
      <c r="F1109">
        <v>30.859</v>
      </c>
      <c r="G1109">
        <v>201114.11</v>
      </c>
      <c r="H1109" s="1">
        <v>40020</v>
      </c>
      <c r="I1109" s="1">
        <v>40029</v>
      </c>
      <c r="J1109" t="s">
        <v>15</v>
      </c>
      <c r="K1109">
        <v>22</v>
      </c>
      <c r="L1109">
        <v>0</v>
      </c>
      <c r="M1109" t="s">
        <v>52</v>
      </c>
      <c r="N1109">
        <v>1</v>
      </c>
    </row>
    <row r="1110" hidden="1" spans="1:14">
      <c r="A1110">
        <v>3498</v>
      </c>
      <c r="B1110">
        <v>0</v>
      </c>
      <c r="C1110" t="s">
        <v>273</v>
      </c>
      <c r="D1110">
        <v>0</v>
      </c>
      <c r="E1110">
        <v>112.712</v>
      </c>
      <c r="F1110">
        <v>25.3072</v>
      </c>
      <c r="G1110">
        <v>542051.73</v>
      </c>
      <c r="H1110" s="1">
        <v>39995</v>
      </c>
      <c r="I1110" s="1">
        <v>40000</v>
      </c>
      <c r="J1110" t="s">
        <v>15</v>
      </c>
      <c r="K1110">
        <v>20</v>
      </c>
      <c r="L1110">
        <v>700000</v>
      </c>
      <c r="M1110" t="s">
        <v>49</v>
      </c>
      <c r="N1110">
        <v>1.5</v>
      </c>
    </row>
    <row r="1111" hidden="1" spans="1:14">
      <c r="A1111">
        <v>3521</v>
      </c>
      <c r="B1111">
        <v>0</v>
      </c>
      <c r="C1111" t="s">
        <v>273</v>
      </c>
      <c r="D1111">
        <v>0</v>
      </c>
      <c r="E1111">
        <v>109.773</v>
      </c>
      <c r="F1111">
        <v>19.1227</v>
      </c>
      <c r="G1111">
        <v>30538</v>
      </c>
      <c r="H1111" s="1">
        <v>40032</v>
      </c>
      <c r="I1111" s="1">
        <v>40035</v>
      </c>
      <c r="J1111">
        <v>0</v>
      </c>
      <c r="K1111">
        <v>0</v>
      </c>
      <c r="L1111">
        <v>7250</v>
      </c>
      <c r="M1111" t="s">
        <v>49</v>
      </c>
      <c r="N1111">
        <v>1.5</v>
      </c>
    </row>
    <row r="1112" hidden="1" spans="1:14">
      <c r="A1112">
        <v>3535</v>
      </c>
      <c r="B1112">
        <v>0</v>
      </c>
      <c r="C1112" t="s">
        <v>273</v>
      </c>
      <c r="E1112">
        <v>105.155</v>
      </c>
      <c r="F1112">
        <v>26.6186</v>
      </c>
      <c r="G1112">
        <v>81300.71</v>
      </c>
      <c r="H1112" s="1">
        <v>40053</v>
      </c>
      <c r="I1112" s="1">
        <v>40057</v>
      </c>
      <c r="J1112">
        <v>0</v>
      </c>
      <c r="K1112">
        <v>42</v>
      </c>
      <c r="L1112">
        <v>118000</v>
      </c>
      <c r="M1112" t="s">
        <v>49</v>
      </c>
      <c r="N1112">
        <v>1</v>
      </c>
    </row>
    <row r="1113" hidden="1" spans="1:14">
      <c r="A1113">
        <v>3638</v>
      </c>
      <c r="B1113">
        <v>0</v>
      </c>
      <c r="C1113" t="s">
        <v>273</v>
      </c>
      <c r="D1113">
        <v>0</v>
      </c>
      <c r="E1113">
        <v>111.13</v>
      </c>
      <c r="F1113">
        <v>25.1481</v>
      </c>
      <c r="G1113">
        <v>19903.73</v>
      </c>
      <c r="H1113" s="1">
        <v>40288</v>
      </c>
      <c r="I1113" s="1">
        <v>40289</v>
      </c>
      <c r="J1113">
        <v>0</v>
      </c>
      <c r="K1113">
        <v>0</v>
      </c>
      <c r="L1113">
        <v>0</v>
      </c>
      <c r="M1113" t="s">
        <v>49</v>
      </c>
      <c r="N1113">
        <v>1</v>
      </c>
    </row>
    <row r="1114" hidden="1" spans="1:14">
      <c r="A1114">
        <v>3651</v>
      </c>
      <c r="B1114" t="s">
        <v>289</v>
      </c>
      <c r="C1114" t="s">
        <v>273</v>
      </c>
      <c r="D1114">
        <v>0</v>
      </c>
      <c r="E1114">
        <v>115.483</v>
      </c>
      <c r="F1114">
        <v>26.4442</v>
      </c>
      <c r="G1114">
        <v>234212.72</v>
      </c>
      <c r="H1114" s="1">
        <v>40313</v>
      </c>
      <c r="I1114" s="1">
        <v>40357</v>
      </c>
      <c r="J1114">
        <v>0</v>
      </c>
      <c r="K1114">
        <v>379</v>
      </c>
      <c r="L1114">
        <v>2370000</v>
      </c>
      <c r="M1114" t="s">
        <v>54</v>
      </c>
      <c r="N1114">
        <v>1.5</v>
      </c>
    </row>
    <row r="1115" hidden="1" spans="1:14">
      <c r="A1115">
        <v>3676</v>
      </c>
      <c r="B1115">
        <v>0</v>
      </c>
      <c r="C1115" t="s">
        <v>273</v>
      </c>
      <c r="D1115">
        <v>0</v>
      </c>
      <c r="E1115">
        <v>97.1282</v>
      </c>
      <c r="F1115">
        <v>39.4866</v>
      </c>
      <c r="G1115">
        <v>396656.67</v>
      </c>
      <c r="H1115" s="1">
        <v>40365</v>
      </c>
      <c r="I1115" s="1">
        <v>40372</v>
      </c>
      <c r="J1115">
        <v>0</v>
      </c>
      <c r="K1115">
        <v>15</v>
      </c>
      <c r="L1115">
        <v>0</v>
      </c>
      <c r="M1115" t="s">
        <v>52</v>
      </c>
      <c r="N1115">
        <v>1</v>
      </c>
    </row>
    <row r="1116" hidden="1" spans="1:14">
      <c r="A1116">
        <v>3678</v>
      </c>
      <c r="B1116">
        <v>0</v>
      </c>
      <c r="C1116" t="s">
        <v>273</v>
      </c>
      <c r="D1116">
        <v>0</v>
      </c>
      <c r="E1116">
        <v>113.171</v>
      </c>
      <c r="F1116">
        <v>28.0056</v>
      </c>
      <c r="G1116">
        <v>575176.16</v>
      </c>
      <c r="H1116" s="1">
        <v>40360</v>
      </c>
      <c r="I1116" s="1">
        <v>40374</v>
      </c>
      <c r="J1116">
        <v>0</v>
      </c>
      <c r="K1116">
        <v>600</v>
      </c>
      <c r="L1116">
        <v>2400000</v>
      </c>
      <c r="M1116" t="s">
        <v>52</v>
      </c>
      <c r="N1116">
        <v>1</v>
      </c>
    </row>
    <row r="1117" hidden="1" spans="1:14">
      <c r="A1117">
        <v>3681</v>
      </c>
      <c r="B1117">
        <v>0</v>
      </c>
      <c r="C1117" t="s">
        <v>273</v>
      </c>
      <c r="D1117">
        <v>0</v>
      </c>
      <c r="E1117">
        <v>115.886</v>
      </c>
      <c r="F1117">
        <v>29.1384</v>
      </c>
      <c r="G1117">
        <v>235548.21</v>
      </c>
      <c r="H1117" s="1">
        <v>40366</v>
      </c>
      <c r="I1117" s="1">
        <v>40382</v>
      </c>
      <c r="J1117">
        <v>0</v>
      </c>
      <c r="K1117">
        <v>0</v>
      </c>
      <c r="L1117">
        <v>10000</v>
      </c>
      <c r="M1117" t="s">
        <v>52</v>
      </c>
      <c r="N1117">
        <v>1.5</v>
      </c>
    </row>
    <row r="1118" hidden="1" spans="1:14">
      <c r="A1118">
        <v>3688</v>
      </c>
      <c r="B1118">
        <v>0</v>
      </c>
      <c r="C1118" t="s">
        <v>273</v>
      </c>
      <c r="D1118">
        <v>0</v>
      </c>
      <c r="E1118">
        <v>114.01</v>
      </c>
      <c r="F1118">
        <v>22.6733</v>
      </c>
      <c r="G1118">
        <v>10513.16</v>
      </c>
      <c r="H1118" s="1">
        <v>40380</v>
      </c>
      <c r="I1118" s="1">
        <v>40382</v>
      </c>
      <c r="J1118">
        <v>0</v>
      </c>
      <c r="K1118">
        <v>1</v>
      </c>
      <c r="L1118">
        <v>15000</v>
      </c>
      <c r="M1118" t="s">
        <v>290</v>
      </c>
      <c r="N1118">
        <v>1.5</v>
      </c>
    </row>
    <row r="1119" hidden="1" spans="1:14">
      <c r="A1119">
        <v>3692</v>
      </c>
      <c r="B1119">
        <v>0</v>
      </c>
      <c r="C1119" t="s">
        <v>273</v>
      </c>
      <c r="D1119">
        <v>0</v>
      </c>
      <c r="E1119">
        <v>111.074</v>
      </c>
      <c r="F1119">
        <v>31.5774</v>
      </c>
      <c r="G1119">
        <v>1049485.12</v>
      </c>
      <c r="H1119" s="1">
        <v>40382</v>
      </c>
      <c r="I1119" s="1">
        <v>40393</v>
      </c>
      <c r="J1119">
        <v>0</v>
      </c>
      <c r="K1119">
        <v>1100</v>
      </c>
      <c r="L1119">
        <v>300000</v>
      </c>
      <c r="M1119" t="s">
        <v>54</v>
      </c>
      <c r="N1119">
        <v>2</v>
      </c>
    </row>
    <row r="1120" hidden="1" spans="1:14">
      <c r="A1120">
        <v>3699</v>
      </c>
      <c r="B1120">
        <v>0</v>
      </c>
      <c r="C1120" t="s">
        <v>273</v>
      </c>
      <c r="D1120">
        <v>0</v>
      </c>
      <c r="E1120">
        <v>99.9857</v>
      </c>
      <c r="F1120">
        <v>37.8435</v>
      </c>
      <c r="G1120">
        <v>442536.33</v>
      </c>
      <c r="H1120" s="1">
        <v>40386</v>
      </c>
      <c r="I1120" s="1">
        <v>40401</v>
      </c>
      <c r="J1120" t="s">
        <v>15</v>
      </c>
      <c r="K1120">
        <v>65</v>
      </c>
      <c r="L1120">
        <v>180</v>
      </c>
      <c r="M1120" t="s">
        <v>52</v>
      </c>
      <c r="N1120">
        <v>1.5</v>
      </c>
    </row>
    <row r="1121" hidden="1" spans="1:14">
      <c r="A1121">
        <v>3729</v>
      </c>
      <c r="B1121">
        <v>0</v>
      </c>
      <c r="C1121" t="s">
        <v>273</v>
      </c>
      <c r="D1121">
        <v>0</v>
      </c>
      <c r="E1121">
        <v>110.025</v>
      </c>
      <c r="F1121">
        <v>18.9</v>
      </c>
      <c r="G1121">
        <v>3978.3</v>
      </c>
      <c r="H1121" s="1">
        <v>40455</v>
      </c>
      <c r="I1121" s="1">
        <v>40463</v>
      </c>
      <c r="J1121" t="s">
        <v>15</v>
      </c>
      <c r="K1121">
        <v>0</v>
      </c>
      <c r="L1121">
        <v>200000</v>
      </c>
      <c r="M1121" t="s">
        <v>52</v>
      </c>
      <c r="N1121">
        <v>2</v>
      </c>
    </row>
    <row r="1122" hidden="1" spans="1:14">
      <c r="A1122">
        <v>3736</v>
      </c>
      <c r="B1122">
        <v>0</v>
      </c>
      <c r="C1122" t="s">
        <v>273</v>
      </c>
      <c r="D1122">
        <v>0</v>
      </c>
      <c r="E1122">
        <v>109.833</v>
      </c>
      <c r="F1122">
        <v>19.2123</v>
      </c>
      <c r="G1122">
        <v>24954</v>
      </c>
      <c r="H1122" s="1">
        <v>40467</v>
      </c>
      <c r="I1122" s="1">
        <v>40470</v>
      </c>
      <c r="J1122" t="s">
        <v>15</v>
      </c>
      <c r="K1122">
        <v>0</v>
      </c>
      <c r="L1122">
        <v>100000</v>
      </c>
      <c r="M1122" t="s">
        <v>52</v>
      </c>
      <c r="N1122">
        <v>1.5</v>
      </c>
    </row>
    <row r="1123" hidden="1" spans="1:14">
      <c r="A1123">
        <v>3821</v>
      </c>
      <c r="C1123" t="s">
        <v>273</v>
      </c>
      <c r="E1123">
        <v>114.478</v>
      </c>
      <c r="F1123">
        <v>27.8963</v>
      </c>
      <c r="G1123">
        <v>431896.52</v>
      </c>
      <c r="H1123" s="1">
        <v>40695</v>
      </c>
      <c r="I1123" s="1">
        <v>40723</v>
      </c>
      <c r="J1123" t="s">
        <v>15</v>
      </c>
      <c r="K1123">
        <v>175</v>
      </c>
      <c r="L1123">
        <v>1600000</v>
      </c>
      <c r="M1123" t="s">
        <v>54</v>
      </c>
      <c r="N1123">
        <v>2</v>
      </c>
    </row>
    <row r="1124" hidden="1" spans="1:14">
      <c r="A1124">
        <v>3828</v>
      </c>
      <c r="C1124" t="s">
        <v>273</v>
      </c>
      <c r="E1124">
        <v>102.561</v>
      </c>
      <c r="F1124">
        <v>36.9861</v>
      </c>
      <c r="G1124">
        <v>115468.68</v>
      </c>
      <c r="H1124" s="1">
        <v>40709</v>
      </c>
      <c r="I1124" s="1">
        <v>40715</v>
      </c>
      <c r="J1124" t="s">
        <v>15</v>
      </c>
      <c r="K1124">
        <v>0</v>
      </c>
      <c r="L1124">
        <v>2000</v>
      </c>
      <c r="M1124" t="s">
        <v>49</v>
      </c>
      <c r="N1124">
        <v>1.5</v>
      </c>
    </row>
    <row r="1125" hidden="1" spans="1:14">
      <c r="A1125">
        <v>3842</v>
      </c>
      <c r="C1125" t="s">
        <v>273</v>
      </c>
      <c r="E1125">
        <v>108.111</v>
      </c>
      <c r="F1125">
        <v>27.0633</v>
      </c>
      <c r="G1125">
        <v>1341347.09</v>
      </c>
      <c r="H1125" s="1">
        <v>40735</v>
      </c>
      <c r="I1125" s="1">
        <v>40746</v>
      </c>
      <c r="J1125" t="s">
        <v>15</v>
      </c>
      <c r="K1125">
        <v>6</v>
      </c>
      <c r="L1125">
        <v>1600000</v>
      </c>
      <c r="M1125" t="s">
        <v>54</v>
      </c>
      <c r="N1125">
        <v>1.5</v>
      </c>
    </row>
    <row r="1126" hidden="1" spans="1:14">
      <c r="A1126">
        <v>3858</v>
      </c>
      <c r="C1126" t="s">
        <v>273</v>
      </c>
      <c r="E1126">
        <v>109.532</v>
      </c>
      <c r="F1126">
        <v>37.4167</v>
      </c>
      <c r="G1126">
        <v>1215861.78</v>
      </c>
      <c r="H1126" s="1">
        <v>40756</v>
      </c>
      <c r="I1126" s="1">
        <v>40794</v>
      </c>
      <c r="J1126" t="s">
        <v>15</v>
      </c>
      <c r="K1126">
        <v>22</v>
      </c>
      <c r="L1126">
        <v>50000</v>
      </c>
      <c r="M1126" t="s">
        <v>54</v>
      </c>
      <c r="N1126">
        <v>1.5</v>
      </c>
    </row>
    <row r="1127" hidden="1" spans="1:14">
      <c r="A1127">
        <v>3868</v>
      </c>
      <c r="C1127" t="s">
        <v>273</v>
      </c>
      <c r="E1127">
        <v>109.005</v>
      </c>
      <c r="F1127">
        <v>22.248</v>
      </c>
      <c r="G1127">
        <v>24302.22</v>
      </c>
      <c r="H1127" s="1">
        <v>40817</v>
      </c>
      <c r="I1127" s="1">
        <v>40826</v>
      </c>
      <c r="J1127" t="s">
        <v>15</v>
      </c>
      <c r="K1127">
        <v>0</v>
      </c>
      <c r="L1127">
        <v>132300</v>
      </c>
      <c r="M1127" t="s">
        <v>291</v>
      </c>
      <c r="N1127">
        <v>1.5</v>
      </c>
    </row>
    <row r="1128" hidden="1" spans="1:14">
      <c r="A1128">
        <v>3926</v>
      </c>
      <c r="C1128" t="s">
        <v>273</v>
      </c>
      <c r="E1128">
        <v>106.493</v>
      </c>
      <c r="F1128">
        <v>32.4515</v>
      </c>
      <c r="G1128">
        <v>1056107.69</v>
      </c>
      <c r="H1128" s="1">
        <v>41037</v>
      </c>
      <c r="I1128" s="1">
        <v>41045</v>
      </c>
      <c r="J1128" t="s">
        <v>15</v>
      </c>
      <c r="K1128">
        <v>53</v>
      </c>
      <c r="L1128">
        <v>185000</v>
      </c>
      <c r="M1128" t="s">
        <v>49</v>
      </c>
      <c r="N1128">
        <v>1.5</v>
      </c>
    </row>
    <row r="1129" hidden="1" spans="1:14">
      <c r="A1129">
        <v>3942</v>
      </c>
      <c r="C1129" t="s">
        <v>273</v>
      </c>
      <c r="E1129">
        <v>106.943</v>
      </c>
      <c r="F1129">
        <v>33.4553</v>
      </c>
      <c r="G1129">
        <v>2643786.56</v>
      </c>
      <c r="H1129" s="1">
        <v>41082</v>
      </c>
      <c r="I1129" s="1">
        <v>41092</v>
      </c>
      <c r="J1129" t="s">
        <v>15</v>
      </c>
      <c r="K1129">
        <v>50</v>
      </c>
      <c r="L1129">
        <v>120000</v>
      </c>
      <c r="M1129" t="s">
        <v>54</v>
      </c>
      <c r="N1129">
        <v>1.5</v>
      </c>
    </row>
    <row r="1130" hidden="1" spans="1:14">
      <c r="A1130">
        <v>3949</v>
      </c>
      <c r="C1130" t="s">
        <v>273</v>
      </c>
      <c r="E1130">
        <v>113.04</v>
      </c>
      <c r="F1130">
        <v>31.4158</v>
      </c>
      <c r="G1130">
        <v>92141.11</v>
      </c>
      <c r="H1130" s="1">
        <v>41099</v>
      </c>
      <c r="I1130" s="1">
        <v>41115</v>
      </c>
      <c r="J1130" t="s">
        <v>15</v>
      </c>
      <c r="K1130">
        <v>58</v>
      </c>
      <c r="L1130">
        <v>140000</v>
      </c>
      <c r="M1130" t="s">
        <v>54</v>
      </c>
      <c r="N1130">
        <v>1.5</v>
      </c>
    </row>
    <row r="1131" hidden="1" spans="1:14">
      <c r="A1131">
        <v>3950</v>
      </c>
      <c r="C1131" t="s">
        <v>273</v>
      </c>
      <c r="E1131">
        <v>117.702</v>
      </c>
      <c r="F1131">
        <v>42.3329</v>
      </c>
      <c r="G1131">
        <v>29832.3</v>
      </c>
      <c r="H1131" s="1">
        <v>41111</v>
      </c>
      <c r="I1131" s="1">
        <v>41115</v>
      </c>
      <c r="J1131" t="s">
        <v>15</v>
      </c>
      <c r="K1131">
        <v>77</v>
      </c>
      <c r="L1131">
        <v>0</v>
      </c>
      <c r="M1131" t="s">
        <v>52</v>
      </c>
      <c r="N1131">
        <v>2</v>
      </c>
    </row>
    <row r="1132" hidden="1" spans="1:14">
      <c r="A1132">
        <v>3958</v>
      </c>
      <c r="C1132" t="s">
        <v>273</v>
      </c>
      <c r="E1132">
        <v>110.85</v>
      </c>
      <c r="F1132">
        <v>34.7959</v>
      </c>
      <c r="G1132">
        <v>100600.98</v>
      </c>
      <c r="H1132" s="1">
        <v>41115</v>
      </c>
      <c r="I1132" s="1">
        <v>41120</v>
      </c>
      <c r="J1132" t="s">
        <v>15</v>
      </c>
      <c r="K1132">
        <v>0</v>
      </c>
      <c r="L1132">
        <v>40000</v>
      </c>
      <c r="M1132" t="s">
        <v>49</v>
      </c>
      <c r="N1132">
        <v>1.5</v>
      </c>
    </row>
    <row r="1133" hidden="1" spans="1:14">
      <c r="A1133">
        <v>3963</v>
      </c>
      <c r="C1133" t="s">
        <v>273</v>
      </c>
      <c r="E1133">
        <v>122.594</v>
      </c>
      <c r="F1133">
        <v>40.5195</v>
      </c>
      <c r="G1133">
        <v>9559.89</v>
      </c>
      <c r="H1133" s="1">
        <v>41124</v>
      </c>
      <c r="I1133" s="1">
        <v>41127</v>
      </c>
      <c r="J1133" t="s">
        <v>15</v>
      </c>
      <c r="K1133">
        <v>2</v>
      </c>
      <c r="L1133">
        <v>800000</v>
      </c>
      <c r="M1133" t="s">
        <v>292</v>
      </c>
      <c r="N1133">
        <v>2</v>
      </c>
    </row>
    <row r="1134" hidden="1" spans="1:14">
      <c r="A1134">
        <v>3965</v>
      </c>
      <c r="C1134" t="s">
        <v>273</v>
      </c>
      <c r="E1134">
        <v>103.73</v>
      </c>
      <c r="F1134">
        <v>31.1602</v>
      </c>
      <c r="G1134">
        <v>107983.97</v>
      </c>
      <c r="H1134" s="1">
        <v>41135</v>
      </c>
      <c r="I1134" s="1">
        <v>41141</v>
      </c>
      <c r="J1134" t="s">
        <v>15</v>
      </c>
      <c r="K1134">
        <v>13</v>
      </c>
      <c r="L1134">
        <v>14600</v>
      </c>
      <c r="M1134" t="s">
        <v>54</v>
      </c>
      <c r="N1134">
        <v>1</v>
      </c>
    </row>
    <row r="1135" hidden="1" spans="1:14">
      <c r="A1135">
        <v>3975</v>
      </c>
      <c r="C1135" t="s">
        <v>273</v>
      </c>
      <c r="E1135">
        <v>106.115</v>
      </c>
      <c r="F1135">
        <v>37.3916</v>
      </c>
      <c r="G1135">
        <v>45130.63</v>
      </c>
      <c r="H1135" s="1">
        <v>41146</v>
      </c>
      <c r="I1135" s="1">
        <v>41150</v>
      </c>
      <c r="J1135" t="s">
        <v>15</v>
      </c>
      <c r="K1135">
        <v>6</v>
      </c>
      <c r="L1135">
        <v>30</v>
      </c>
      <c r="M1135" t="s">
        <v>52</v>
      </c>
      <c r="N1135">
        <v>1.5</v>
      </c>
    </row>
    <row r="1136" hidden="1" spans="1:14">
      <c r="A1136">
        <v>3986</v>
      </c>
      <c r="C1136" t="s">
        <v>273</v>
      </c>
      <c r="E1136">
        <v>107.186</v>
      </c>
      <c r="F1136">
        <v>30.3813</v>
      </c>
      <c r="G1136">
        <v>56959.95</v>
      </c>
      <c r="H1136" s="1">
        <v>41161</v>
      </c>
      <c r="I1136" s="1">
        <v>41170</v>
      </c>
      <c r="J1136" t="s">
        <v>15</v>
      </c>
      <c r="K1136">
        <v>7</v>
      </c>
      <c r="L1136">
        <v>0</v>
      </c>
      <c r="M1136" t="s">
        <v>49</v>
      </c>
      <c r="N1136">
        <v>1.5</v>
      </c>
    </row>
    <row r="1137" hidden="1" spans="1:14">
      <c r="A1137">
        <v>4057</v>
      </c>
      <c r="C1137" t="s">
        <v>273</v>
      </c>
      <c r="E1137">
        <v>114.464</v>
      </c>
      <c r="F1137">
        <v>23.6387</v>
      </c>
      <c r="G1137">
        <v>84761.74</v>
      </c>
      <c r="H1137" s="1">
        <v>41406</v>
      </c>
      <c r="I1137" s="1">
        <v>41422</v>
      </c>
      <c r="J1137" t="s">
        <v>15</v>
      </c>
      <c r="K1137">
        <v>55</v>
      </c>
      <c r="L1137">
        <v>10000</v>
      </c>
      <c r="M1137" t="s">
        <v>54</v>
      </c>
      <c r="N1137">
        <v>1.5</v>
      </c>
    </row>
    <row r="1138" hidden="1" spans="1:14">
      <c r="A1138">
        <v>4071</v>
      </c>
      <c r="C1138" t="s">
        <v>273</v>
      </c>
      <c r="E1138">
        <v>104.022</v>
      </c>
      <c r="F1138">
        <v>30.4563</v>
      </c>
      <c r="G1138">
        <v>419827.15</v>
      </c>
      <c r="H1138" s="1">
        <v>41460</v>
      </c>
      <c r="I1138" s="1">
        <v>41470</v>
      </c>
      <c r="J1138" t="s">
        <v>15</v>
      </c>
      <c r="K1138">
        <v>200</v>
      </c>
      <c r="L1138">
        <v>100000</v>
      </c>
      <c r="M1138" t="s">
        <v>49</v>
      </c>
      <c r="N1138">
        <v>1.5</v>
      </c>
    </row>
    <row r="1139" hidden="1" spans="1:14">
      <c r="A1139">
        <v>4072</v>
      </c>
      <c r="C1139" t="s">
        <v>273</v>
      </c>
      <c r="E1139">
        <v>118.14</v>
      </c>
      <c r="F1139">
        <v>25.8633</v>
      </c>
      <c r="G1139">
        <v>101850.92</v>
      </c>
      <c r="H1139" s="1">
        <v>41468</v>
      </c>
      <c r="I1139" s="1">
        <v>41470</v>
      </c>
      <c r="J1139" t="s">
        <v>15</v>
      </c>
      <c r="K1139">
        <v>1</v>
      </c>
      <c r="L1139">
        <v>300000</v>
      </c>
      <c r="M1139" t="s">
        <v>293</v>
      </c>
      <c r="N1139">
        <v>1.5</v>
      </c>
    </row>
    <row r="1140" hidden="1" spans="1:14">
      <c r="A1140">
        <v>4073</v>
      </c>
      <c r="C1140" t="s">
        <v>273</v>
      </c>
      <c r="E1140">
        <v>108.355</v>
      </c>
      <c r="F1140">
        <v>23.0867</v>
      </c>
      <c r="G1140">
        <v>112220.53</v>
      </c>
      <c r="H1140" s="1">
        <v>41466</v>
      </c>
      <c r="I1140" s="1">
        <v>41470</v>
      </c>
      <c r="J1140" t="s">
        <v>15</v>
      </c>
      <c r="K1140">
        <v>0</v>
      </c>
      <c r="L1140">
        <v>8</v>
      </c>
      <c r="M1140" t="s">
        <v>52</v>
      </c>
      <c r="N1140">
        <v>1.5</v>
      </c>
    </row>
    <row r="1141" hidden="1" spans="1:14">
      <c r="A1141">
        <v>4083</v>
      </c>
      <c r="C1141" t="s">
        <v>273</v>
      </c>
      <c r="D1141" t="s">
        <v>275</v>
      </c>
      <c r="E1141">
        <v>130.272</v>
      </c>
      <c r="F1141">
        <v>50.5323</v>
      </c>
      <c r="G1141">
        <v>1430155.56</v>
      </c>
      <c r="H1141" s="1">
        <v>41493</v>
      </c>
      <c r="I1141" s="1">
        <v>41561</v>
      </c>
      <c r="J1141" t="s">
        <v>15</v>
      </c>
      <c r="K1141">
        <v>100</v>
      </c>
      <c r="L1141">
        <v>260000</v>
      </c>
      <c r="M1141" t="s">
        <v>294</v>
      </c>
      <c r="N1141">
        <v>2</v>
      </c>
    </row>
    <row r="1142" hidden="1" spans="1:14">
      <c r="A1142">
        <v>4085</v>
      </c>
      <c r="C1142" t="s">
        <v>273</v>
      </c>
      <c r="E1142">
        <v>100.184</v>
      </c>
      <c r="F1142">
        <v>35.9161</v>
      </c>
      <c r="G1142">
        <v>93531.74</v>
      </c>
      <c r="H1142" s="1">
        <v>41504</v>
      </c>
      <c r="I1142" s="1">
        <v>41507</v>
      </c>
      <c r="J1142" t="s">
        <v>15</v>
      </c>
      <c r="K1142">
        <v>80</v>
      </c>
      <c r="L1142">
        <v>0</v>
      </c>
      <c r="M1142" t="s">
        <v>54</v>
      </c>
      <c r="N1142">
        <v>1.5</v>
      </c>
    </row>
    <row r="1143" hidden="1" spans="1:14">
      <c r="A1143">
        <v>4086</v>
      </c>
      <c r="C1143" t="s">
        <v>273</v>
      </c>
      <c r="E1143">
        <v>113.694</v>
      </c>
      <c r="F1143">
        <v>22.7696</v>
      </c>
      <c r="G1143">
        <v>98182.91</v>
      </c>
      <c r="H1143" s="1">
        <v>41501</v>
      </c>
      <c r="I1143" s="1">
        <v>41507</v>
      </c>
      <c r="J1143" t="s">
        <v>15</v>
      </c>
      <c r="K1143">
        <v>40</v>
      </c>
      <c r="L1143">
        <v>0</v>
      </c>
      <c r="M1143" t="s">
        <v>295</v>
      </c>
      <c r="N1143">
        <v>1.5</v>
      </c>
    </row>
    <row r="1144" hidden="1" spans="1:14">
      <c r="A1144">
        <v>4095</v>
      </c>
      <c r="C1144" t="s">
        <v>273</v>
      </c>
      <c r="E1144">
        <v>120.573</v>
      </c>
      <c r="F1144">
        <v>29.15</v>
      </c>
      <c r="G1144">
        <v>41577.16</v>
      </c>
      <c r="H1144" s="1">
        <v>41555</v>
      </c>
      <c r="I1144" s="1">
        <v>41561</v>
      </c>
      <c r="J1144" t="s">
        <v>15</v>
      </c>
      <c r="K1144">
        <v>6</v>
      </c>
      <c r="L1144">
        <v>176900</v>
      </c>
      <c r="M1144" t="s">
        <v>296</v>
      </c>
      <c r="N1144">
        <v>1.5</v>
      </c>
    </row>
    <row r="1145" hidden="1" spans="1:14">
      <c r="A1145">
        <v>4143</v>
      </c>
      <c r="B1145" t="s">
        <v>297</v>
      </c>
      <c r="C1145" t="s">
        <v>273</v>
      </c>
      <c r="E1145">
        <v>111.467</v>
      </c>
      <c r="F1145">
        <v>27.3821</v>
      </c>
      <c r="G1145">
        <v>205001.27</v>
      </c>
      <c r="H1145" s="1">
        <v>41771</v>
      </c>
      <c r="I1145" s="1">
        <v>41775</v>
      </c>
      <c r="J1145" t="s">
        <v>15</v>
      </c>
      <c r="K1145">
        <v>1</v>
      </c>
      <c r="L1145">
        <v>10000</v>
      </c>
      <c r="M1145" t="s">
        <v>49</v>
      </c>
      <c r="N1145">
        <v>2</v>
      </c>
    </row>
    <row r="1146" hidden="1" spans="1:14">
      <c r="A1146">
        <v>4146</v>
      </c>
      <c r="C1146" t="s">
        <v>273</v>
      </c>
      <c r="E1146">
        <v>113.342</v>
      </c>
      <c r="F1146">
        <v>23.2652</v>
      </c>
      <c r="G1146">
        <v>45994.3</v>
      </c>
      <c r="H1146" s="1">
        <v>41789</v>
      </c>
      <c r="I1146" s="1">
        <v>41800</v>
      </c>
      <c r="J1146" t="s">
        <v>15</v>
      </c>
      <c r="K1146">
        <v>6</v>
      </c>
      <c r="L1146">
        <v>500</v>
      </c>
      <c r="M1146" t="s">
        <v>49</v>
      </c>
      <c r="N1146">
        <v>1</v>
      </c>
    </row>
    <row r="1147" hidden="1" spans="1:14">
      <c r="A1147">
        <v>4155</v>
      </c>
      <c r="C1147" t="s">
        <v>273</v>
      </c>
      <c r="E1147">
        <v>112.358</v>
      </c>
      <c r="F1147">
        <v>26.4396</v>
      </c>
      <c r="G1147">
        <v>377101.63</v>
      </c>
      <c r="H1147" s="1">
        <v>41795</v>
      </c>
      <c r="I1147" s="1">
        <v>41815</v>
      </c>
      <c r="J1147" t="s">
        <v>15</v>
      </c>
      <c r="K1147">
        <v>14</v>
      </c>
      <c r="L1147">
        <v>337000</v>
      </c>
      <c r="M1147" t="s">
        <v>54</v>
      </c>
      <c r="N1147">
        <v>1</v>
      </c>
    </row>
    <row r="1148" hidden="1" spans="1:14">
      <c r="A1148">
        <v>4167</v>
      </c>
      <c r="C1148" t="s">
        <v>273</v>
      </c>
      <c r="D1148" t="s">
        <v>242</v>
      </c>
      <c r="E1148">
        <v>107.508</v>
      </c>
      <c r="F1148">
        <v>21.4955</v>
      </c>
      <c r="G1148">
        <v>82764.22</v>
      </c>
      <c r="H1148" s="1">
        <v>41838</v>
      </c>
      <c r="I1148" s="1">
        <v>41849</v>
      </c>
      <c r="J1148" t="s">
        <v>15</v>
      </c>
      <c r="K1148">
        <v>46</v>
      </c>
      <c r="L1148">
        <v>100000</v>
      </c>
      <c r="M1148" t="s">
        <v>298</v>
      </c>
      <c r="N1148">
        <v>2</v>
      </c>
    </row>
    <row r="1149" hidden="1" spans="1:14">
      <c r="A1149">
        <v>4172</v>
      </c>
      <c r="C1149" t="s">
        <v>273</v>
      </c>
      <c r="E1149">
        <v>114.164</v>
      </c>
      <c r="F1149">
        <v>25.4709</v>
      </c>
      <c r="G1149">
        <v>387775.13</v>
      </c>
      <c r="H1149" s="1">
        <v>41862</v>
      </c>
      <c r="I1149" s="1">
        <v>41870</v>
      </c>
      <c r="J1149" t="s">
        <v>15</v>
      </c>
      <c r="K1149">
        <v>27</v>
      </c>
      <c r="L1149">
        <v>10000</v>
      </c>
      <c r="M1149" t="s">
        <v>54</v>
      </c>
      <c r="N1149">
        <v>1.5</v>
      </c>
    </row>
    <row r="1150" hidden="1" spans="1:14">
      <c r="A1150">
        <v>4185</v>
      </c>
      <c r="C1150" t="s">
        <v>273</v>
      </c>
      <c r="E1150">
        <v>108.35</v>
      </c>
      <c r="F1150">
        <v>30.7799</v>
      </c>
      <c r="G1150">
        <v>55272.31</v>
      </c>
      <c r="H1150" s="1">
        <v>41883</v>
      </c>
      <c r="I1150" s="1">
        <v>41890</v>
      </c>
      <c r="J1150" t="s">
        <v>15</v>
      </c>
      <c r="K1150">
        <v>44</v>
      </c>
      <c r="L1150">
        <v>121700</v>
      </c>
      <c r="M1150" t="s">
        <v>54</v>
      </c>
      <c r="N1150">
        <v>1.5</v>
      </c>
    </row>
    <row r="1151" hidden="1" spans="1:14">
      <c r="A1151">
        <v>4240</v>
      </c>
      <c r="C1151" t="s">
        <v>273</v>
      </c>
      <c r="E1151">
        <v>110.676</v>
      </c>
      <c r="F1151">
        <v>27.9271</v>
      </c>
      <c r="G1151">
        <v>145834.77</v>
      </c>
      <c r="H1151" s="1">
        <v>42098</v>
      </c>
      <c r="I1151" s="1">
        <v>42109</v>
      </c>
      <c r="J1151" t="s">
        <v>15</v>
      </c>
      <c r="K1151">
        <v>0</v>
      </c>
      <c r="L1151">
        <v>12000</v>
      </c>
      <c r="M1151" t="s">
        <v>299</v>
      </c>
      <c r="N1151">
        <v>1.5</v>
      </c>
    </row>
    <row r="1152" hidden="1" spans="1:14">
      <c r="A1152">
        <v>4249</v>
      </c>
      <c r="B1152" t="s">
        <v>300</v>
      </c>
      <c r="C1152" t="s">
        <v>273</v>
      </c>
      <c r="E1152">
        <v>114.981</v>
      </c>
      <c r="F1152">
        <v>27.0326</v>
      </c>
      <c r="G1152">
        <v>247569.94</v>
      </c>
      <c r="H1152" s="1">
        <v>42137</v>
      </c>
      <c r="I1152" s="1">
        <v>42184</v>
      </c>
      <c r="J1152" t="s">
        <v>15</v>
      </c>
      <c r="K1152">
        <v>57</v>
      </c>
      <c r="L1152">
        <v>82000</v>
      </c>
      <c r="M1152" t="s">
        <v>49</v>
      </c>
      <c r="N1152">
        <v>1.5</v>
      </c>
    </row>
    <row r="1153" hidden="1" spans="1:14">
      <c r="A1153">
        <v>4286</v>
      </c>
      <c r="C1153" t="s">
        <v>273</v>
      </c>
      <c r="E1153">
        <v>112.531</v>
      </c>
      <c r="F1153">
        <v>35.0925</v>
      </c>
      <c r="G1153">
        <v>53741.01</v>
      </c>
      <c r="H1153" s="1">
        <v>42218</v>
      </c>
      <c r="I1153" s="1">
        <v>42221</v>
      </c>
      <c r="J1153" t="s">
        <v>15</v>
      </c>
      <c r="K1153">
        <v>8</v>
      </c>
      <c r="L1153">
        <v>0</v>
      </c>
      <c r="M1153" t="s">
        <v>52</v>
      </c>
      <c r="N1153">
        <v>1.5</v>
      </c>
    </row>
    <row r="1154" hidden="1" spans="1:14">
      <c r="A1154">
        <v>4338</v>
      </c>
      <c r="C1154" t="s">
        <v>273</v>
      </c>
      <c r="E1154">
        <v>113.991</v>
      </c>
      <c r="F1154">
        <v>24.7041</v>
      </c>
      <c r="G1154">
        <v>383223.81</v>
      </c>
      <c r="H1154" s="1">
        <v>42448</v>
      </c>
      <c r="I1154" s="1">
        <v>42454</v>
      </c>
      <c r="J1154" t="s">
        <v>15</v>
      </c>
      <c r="K1154">
        <v>5</v>
      </c>
      <c r="L1154">
        <v>17000</v>
      </c>
      <c r="M1154" t="s">
        <v>54</v>
      </c>
      <c r="N1154">
        <v>1.5</v>
      </c>
    </row>
    <row r="1155" hidden="1" spans="1:14">
      <c r="A1155">
        <v>4356</v>
      </c>
      <c r="B1155" t="s">
        <v>301</v>
      </c>
      <c r="C1155" t="s">
        <v>273</v>
      </c>
      <c r="E1155">
        <v>112.952</v>
      </c>
      <c r="F1155">
        <v>24.7532</v>
      </c>
      <c r="G1155">
        <v>197079.53</v>
      </c>
      <c r="H1155" s="1">
        <v>42498</v>
      </c>
      <c r="I1155" s="1">
        <v>42542</v>
      </c>
      <c r="J1155" t="s">
        <v>181</v>
      </c>
      <c r="K1155">
        <v>60</v>
      </c>
      <c r="L1155">
        <v>67000</v>
      </c>
      <c r="M1155" t="s">
        <v>49</v>
      </c>
      <c r="N1155">
        <v>1.5</v>
      </c>
    </row>
    <row r="1156" hidden="1" spans="1:14">
      <c r="A1156">
        <v>4370</v>
      </c>
      <c r="C1156" t="s">
        <v>273</v>
      </c>
      <c r="E1156">
        <v>114.239</v>
      </c>
      <c r="F1156">
        <v>27.9757</v>
      </c>
      <c r="G1156">
        <v>720844.3</v>
      </c>
      <c r="H1156" s="1">
        <v>42549</v>
      </c>
      <c r="I1156" s="1">
        <v>42585</v>
      </c>
      <c r="J1156" t="s">
        <v>15</v>
      </c>
      <c r="K1156">
        <v>128</v>
      </c>
      <c r="L1156">
        <v>230000</v>
      </c>
      <c r="M1156" t="s">
        <v>54</v>
      </c>
      <c r="N1156">
        <v>2</v>
      </c>
    </row>
    <row r="1157" hidden="1" spans="1:14">
      <c r="A1157">
        <v>4396</v>
      </c>
      <c r="B1157" t="s">
        <v>302</v>
      </c>
      <c r="C1157" t="s">
        <v>273</v>
      </c>
      <c r="D1157" t="s">
        <v>274</v>
      </c>
      <c r="E1157">
        <v>117.629</v>
      </c>
      <c r="F1157">
        <v>26.0905</v>
      </c>
      <c r="G1157">
        <v>355308.59</v>
      </c>
      <c r="H1157" s="1">
        <v>42630</v>
      </c>
      <c r="I1157" s="1">
        <v>42635</v>
      </c>
      <c r="J1157" t="s">
        <v>15</v>
      </c>
      <c r="K1157">
        <v>15</v>
      </c>
      <c r="L1157">
        <v>1500</v>
      </c>
      <c r="M1157" t="s">
        <v>303</v>
      </c>
      <c r="N1157">
        <v>1.5</v>
      </c>
    </row>
    <row r="1158" hidden="1" spans="1:14">
      <c r="A1158">
        <v>4471</v>
      </c>
      <c r="C1158" t="s">
        <v>273</v>
      </c>
      <c r="E1158">
        <v>112.952</v>
      </c>
      <c r="F1158">
        <v>23.8607</v>
      </c>
      <c r="G1158">
        <v>104160.82</v>
      </c>
      <c r="H1158" s="1">
        <v>42862</v>
      </c>
      <c r="I1158" s="1">
        <v>42870</v>
      </c>
      <c r="J1158" t="s">
        <v>15</v>
      </c>
      <c r="K1158">
        <v>0</v>
      </c>
      <c r="L1158">
        <v>7000</v>
      </c>
      <c r="M1158" t="s">
        <v>49</v>
      </c>
      <c r="N1158">
        <v>1</v>
      </c>
    </row>
    <row r="1159" hidden="1" spans="1:14">
      <c r="A1159">
        <v>4488</v>
      </c>
      <c r="C1159" t="s">
        <v>273</v>
      </c>
      <c r="E1159">
        <v>112.853</v>
      </c>
      <c r="F1159">
        <v>25.9426</v>
      </c>
      <c r="G1159">
        <v>551384.88</v>
      </c>
      <c r="H1159" s="1">
        <v>42908</v>
      </c>
      <c r="I1159" s="1">
        <v>42919</v>
      </c>
      <c r="J1159" t="s">
        <v>15</v>
      </c>
      <c r="K1159">
        <v>28</v>
      </c>
      <c r="L1159">
        <v>500000</v>
      </c>
      <c r="M1159" t="s">
        <v>54</v>
      </c>
      <c r="N1159">
        <v>1.5</v>
      </c>
    </row>
    <row r="1160" hidden="1" spans="1:14">
      <c r="A1160">
        <v>4515</v>
      </c>
      <c r="B1160" t="s">
        <v>304</v>
      </c>
      <c r="C1160" t="s">
        <v>273</v>
      </c>
      <c r="E1160">
        <v>114.139</v>
      </c>
      <c r="F1160">
        <v>22.3851</v>
      </c>
      <c r="G1160">
        <v>19073.59</v>
      </c>
      <c r="H1160" s="1">
        <v>42970</v>
      </c>
      <c r="I1160" s="1">
        <v>42973</v>
      </c>
      <c r="J1160" t="s">
        <v>15</v>
      </c>
      <c r="K1160">
        <v>16</v>
      </c>
      <c r="L1160">
        <v>0</v>
      </c>
      <c r="M1160" t="s">
        <v>305</v>
      </c>
      <c r="N1160">
        <v>2</v>
      </c>
    </row>
    <row r="1161" hidden="1" spans="1:14">
      <c r="A1161">
        <v>4526</v>
      </c>
      <c r="C1161" t="s">
        <v>273</v>
      </c>
      <c r="E1161">
        <v>113.645</v>
      </c>
      <c r="F1161">
        <v>29.6123</v>
      </c>
      <c r="G1161">
        <v>283444.21</v>
      </c>
      <c r="H1161" s="1">
        <v>43002</v>
      </c>
      <c r="I1161" s="1">
        <v>43015</v>
      </c>
      <c r="J1161" t="s">
        <v>15</v>
      </c>
      <c r="K1161">
        <v>8</v>
      </c>
      <c r="L1161">
        <v>20000</v>
      </c>
      <c r="M1161" t="s">
        <v>49</v>
      </c>
      <c r="N1161">
        <v>1.5</v>
      </c>
    </row>
    <row r="1162" hidden="1" spans="1:14">
      <c r="A1162">
        <v>4613</v>
      </c>
      <c r="C1162" t="s">
        <v>273</v>
      </c>
      <c r="E1162">
        <v>108.795</v>
      </c>
      <c r="F1162">
        <v>23.8122</v>
      </c>
      <c r="G1162">
        <v>109610.1</v>
      </c>
      <c r="H1162" s="1">
        <v>43232</v>
      </c>
      <c r="I1162" s="1">
        <v>43234</v>
      </c>
      <c r="J1162" t="s">
        <v>56</v>
      </c>
      <c r="K1162">
        <v>3</v>
      </c>
      <c r="L1162">
        <v>6100</v>
      </c>
      <c r="M1162" t="s">
        <v>49</v>
      </c>
      <c r="N1162">
        <v>1.5</v>
      </c>
    </row>
    <row r="1163" hidden="1" spans="1:14">
      <c r="A1163">
        <v>4635</v>
      </c>
      <c r="C1163" t="s">
        <v>273</v>
      </c>
      <c r="D1163" t="s">
        <v>239</v>
      </c>
      <c r="E1163">
        <v>115.575</v>
      </c>
      <c r="F1163">
        <v>24.0089</v>
      </c>
      <c r="G1163">
        <v>138371.3</v>
      </c>
      <c r="H1163" s="1">
        <v>43253</v>
      </c>
      <c r="I1163" s="1">
        <v>43261</v>
      </c>
      <c r="J1163" t="s">
        <v>56</v>
      </c>
      <c r="K1163">
        <v>0</v>
      </c>
      <c r="L1163">
        <v>73000</v>
      </c>
      <c r="M1163" t="s">
        <v>306</v>
      </c>
      <c r="N1163">
        <v>1.5</v>
      </c>
    </row>
    <row r="1164" hidden="1" spans="1:14">
      <c r="A1164">
        <v>4655</v>
      </c>
      <c r="C1164" t="s">
        <v>273</v>
      </c>
      <c r="E1164">
        <v>104.935</v>
      </c>
      <c r="F1164">
        <v>33.4346</v>
      </c>
      <c r="G1164">
        <v>525500.08</v>
      </c>
      <c r="H1164" s="1">
        <v>43293</v>
      </c>
      <c r="I1164" s="1">
        <v>43300</v>
      </c>
      <c r="J1164" t="s">
        <v>56</v>
      </c>
      <c r="K1164">
        <v>15</v>
      </c>
      <c r="L1164">
        <v>100000</v>
      </c>
      <c r="M1164" t="s">
        <v>54</v>
      </c>
      <c r="N1164">
        <v>1.5</v>
      </c>
    </row>
    <row r="1165" hidden="1" spans="1:14">
      <c r="A1165">
        <v>4739</v>
      </c>
      <c r="C1165" t="s">
        <v>273</v>
      </c>
      <c r="E1165">
        <v>113.175</v>
      </c>
      <c r="F1165">
        <v>22.8439</v>
      </c>
      <c r="G1165">
        <v>73166.82</v>
      </c>
      <c r="H1165" s="1">
        <v>43566</v>
      </c>
      <c r="I1165" s="1">
        <v>43575</v>
      </c>
      <c r="J1165" t="s">
        <v>56</v>
      </c>
      <c r="K1165">
        <v>7</v>
      </c>
      <c r="L1165">
        <v>0</v>
      </c>
      <c r="M1165" t="s">
        <v>49</v>
      </c>
      <c r="N1165">
        <v>1</v>
      </c>
    </row>
    <row r="1166" hidden="1" spans="1:14">
      <c r="A1166">
        <v>4755</v>
      </c>
      <c r="C1166" t="s">
        <v>273</v>
      </c>
      <c r="E1166">
        <v>111.319</v>
      </c>
      <c r="F1166">
        <v>24.5554</v>
      </c>
      <c r="G1166">
        <v>470032.43</v>
      </c>
      <c r="H1166" s="1">
        <v>43623</v>
      </c>
      <c r="I1166" s="1">
        <v>43626</v>
      </c>
      <c r="J1166" t="s">
        <v>56</v>
      </c>
      <c r="K1166">
        <v>13</v>
      </c>
      <c r="L1166">
        <v>50000</v>
      </c>
      <c r="M1166" t="s">
        <v>54</v>
      </c>
      <c r="N1166">
        <v>1.5</v>
      </c>
    </row>
    <row r="1167" hidden="1" spans="1:14">
      <c r="A1167">
        <v>4774</v>
      </c>
      <c r="C1167" t="s">
        <v>273</v>
      </c>
      <c r="E1167">
        <v>114.981</v>
      </c>
      <c r="F1167">
        <v>29.0047</v>
      </c>
      <c r="G1167">
        <v>364955.86</v>
      </c>
      <c r="H1167" s="1">
        <v>43647</v>
      </c>
      <c r="I1167" s="1">
        <v>43659</v>
      </c>
      <c r="J1167" t="s">
        <v>56</v>
      </c>
      <c r="K1167">
        <v>0</v>
      </c>
      <c r="L1167">
        <v>6351</v>
      </c>
      <c r="M1167" t="s">
        <v>54</v>
      </c>
      <c r="N1167">
        <v>1</v>
      </c>
    </row>
    <row r="1168" hidden="1" spans="1:14">
      <c r="A1168">
        <v>4930</v>
      </c>
      <c r="C1168" t="s">
        <v>273</v>
      </c>
      <c r="E1168">
        <v>105.974</v>
      </c>
      <c r="F1168">
        <v>28.5987</v>
      </c>
      <c r="G1168">
        <v>251526.7</v>
      </c>
      <c r="H1168" s="1">
        <v>43997</v>
      </c>
      <c r="I1168" s="1">
        <v>44017</v>
      </c>
      <c r="J1168" t="s">
        <v>56</v>
      </c>
      <c r="K1168">
        <v>20</v>
      </c>
      <c r="L1168">
        <v>70000</v>
      </c>
      <c r="M1168" t="s">
        <v>54</v>
      </c>
      <c r="N1168">
        <v>1.5</v>
      </c>
    </row>
    <row r="1169" hidden="1" spans="1:14">
      <c r="A1169">
        <v>4937</v>
      </c>
      <c r="C1169" t="s">
        <v>273</v>
      </c>
      <c r="E1169">
        <v>101.595</v>
      </c>
      <c r="F1169">
        <v>24.3375</v>
      </c>
      <c r="G1169">
        <v>154387.06</v>
      </c>
      <c r="H1169" s="1">
        <v>44011</v>
      </c>
      <c r="I1169" s="1">
        <v>44015</v>
      </c>
      <c r="J1169" t="s">
        <v>56</v>
      </c>
      <c r="K1169">
        <v>3</v>
      </c>
      <c r="L1169">
        <v>0</v>
      </c>
      <c r="M1169" t="s">
        <v>52</v>
      </c>
      <c r="N1169">
        <v>1.5</v>
      </c>
    </row>
    <row r="1170" hidden="1" spans="1:14">
      <c r="A1170">
        <v>4938</v>
      </c>
      <c r="C1170" t="s">
        <v>273</v>
      </c>
      <c r="E1170">
        <v>112.507</v>
      </c>
      <c r="F1170">
        <v>31.0754</v>
      </c>
      <c r="G1170">
        <v>107563.03</v>
      </c>
      <c r="H1170" s="1">
        <v>44009</v>
      </c>
      <c r="I1170" s="1">
        <v>44042</v>
      </c>
      <c r="J1170" t="s">
        <v>56</v>
      </c>
      <c r="K1170">
        <v>0</v>
      </c>
      <c r="L1170">
        <v>9722</v>
      </c>
      <c r="M1170" t="s">
        <v>307</v>
      </c>
      <c r="N1170">
        <v>2</v>
      </c>
    </row>
    <row r="1171" hidden="1" spans="1:14">
      <c r="A1171">
        <v>5089</v>
      </c>
      <c r="C1171" t="s">
        <v>273</v>
      </c>
      <c r="E1171">
        <v>116.193</v>
      </c>
      <c r="F1171">
        <v>27.0073</v>
      </c>
      <c r="G1171">
        <v>82493.34</v>
      </c>
      <c r="H1171" s="1">
        <v>44375</v>
      </c>
      <c r="I1171" s="1">
        <v>44381</v>
      </c>
      <c r="J1171" t="s">
        <v>56</v>
      </c>
      <c r="K1171">
        <v>0</v>
      </c>
      <c r="L1171">
        <v>63000</v>
      </c>
      <c r="M1171" t="s">
        <v>54</v>
      </c>
      <c r="N1171">
        <v>1.5</v>
      </c>
    </row>
    <row r="1172" hidden="1" spans="1:14">
      <c r="A1172">
        <v>5096</v>
      </c>
      <c r="C1172" t="s">
        <v>273</v>
      </c>
      <c r="E1172">
        <v>113.1</v>
      </c>
      <c r="F1172">
        <v>34.0247</v>
      </c>
      <c r="G1172">
        <v>129685.31</v>
      </c>
      <c r="H1172" s="1">
        <v>44397</v>
      </c>
      <c r="I1172" s="1">
        <v>44406</v>
      </c>
      <c r="J1172" t="s">
        <v>308</v>
      </c>
      <c r="K1172">
        <v>69</v>
      </c>
      <c r="L1172">
        <v>350000</v>
      </c>
      <c r="M1172" t="s">
        <v>52</v>
      </c>
      <c r="N1172">
        <v>2</v>
      </c>
    </row>
    <row r="1173" hidden="1" spans="1:14">
      <c r="A1173">
        <v>186</v>
      </c>
      <c r="B1173">
        <v>0</v>
      </c>
      <c r="C1173" t="s">
        <v>309</v>
      </c>
      <c r="D1173">
        <v>0</v>
      </c>
      <c r="E1173">
        <v>108.938</v>
      </c>
      <c r="F1173">
        <v>28.7125</v>
      </c>
      <c r="G1173">
        <v>9275.31</v>
      </c>
      <c r="H1173" s="1">
        <v>32304</v>
      </c>
      <c r="I1173" s="1">
        <v>32305</v>
      </c>
      <c r="J1173" t="s">
        <v>15</v>
      </c>
      <c r="K1173">
        <v>11</v>
      </c>
      <c r="L1173">
        <v>500</v>
      </c>
      <c r="M1173" t="s">
        <v>16</v>
      </c>
      <c r="N1173">
        <v>1</v>
      </c>
    </row>
    <row r="1174" hidden="1" spans="1:14">
      <c r="A1174">
        <v>92</v>
      </c>
      <c r="B1174">
        <v>0</v>
      </c>
      <c r="C1174" t="s">
        <v>310</v>
      </c>
      <c r="D1174">
        <v>0</v>
      </c>
      <c r="E1174">
        <v>108.766</v>
      </c>
      <c r="F1174">
        <v>22.991</v>
      </c>
      <c r="G1174">
        <v>116842.63</v>
      </c>
      <c r="H1174" s="1">
        <v>31614</v>
      </c>
      <c r="I1174" s="1">
        <v>31624</v>
      </c>
      <c r="J1174" t="s">
        <v>15</v>
      </c>
      <c r="K1174">
        <v>73</v>
      </c>
      <c r="L1174">
        <v>50000</v>
      </c>
      <c r="M1174" t="s">
        <v>86</v>
      </c>
      <c r="N1174">
        <v>1</v>
      </c>
    </row>
    <row r="1175" hidden="1" spans="1:14">
      <c r="A1175">
        <v>94</v>
      </c>
      <c r="B1175">
        <v>0</v>
      </c>
      <c r="C1175" t="s">
        <v>310</v>
      </c>
      <c r="D1175">
        <v>0</v>
      </c>
      <c r="E1175">
        <v>128.148</v>
      </c>
      <c r="F1175">
        <v>45.246</v>
      </c>
      <c r="G1175">
        <v>599142.99</v>
      </c>
      <c r="H1175" s="1">
        <v>31588</v>
      </c>
      <c r="I1175" s="1">
        <v>31648</v>
      </c>
      <c r="J1175" t="s">
        <v>15</v>
      </c>
      <c r="K1175">
        <v>0</v>
      </c>
      <c r="L1175">
        <v>800000</v>
      </c>
      <c r="M1175" t="s">
        <v>64</v>
      </c>
      <c r="N1175">
        <v>1</v>
      </c>
    </row>
    <row r="1176" hidden="1" spans="1:14">
      <c r="A1176">
        <v>132</v>
      </c>
      <c r="B1176">
        <v>0</v>
      </c>
      <c r="C1176" t="s">
        <v>310</v>
      </c>
      <c r="D1176">
        <v>0</v>
      </c>
      <c r="E1176">
        <v>112.803</v>
      </c>
      <c r="F1176">
        <v>23.021</v>
      </c>
      <c r="G1176">
        <v>274128.55</v>
      </c>
      <c r="H1176" s="1">
        <v>31916</v>
      </c>
      <c r="I1176" s="1">
        <v>31937</v>
      </c>
      <c r="J1176" t="s">
        <v>15</v>
      </c>
      <c r="K1176">
        <v>178</v>
      </c>
      <c r="L1176">
        <v>470000</v>
      </c>
      <c r="M1176" t="s">
        <v>16</v>
      </c>
      <c r="N1176">
        <v>1</v>
      </c>
    </row>
    <row r="1177" hidden="1" spans="1:14">
      <c r="A1177">
        <v>136</v>
      </c>
      <c r="B1177">
        <v>0</v>
      </c>
      <c r="C1177" t="s">
        <v>310</v>
      </c>
      <c r="D1177">
        <v>0</v>
      </c>
      <c r="E1177">
        <v>103.832</v>
      </c>
      <c r="F1177">
        <v>31.0143</v>
      </c>
      <c r="G1177">
        <v>139927.17</v>
      </c>
      <c r="H1177" s="1">
        <v>31952</v>
      </c>
      <c r="I1177" s="1">
        <v>31960</v>
      </c>
      <c r="J1177" t="s">
        <v>15</v>
      </c>
      <c r="K1177">
        <v>40</v>
      </c>
      <c r="L1177">
        <v>0</v>
      </c>
      <c r="M1177" t="s">
        <v>16</v>
      </c>
      <c r="N1177">
        <v>1</v>
      </c>
    </row>
    <row r="1178" hidden="1" spans="1:14">
      <c r="A1178">
        <v>138</v>
      </c>
      <c r="B1178">
        <v>0</v>
      </c>
      <c r="C1178" t="s">
        <v>310</v>
      </c>
      <c r="D1178">
        <v>0</v>
      </c>
      <c r="E1178">
        <v>115.405</v>
      </c>
      <c r="F1178">
        <v>31.4619</v>
      </c>
      <c r="G1178">
        <v>268071.03</v>
      </c>
      <c r="H1178" s="1">
        <v>31960</v>
      </c>
      <c r="I1178" s="1">
        <v>31981</v>
      </c>
      <c r="J1178" t="s">
        <v>15</v>
      </c>
      <c r="K1178">
        <v>56</v>
      </c>
      <c r="L1178">
        <v>25600</v>
      </c>
      <c r="M1178" t="s">
        <v>16</v>
      </c>
      <c r="N1178">
        <v>1</v>
      </c>
    </row>
    <row r="1179" hidden="1" spans="1:14">
      <c r="A1179">
        <v>143</v>
      </c>
      <c r="B1179">
        <v>0</v>
      </c>
      <c r="C1179" t="s">
        <v>310</v>
      </c>
      <c r="D1179">
        <v>0</v>
      </c>
      <c r="E1179">
        <v>84.3995</v>
      </c>
      <c r="F1179">
        <v>42.1547</v>
      </c>
      <c r="G1179">
        <v>637522.36</v>
      </c>
      <c r="H1179" s="1">
        <v>31974</v>
      </c>
      <c r="I1179" s="1">
        <v>31979</v>
      </c>
      <c r="J1179" t="s">
        <v>15</v>
      </c>
      <c r="K1179">
        <v>2</v>
      </c>
      <c r="L1179">
        <v>44000</v>
      </c>
      <c r="M1179" t="s">
        <v>39</v>
      </c>
      <c r="N1179">
        <v>1</v>
      </c>
    </row>
    <row r="1180" hidden="1" spans="1:14">
      <c r="A1180">
        <v>147</v>
      </c>
      <c r="B1180">
        <v>0</v>
      </c>
      <c r="C1180" t="s">
        <v>310</v>
      </c>
      <c r="D1180">
        <v>0</v>
      </c>
      <c r="E1180">
        <v>117.689</v>
      </c>
      <c r="F1180">
        <v>36.3332</v>
      </c>
      <c r="G1180">
        <v>16384.78</v>
      </c>
      <c r="H1180" s="1">
        <v>32015</v>
      </c>
      <c r="I1180" s="1">
        <v>32016</v>
      </c>
      <c r="J1180" t="s">
        <v>15</v>
      </c>
      <c r="K1180">
        <v>51</v>
      </c>
      <c r="L1180">
        <v>6000</v>
      </c>
      <c r="M1180" t="s">
        <v>64</v>
      </c>
      <c r="N1180">
        <v>1</v>
      </c>
    </row>
    <row r="1181" hidden="1" spans="1:14">
      <c r="A1181">
        <v>149</v>
      </c>
      <c r="B1181">
        <v>0</v>
      </c>
      <c r="C1181" t="s">
        <v>310</v>
      </c>
      <c r="D1181">
        <v>0</v>
      </c>
      <c r="E1181">
        <v>124.655</v>
      </c>
      <c r="F1181">
        <v>46.7269</v>
      </c>
      <c r="G1181">
        <v>100391.13</v>
      </c>
      <c r="H1181" s="1">
        <v>32016</v>
      </c>
      <c r="I1181" s="1">
        <v>32035</v>
      </c>
      <c r="J1181" t="s">
        <v>15</v>
      </c>
      <c r="K1181">
        <v>0</v>
      </c>
      <c r="L1181">
        <v>0</v>
      </c>
      <c r="M1181" t="s">
        <v>16</v>
      </c>
      <c r="N1181">
        <v>1</v>
      </c>
    </row>
    <row r="1182" hidden="1" spans="1:14">
      <c r="A1182">
        <v>179</v>
      </c>
      <c r="B1182">
        <v>0</v>
      </c>
      <c r="C1182" t="s">
        <v>310</v>
      </c>
      <c r="D1182">
        <v>0</v>
      </c>
      <c r="E1182">
        <v>118.907</v>
      </c>
      <c r="F1182">
        <v>26.9901</v>
      </c>
      <c r="G1182">
        <v>40595.03</v>
      </c>
      <c r="H1182" s="1">
        <v>32282</v>
      </c>
      <c r="I1182" s="1">
        <v>32291</v>
      </c>
      <c r="J1182" t="s">
        <v>15</v>
      </c>
      <c r="K1182">
        <v>125</v>
      </c>
      <c r="L1182">
        <v>2800000</v>
      </c>
      <c r="M1182" t="s">
        <v>16</v>
      </c>
      <c r="N1182">
        <v>1</v>
      </c>
    </row>
    <row r="1183" hidden="1" spans="1:14">
      <c r="A1183">
        <v>181</v>
      </c>
      <c r="B1183">
        <v>0</v>
      </c>
      <c r="C1183" t="s">
        <v>310</v>
      </c>
      <c r="D1183">
        <v>0</v>
      </c>
      <c r="E1183">
        <v>113.629</v>
      </c>
      <c r="F1183">
        <v>25.0845</v>
      </c>
      <c r="G1183">
        <v>6755.29</v>
      </c>
      <c r="H1183" s="1">
        <v>32287</v>
      </c>
      <c r="I1183" s="1">
        <v>32289</v>
      </c>
      <c r="J1183" t="s">
        <v>15</v>
      </c>
      <c r="K1183">
        <v>5</v>
      </c>
      <c r="L1183">
        <v>8000</v>
      </c>
      <c r="M1183" t="s">
        <v>16</v>
      </c>
      <c r="N1183">
        <v>1</v>
      </c>
    </row>
    <row r="1184" hidden="1" spans="1:14">
      <c r="A1184">
        <v>189</v>
      </c>
      <c r="B1184">
        <v>0</v>
      </c>
      <c r="C1184" t="s">
        <v>310</v>
      </c>
      <c r="D1184">
        <v>0</v>
      </c>
      <c r="E1184">
        <v>117.978</v>
      </c>
      <c r="F1184">
        <v>28.2371</v>
      </c>
      <c r="G1184">
        <v>26303.59</v>
      </c>
      <c r="H1184" s="1">
        <v>32305</v>
      </c>
      <c r="I1184" s="1">
        <v>32319</v>
      </c>
      <c r="J1184" t="s">
        <v>15</v>
      </c>
      <c r="K1184">
        <v>70</v>
      </c>
      <c r="L1184">
        <v>50000</v>
      </c>
      <c r="M1184" t="s">
        <v>64</v>
      </c>
      <c r="N1184">
        <v>1</v>
      </c>
    </row>
    <row r="1185" hidden="1" spans="1:14">
      <c r="A1185">
        <v>192</v>
      </c>
      <c r="B1185">
        <v>0</v>
      </c>
      <c r="C1185" t="s">
        <v>310</v>
      </c>
      <c r="D1185">
        <v>0</v>
      </c>
      <c r="E1185">
        <v>104.148</v>
      </c>
      <c r="F1185">
        <v>29.5434</v>
      </c>
      <c r="G1185">
        <v>33856.49</v>
      </c>
      <c r="H1185" s="1">
        <v>32318</v>
      </c>
      <c r="I1185" s="1">
        <v>32322</v>
      </c>
      <c r="J1185" t="s">
        <v>15</v>
      </c>
      <c r="K1185">
        <v>65</v>
      </c>
      <c r="L1185">
        <v>500000</v>
      </c>
      <c r="M1185" t="s">
        <v>64</v>
      </c>
      <c r="N1185">
        <v>2</v>
      </c>
    </row>
    <row r="1186" hidden="1" spans="1:14">
      <c r="A1186">
        <v>199</v>
      </c>
      <c r="B1186">
        <v>0</v>
      </c>
      <c r="C1186" t="s">
        <v>310</v>
      </c>
      <c r="D1186">
        <v>0</v>
      </c>
      <c r="E1186">
        <v>103.879</v>
      </c>
      <c r="F1186">
        <v>34.7195</v>
      </c>
      <c r="G1186">
        <v>30626.55</v>
      </c>
      <c r="H1186" s="1">
        <v>32330</v>
      </c>
      <c r="I1186" s="1">
        <v>32330</v>
      </c>
      <c r="J1186" t="s">
        <v>15</v>
      </c>
      <c r="K1186">
        <v>0</v>
      </c>
      <c r="L1186">
        <v>0</v>
      </c>
      <c r="M1186" t="s">
        <v>16</v>
      </c>
      <c r="N1186">
        <v>1</v>
      </c>
    </row>
    <row r="1187" hidden="1" spans="1:14">
      <c r="A1187">
        <v>209</v>
      </c>
      <c r="B1187">
        <v>0</v>
      </c>
      <c r="C1187" t="s">
        <v>310</v>
      </c>
      <c r="D1187">
        <v>0</v>
      </c>
      <c r="E1187">
        <v>123.762</v>
      </c>
      <c r="F1187">
        <v>47.528</v>
      </c>
      <c r="G1187">
        <v>9150.08</v>
      </c>
      <c r="H1187" s="1">
        <v>32345</v>
      </c>
      <c r="I1187" s="1">
        <v>32374</v>
      </c>
      <c r="J1187" t="s">
        <v>15</v>
      </c>
      <c r="K1187">
        <v>0</v>
      </c>
      <c r="L1187">
        <v>76000</v>
      </c>
      <c r="M1187" t="s">
        <v>64</v>
      </c>
      <c r="N1187">
        <v>1</v>
      </c>
    </row>
    <row r="1188" hidden="1" spans="1:14">
      <c r="A1188">
        <v>210</v>
      </c>
      <c r="B1188">
        <v>0</v>
      </c>
      <c r="C1188" t="s">
        <v>310</v>
      </c>
      <c r="D1188">
        <v>0</v>
      </c>
      <c r="E1188">
        <v>107.648</v>
      </c>
      <c r="F1188">
        <v>36.2462</v>
      </c>
      <c r="G1188">
        <v>33131.16</v>
      </c>
      <c r="H1188" s="1">
        <v>32347</v>
      </c>
      <c r="I1188" s="1">
        <v>32347</v>
      </c>
      <c r="J1188" t="s">
        <v>15</v>
      </c>
      <c r="K1188">
        <v>54</v>
      </c>
      <c r="L1188">
        <v>12000</v>
      </c>
      <c r="M1188" t="s">
        <v>16</v>
      </c>
      <c r="N1188">
        <v>1</v>
      </c>
    </row>
    <row r="1189" hidden="1" spans="1:14">
      <c r="A1189">
        <v>212</v>
      </c>
      <c r="B1189">
        <v>0</v>
      </c>
      <c r="C1189" t="s">
        <v>310</v>
      </c>
      <c r="D1189">
        <v>0</v>
      </c>
      <c r="E1189">
        <v>120.759</v>
      </c>
      <c r="F1189">
        <v>29.0944</v>
      </c>
      <c r="G1189">
        <v>18767.02</v>
      </c>
      <c r="H1189" s="1">
        <v>32353</v>
      </c>
      <c r="I1189" s="1">
        <v>32360</v>
      </c>
      <c r="J1189" t="s">
        <v>15</v>
      </c>
      <c r="K1189">
        <v>264</v>
      </c>
      <c r="L1189">
        <v>64000</v>
      </c>
      <c r="M1189" t="s">
        <v>64</v>
      </c>
      <c r="N1189">
        <v>2</v>
      </c>
    </row>
    <row r="1190" hidden="1" spans="1:14">
      <c r="A1190">
        <v>216</v>
      </c>
      <c r="B1190">
        <v>0</v>
      </c>
      <c r="C1190" t="s">
        <v>310</v>
      </c>
      <c r="D1190">
        <v>0</v>
      </c>
      <c r="E1190">
        <v>112.511</v>
      </c>
      <c r="F1190">
        <v>37.9044</v>
      </c>
      <c r="G1190">
        <v>36877.75</v>
      </c>
      <c r="H1190" s="1">
        <v>32361</v>
      </c>
      <c r="I1190" s="1">
        <v>32361</v>
      </c>
      <c r="J1190" t="s">
        <v>15</v>
      </c>
      <c r="K1190">
        <v>50</v>
      </c>
      <c r="L1190">
        <v>30000</v>
      </c>
      <c r="M1190" t="s">
        <v>16</v>
      </c>
      <c r="N1190">
        <v>1</v>
      </c>
    </row>
    <row r="1191" hidden="1" spans="1:14">
      <c r="A1191">
        <v>219</v>
      </c>
      <c r="B1191">
        <v>0</v>
      </c>
      <c r="C1191" t="s">
        <v>310</v>
      </c>
      <c r="D1191">
        <v>0</v>
      </c>
      <c r="E1191">
        <v>124.933</v>
      </c>
      <c r="F1191">
        <v>50.3978</v>
      </c>
      <c r="G1191">
        <v>53818.07</v>
      </c>
      <c r="H1191" s="1">
        <v>32365</v>
      </c>
      <c r="I1191" s="1">
        <v>32370</v>
      </c>
      <c r="J1191" t="s">
        <v>15</v>
      </c>
      <c r="K1191">
        <v>10</v>
      </c>
      <c r="L1191">
        <v>64000</v>
      </c>
      <c r="M1191" t="s">
        <v>64</v>
      </c>
      <c r="N1191">
        <v>1</v>
      </c>
    </row>
    <row r="1192" hidden="1" spans="1:14">
      <c r="A1192">
        <v>223</v>
      </c>
      <c r="B1192">
        <v>0</v>
      </c>
      <c r="C1192" t="s">
        <v>310</v>
      </c>
      <c r="D1192">
        <v>0</v>
      </c>
      <c r="E1192">
        <v>110.234</v>
      </c>
      <c r="F1192">
        <v>35.9866</v>
      </c>
      <c r="G1192">
        <v>7256.16</v>
      </c>
      <c r="H1192" s="1">
        <v>32368</v>
      </c>
      <c r="I1192" s="1">
        <v>32369</v>
      </c>
      <c r="J1192" t="s">
        <v>15</v>
      </c>
      <c r="K1192">
        <v>163</v>
      </c>
      <c r="L1192">
        <v>12000</v>
      </c>
      <c r="M1192" t="s">
        <v>16</v>
      </c>
      <c r="N1192">
        <v>1</v>
      </c>
    </row>
    <row r="1193" hidden="1" spans="1:14">
      <c r="A1193">
        <v>226</v>
      </c>
      <c r="B1193">
        <v>0</v>
      </c>
      <c r="C1193" t="s">
        <v>310</v>
      </c>
      <c r="D1193">
        <v>0</v>
      </c>
      <c r="E1193">
        <v>114.489</v>
      </c>
      <c r="F1193">
        <v>34.293</v>
      </c>
      <c r="G1193">
        <v>153101.05</v>
      </c>
      <c r="H1193" s="1">
        <v>32364</v>
      </c>
      <c r="I1193" s="1">
        <v>32373</v>
      </c>
      <c r="J1193" t="s">
        <v>15</v>
      </c>
      <c r="K1193">
        <v>34</v>
      </c>
      <c r="L1193">
        <v>80000</v>
      </c>
      <c r="M1193" t="s">
        <v>16</v>
      </c>
      <c r="N1193">
        <v>1</v>
      </c>
    </row>
    <row r="1194" hidden="1" spans="1:14">
      <c r="A1194">
        <v>233</v>
      </c>
      <c r="B1194">
        <v>0</v>
      </c>
      <c r="C1194" t="s">
        <v>310</v>
      </c>
      <c r="D1194">
        <v>0</v>
      </c>
      <c r="E1194">
        <v>117.954</v>
      </c>
      <c r="F1194">
        <v>37.4146</v>
      </c>
      <c r="G1194">
        <v>16810.04</v>
      </c>
      <c r="H1194" s="1">
        <v>32378</v>
      </c>
      <c r="I1194" s="1">
        <v>32379</v>
      </c>
      <c r="J1194" t="s">
        <v>15</v>
      </c>
      <c r="K1194">
        <v>0</v>
      </c>
      <c r="L1194">
        <v>10000</v>
      </c>
      <c r="M1194" t="s">
        <v>16</v>
      </c>
      <c r="N1194">
        <v>1</v>
      </c>
    </row>
    <row r="1195" hidden="1" spans="1:14">
      <c r="A1195">
        <v>238</v>
      </c>
      <c r="B1195">
        <v>0</v>
      </c>
      <c r="C1195" t="s">
        <v>310</v>
      </c>
      <c r="D1195">
        <v>0</v>
      </c>
      <c r="E1195">
        <v>110.803</v>
      </c>
      <c r="F1195">
        <v>23.5246</v>
      </c>
      <c r="G1195">
        <v>50318.08</v>
      </c>
      <c r="H1195" s="1">
        <v>32386</v>
      </c>
      <c r="I1195" s="1">
        <v>32392</v>
      </c>
      <c r="J1195" t="s">
        <v>15</v>
      </c>
      <c r="K1195">
        <v>58</v>
      </c>
      <c r="L1195">
        <v>300000</v>
      </c>
      <c r="M1195" t="s">
        <v>16</v>
      </c>
      <c r="N1195">
        <v>2</v>
      </c>
    </row>
    <row r="1196" hidden="1" spans="1:14">
      <c r="A1196">
        <v>246</v>
      </c>
      <c r="B1196">
        <v>0</v>
      </c>
      <c r="C1196" t="s">
        <v>310</v>
      </c>
      <c r="D1196">
        <v>0</v>
      </c>
      <c r="E1196">
        <v>112.441</v>
      </c>
      <c r="F1196">
        <v>29.1543</v>
      </c>
      <c r="G1196">
        <v>47834.64</v>
      </c>
      <c r="H1196" s="1">
        <v>32391</v>
      </c>
      <c r="I1196" s="1">
        <v>32400</v>
      </c>
      <c r="J1196" t="s">
        <v>15</v>
      </c>
      <c r="K1196">
        <v>0</v>
      </c>
      <c r="L1196">
        <v>100000</v>
      </c>
      <c r="M1196" t="s">
        <v>16</v>
      </c>
      <c r="N1196">
        <v>2</v>
      </c>
    </row>
    <row r="1197" hidden="1" spans="1:14">
      <c r="A1197">
        <v>264</v>
      </c>
      <c r="B1197">
        <v>0</v>
      </c>
      <c r="C1197" t="s">
        <v>310</v>
      </c>
      <c r="D1197">
        <v>0</v>
      </c>
      <c r="E1197">
        <v>110.429</v>
      </c>
      <c r="F1197">
        <v>19.6114</v>
      </c>
      <c r="G1197">
        <v>5371.99</v>
      </c>
      <c r="H1197" s="1">
        <v>32444</v>
      </c>
      <c r="I1197" s="1">
        <v>32446</v>
      </c>
      <c r="J1197" t="s">
        <v>15</v>
      </c>
      <c r="K1197">
        <v>0</v>
      </c>
      <c r="L1197">
        <v>10000</v>
      </c>
      <c r="M1197" t="s">
        <v>86</v>
      </c>
      <c r="N1197">
        <v>1</v>
      </c>
    </row>
    <row r="1198" hidden="1" spans="1:14">
      <c r="A1198">
        <v>738</v>
      </c>
      <c r="B1198">
        <v>0</v>
      </c>
      <c r="C1198" t="s">
        <v>310</v>
      </c>
      <c r="D1198">
        <v>0</v>
      </c>
      <c r="E1198">
        <v>113.536</v>
      </c>
      <c r="F1198">
        <v>23.4747</v>
      </c>
      <c r="G1198">
        <v>72612.48</v>
      </c>
      <c r="H1198" s="1">
        <v>34090</v>
      </c>
      <c r="I1198" s="1">
        <v>34096</v>
      </c>
      <c r="J1198" t="s">
        <v>15</v>
      </c>
      <c r="K1198">
        <v>65</v>
      </c>
      <c r="L1198">
        <v>3000</v>
      </c>
      <c r="M1198" t="s">
        <v>16</v>
      </c>
      <c r="N1198">
        <v>1</v>
      </c>
    </row>
    <row r="1199" hidden="1" spans="1:14">
      <c r="A1199">
        <v>748</v>
      </c>
      <c r="B1199">
        <v>0</v>
      </c>
      <c r="C1199" t="s">
        <v>310</v>
      </c>
      <c r="D1199">
        <v>0</v>
      </c>
      <c r="E1199">
        <v>115.409</v>
      </c>
      <c r="F1199">
        <v>24.6177</v>
      </c>
      <c r="G1199">
        <v>444778.53</v>
      </c>
      <c r="H1199" s="1">
        <v>34114</v>
      </c>
      <c r="I1199" s="1">
        <v>34150</v>
      </c>
      <c r="J1199" t="s">
        <v>15</v>
      </c>
      <c r="K1199">
        <v>180</v>
      </c>
      <c r="L1199">
        <v>17150000</v>
      </c>
      <c r="M1199" t="s">
        <v>16</v>
      </c>
      <c r="N1199">
        <v>1</v>
      </c>
    </row>
    <row r="1200" hidden="1" spans="1:14">
      <c r="A1200">
        <v>759</v>
      </c>
      <c r="B1200">
        <v>0</v>
      </c>
      <c r="C1200" t="s">
        <v>310</v>
      </c>
      <c r="D1200">
        <v>0</v>
      </c>
      <c r="E1200">
        <v>110.652</v>
      </c>
      <c r="F1200">
        <v>28.8981</v>
      </c>
      <c r="G1200">
        <v>118961.75</v>
      </c>
      <c r="H1200" s="1">
        <v>34153</v>
      </c>
      <c r="I1200" s="1">
        <v>34181</v>
      </c>
      <c r="J1200" t="s">
        <v>15</v>
      </c>
      <c r="K1200">
        <v>367</v>
      </c>
      <c r="L1200">
        <v>1003000</v>
      </c>
      <c r="M1200" t="s">
        <v>16</v>
      </c>
      <c r="N1200">
        <v>1</v>
      </c>
    </row>
    <row r="1201" hidden="1" spans="1:14">
      <c r="A1201">
        <v>761</v>
      </c>
      <c r="B1201">
        <v>0</v>
      </c>
      <c r="C1201" t="s">
        <v>310</v>
      </c>
      <c r="D1201">
        <v>0</v>
      </c>
      <c r="E1201">
        <v>121.602</v>
      </c>
      <c r="F1201">
        <v>43.9301</v>
      </c>
      <c r="G1201">
        <v>56895.9</v>
      </c>
      <c r="H1201" s="1">
        <v>34176</v>
      </c>
      <c r="I1201" s="1">
        <v>34196</v>
      </c>
      <c r="J1201" t="s">
        <v>15</v>
      </c>
      <c r="K1201">
        <v>72</v>
      </c>
      <c r="L1201">
        <v>200000</v>
      </c>
      <c r="M1201" t="s">
        <v>16</v>
      </c>
      <c r="N1201">
        <v>2</v>
      </c>
    </row>
    <row r="1202" hidden="1" spans="1:14">
      <c r="A1202">
        <v>806</v>
      </c>
      <c r="B1202">
        <v>0</v>
      </c>
      <c r="C1202" t="s">
        <v>310</v>
      </c>
      <c r="D1202">
        <v>0</v>
      </c>
      <c r="E1202">
        <v>107.087</v>
      </c>
      <c r="F1202">
        <v>40.4443</v>
      </c>
      <c r="G1202">
        <v>12109.08</v>
      </c>
      <c r="H1202" s="1">
        <v>34310</v>
      </c>
      <c r="I1202" s="1">
        <v>34318</v>
      </c>
      <c r="J1202" t="s">
        <v>15</v>
      </c>
      <c r="K1202">
        <v>0</v>
      </c>
      <c r="L1202">
        <v>5200</v>
      </c>
      <c r="M1202" t="s">
        <v>48</v>
      </c>
      <c r="N1202">
        <v>1</v>
      </c>
    </row>
    <row r="1203" hidden="1" spans="1:14">
      <c r="A1203">
        <v>1610</v>
      </c>
      <c r="B1203">
        <v>0</v>
      </c>
      <c r="C1203" t="s">
        <v>310</v>
      </c>
      <c r="D1203">
        <v>0</v>
      </c>
      <c r="E1203">
        <v>119.531</v>
      </c>
      <c r="F1203">
        <v>26.3867</v>
      </c>
      <c r="G1203">
        <v>75852.56</v>
      </c>
      <c r="H1203" s="1">
        <v>36694</v>
      </c>
      <c r="I1203" s="1">
        <v>36707</v>
      </c>
      <c r="J1203" t="s">
        <v>15</v>
      </c>
      <c r="K1203">
        <v>18</v>
      </c>
      <c r="L1203">
        <v>31000</v>
      </c>
      <c r="M1203" t="s">
        <v>23</v>
      </c>
      <c r="N1203">
        <v>1</v>
      </c>
    </row>
    <row r="1204" hidden="1" spans="1:14">
      <c r="A1204">
        <v>1613</v>
      </c>
      <c r="B1204">
        <v>0</v>
      </c>
      <c r="C1204" t="s">
        <v>310</v>
      </c>
      <c r="D1204">
        <v>0</v>
      </c>
      <c r="E1204">
        <v>109.248</v>
      </c>
      <c r="F1204">
        <v>27.4163</v>
      </c>
      <c r="G1204">
        <v>107667.89</v>
      </c>
      <c r="H1204" s="1">
        <v>36707</v>
      </c>
      <c r="I1204" s="1">
        <v>36717</v>
      </c>
      <c r="J1204" t="s">
        <v>15</v>
      </c>
      <c r="K1204">
        <v>65</v>
      </c>
      <c r="L1204">
        <v>88000</v>
      </c>
      <c r="M1204" t="s">
        <v>18</v>
      </c>
      <c r="N1204">
        <v>1</v>
      </c>
    </row>
    <row r="1205" hidden="1" spans="1:14">
      <c r="A1205">
        <v>1649</v>
      </c>
      <c r="B1205">
        <v>0</v>
      </c>
      <c r="C1205" t="s">
        <v>310</v>
      </c>
      <c r="D1205">
        <v>0</v>
      </c>
      <c r="E1205">
        <v>110.075</v>
      </c>
      <c r="F1205">
        <v>19.7057</v>
      </c>
      <c r="G1205">
        <v>11165.9</v>
      </c>
      <c r="H1205" s="1">
        <v>36811</v>
      </c>
      <c r="I1205" s="1">
        <v>36817</v>
      </c>
      <c r="J1205" t="s">
        <v>15</v>
      </c>
      <c r="K1205">
        <v>10</v>
      </c>
      <c r="L1205">
        <v>200000</v>
      </c>
      <c r="M1205" t="s">
        <v>86</v>
      </c>
      <c r="N1205">
        <v>2</v>
      </c>
    </row>
    <row r="1206" hidden="1" spans="1:14">
      <c r="A1206">
        <v>1732</v>
      </c>
      <c r="B1206">
        <v>0</v>
      </c>
      <c r="C1206" t="s">
        <v>310</v>
      </c>
      <c r="D1206">
        <v>0</v>
      </c>
      <c r="E1206">
        <v>111.647</v>
      </c>
      <c r="F1206">
        <v>22.2094</v>
      </c>
      <c r="G1206">
        <v>18915.79</v>
      </c>
      <c r="H1206" s="1">
        <v>37048</v>
      </c>
      <c r="I1206" s="1">
        <v>37059</v>
      </c>
      <c r="J1206" t="s">
        <v>15</v>
      </c>
      <c r="K1206">
        <v>100</v>
      </c>
      <c r="L1206">
        <v>237000</v>
      </c>
      <c r="M1206" t="s">
        <v>16</v>
      </c>
      <c r="N1206">
        <v>1</v>
      </c>
    </row>
    <row r="1207" hidden="1" spans="1:14">
      <c r="A1207">
        <v>1736</v>
      </c>
      <c r="B1207">
        <v>0</v>
      </c>
      <c r="C1207" t="s">
        <v>310</v>
      </c>
      <c r="D1207">
        <v>0</v>
      </c>
      <c r="E1207">
        <v>110.217</v>
      </c>
      <c r="F1207">
        <v>26.4927</v>
      </c>
      <c r="G1207">
        <v>3605.4</v>
      </c>
      <c r="H1207" s="1">
        <v>37061</v>
      </c>
      <c r="I1207" s="1">
        <v>37065</v>
      </c>
      <c r="J1207" t="s">
        <v>15</v>
      </c>
      <c r="K1207">
        <v>66</v>
      </c>
      <c r="L1207">
        <v>10000</v>
      </c>
      <c r="M1207" t="s">
        <v>16</v>
      </c>
      <c r="N1207">
        <v>1</v>
      </c>
    </row>
    <row r="1208" hidden="1" spans="1:14">
      <c r="A1208">
        <v>1749</v>
      </c>
      <c r="B1208">
        <v>0</v>
      </c>
      <c r="C1208" t="s">
        <v>310</v>
      </c>
      <c r="D1208">
        <v>0</v>
      </c>
      <c r="E1208">
        <v>101.598</v>
      </c>
      <c r="F1208">
        <v>36.6745</v>
      </c>
      <c r="G1208">
        <v>18012.88</v>
      </c>
      <c r="H1208" s="1">
        <v>37083</v>
      </c>
      <c r="I1208" s="1">
        <v>37084</v>
      </c>
      <c r="J1208" t="s">
        <v>15</v>
      </c>
      <c r="K1208">
        <v>29</v>
      </c>
      <c r="L1208">
        <v>0</v>
      </c>
      <c r="M1208" t="s">
        <v>16</v>
      </c>
      <c r="N1208">
        <v>1</v>
      </c>
    </row>
    <row r="1209" hidden="1" spans="1:14">
      <c r="A1209">
        <v>1759</v>
      </c>
      <c r="B1209">
        <v>0</v>
      </c>
      <c r="C1209" t="s">
        <v>310</v>
      </c>
      <c r="D1209">
        <v>0</v>
      </c>
      <c r="E1209">
        <v>104.681</v>
      </c>
      <c r="F1209">
        <v>34.3591</v>
      </c>
      <c r="G1209">
        <v>6806.28</v>
      </c>
      <c r="H1209" s="1">
        <v>37097</v>
      </c>
      <c r="I1209" s="1">
        <v>37098</v>
      </c>
      <c r="J1209" t="s">
        <v>15</v>
      </c>
      <c r="K1209">
        <v>30</v>
      </c>
      <c r="L1209">
        <v>0</v>
      </c>
      <c r="M1209" t="s">
        <v>16</v>
      </c>
      <c r="N1209">
        <v>2</v>
      </c>
    </row>
    <row r="1210" hidden="1" spans="1:14">
      <c r="A1210">
        <v>519</v>
      </c>
      <c r="B1210">
        <v>0</v>
      </c>
      <c r="C1210" t="s">
        <v>311</v>
      </c>
      <c r="D1210">
        <v>0</v>
      </c>
      <c r="E1210">
        <v>-76.1732</v>
      </c>
      <c r="F1210">
        <v>6.78188</v>
      </c>
      <c r="G1210">
        <v>16501.33</v>
      </c>
      <c r="H1210" s="1">
        <v>33392</v>
      </c>
      <c r="I1210" s="1">
        <v>33396</v>
      </c>
      <c r="J1210" t="s">
        <v>15</v>
      </c>
      <c r="K1210">
        <v>57</v>
      </c>
      <c r="L1210">
        <v>239</v>
      </c>
      <c r="M1210" t="s">
        <v>16</v>
      </c>
      <c r="N1210">
        <v>1</v>
      </c>
    </row>
    <row r="1211" hidden="1" spans="1:14">
      <c r="A1211">
        <v>723</v>
      </c>
      <c r="B1211">
        <v>0</v>
      </c>
      <c r="C1211" t="s">
        <v>311</v>
      </c>
      <c r="D1211">
        <v>0</v>
      </c>
      <c r="E1211">
        <v>-76.3694</v>
      </c>
      <c r="F1211">
        <v>7.62904</v>
      </c>
      <c r="G1211">
        <v>26875.51</v>
      </c>
      <c r="H1211" s="1">
        <v>33974</v>
      </c>
      <c r="I1211" s="1">
        <v>33974</v>
      </c>
      <c r="J1211" t="s">
        <v>15</v>
      </c>
      <c r="K1211">
        <v>16</v>
      </c>
      <c r="L1211">
        <v>0</v>
      </c>
      <c r="M1211" t="s">
        <v>16</v>
      </c>
      <c r="N1211">
        <v>1</v>
      </c>
    </row>
    <row r="1212" hidden="1" spans="1:14">
      <c r="A1212">
        <v>826</v>
      </c>
      <c r="B1212">
        <v>0</v>
      </c>
      <c r="C1212" t="s">
        <v>311</v>
      </c>
      <c r="D1212">
        <v>0</v>
      </c>
      <c r="E1212">
        <v>-76.2</v>
      </c>
      <c r="F1212">
        <v>3.52764</v>
      </c>
      <c r="G1212">
        <v>4298.62</v>
      </c>
      <c r="H1212" s="1">
        <v>34365</v>
      </c>
      <c r="I1212" s="1">
        <v>34367</v>
      </c>
      <c r="J1212" t="s">
        <v>15</v>
      </c>
      <c r="K1212">
        <v>16</v>
      </c>
      <c r="L1212">
        <v>60000</v>
      </c>
      <c r="M1212" t="s">
        <v>16</v>
      </c>
      <c r="N1212">
        <v>1</v>
      </c>
    </row>
    <row r="1213" hidden="1" spans="1:14">
      <c r="A1213">
        <v>850</v>
      </c>
      <c r="B1213">
        <v>0</v>
      </c>
      <c r="C1213" t="s">
        <v>311</v>
      </c>
      <c r="D1213">
        <v>0</v>
      </c>
      <c r="E1213">
        <v>-76.8547</v>
      </c>
      <c r="F1213">
        <v>2.1264</v>
      </c>
      <c r="G1213">
        <v>27784.17</v>
      </c>
      <c r="H1213" s="1">
        <v>34490</v>
      </c>
      <c r="I1213" s="1">
        <v>34494</v>
      </c>
      <c r="J1213" t="s">
        <v>15</v>
      </c>
      <c r="K1213">
        <v>2</v>
      </c>
      <c r="L1213">
        <v>240</v>
      </c>
      <c r="M1213" t="s">
        <v>312</v>
      </c>
      <c r="N1213">
        <v>1</v>
      </c>
    </row>
    <row r="1214" hidden="1" spans="1:14">
      <c r="A1214">
        <v>1192</v>
      </c>
      <c r="B1214">
        <v>0</v>
      </c>
      <c r="C1214" t="s">
        <v>311</v>
      </c>
      <c r="D1214">
        <v>0</v>
      </c>
      <c r="E1214">
        <v>-74.7673</v>
      </c>
      <c r="F1214">
        <v>9.43645</v>
      </c>
      <c r="G1214">
        <v>5122.89</v>
      </c>
      <c r="H1214" s="1">
        <v>35717</v>
      </c>
      <c r="I1214" s="1">
        <v>35719</v>
      </c>
      <c r="J1214" t="s">
        <v>15</v>
      </c>
      <c r="K1214">
        <v>2</v>
      </c>
      <c r="L1214">
        <v>15000</v>
      </c>
      <c r="M1214" t="s">
        <v>16</v>
      </c>
      <c r="N1214">
        <v>1</v>
      </c>
    </row>
    <row r="1215" hidden="1" spans="1:14">
      <c r="A1215">
        <v>1608</v>
      </c>
      <c r="B1215">
        <v>0</v>
      </c>
      <c r="C1215" t="s">
        <v>311</v>
      </c>
      <c r="D1215">
        <v>0</v>
      </c>
      <c r="E1215">
        <v>-74.6479</v>
      </c>
      <c r="F1215">
        <v>6.87616</v>
      </c>
      <c r="G1215">
        <v>25753.6</v>
      </c>
      <c r="H1215" s="1">
        <v>36682</v>
      </c>
      <c r="I1215" s="1">
        <v>36684</v>
      </c>
      <c r="J1215" t="s">
        <v>15</v>
      </c>
      <c r="K1215">
        <v>0</v>
      </c>
      <c r="L1215">
        <v>0</v>
      </c>
      <c r="M1215" t="s">
        <v>16</v>
      </c>
      <c r="N1215">
        <v>1</v>
      </c>
    </row>
    <row r="1216" hidden="1" spans="1:14">
      <c r="A1216">
        <v>2574</v>
      </c>
      <c r="B1216">
        <v>0</v>
      </c>
      <c r="C1216" t="s">
        <v>311</v>
      </c>
      <c r="D1216">
        <v>0</v>
      </c>
      <c r="E1216">
        <v>-73.785</v>
      </c>
      <c r="F1216">
        <v>9.15024</v>
      </c>
      <c r="G1216">
        <v>159581.94</v>
      </c>
      <c r="H1216" s="1">
        <v>38271</v>
      </c>
      <c r="I1216" s="1">
        <v>38321</v>
      </c>
      <c r="J1216" t="s">
        <v>15</v>
      </c>
      <c r="K1216">
        <v>30</v>
      </c>
      <c r="L1216">
        <v>300000</v>
      </c>
      <c r="M1216" t="s">
        <v>16</v>
      </c>
      <c r="N1216">
        <v>1</v>
      </c>
    </row>
    <row r="1217" hidden="1" spans="1:14">
      <c r="A1217">
        <v>2625</v>
      </c>
      <c r="B1217">
        <v>0</v>
      </c>
      <c r="C1217" t="s">
        <v>311</v>
      </c>
      <c r="D1217" t="s">
        <v>313</v>
      </c>
      <c r="E1217">
        <v>-72.9646</v>
      </c>
      <c r="F1217">
        <v>7.58834</v>
      </c>
      <c r="G1217">
        <v>43716.57</v>
      </c>
      <c r="H1217" s="1">
        <v>38394</v>
      </c>
      <c r="I1217" s="1">
        <v>38409</v>
      </c>
      <c r="J1217" t="s">
        <v>15</v>
      </c>
      <c r="K1217">
        <v>95</v>
      </c>
      <c r="L1217">
        <v>70000</v>
      </c>
      <c r="M1217" t="s">
        <v>16</v>
      </c>
      <c r="N1217">
        <v>1</v>
      </c>
    </row>
    <row r="1218" hidden="1" spans="1:14">
      <c r="A1218">
        <v>2646</v>
      </c>
      <c r="B1218">
        <v>0</v>
      </c>
      <c r="C1218" t="s">
        <v>311</v>
      </c>
      <c r="D1218">
        <v>0</v>
      </c>
      <c r="E1218">
        <v>-74.3223</v>
      </c>
      <c r="F1218">
        <v>6.35323</v>
      </c>
      <c r="G1218">
        <v>34532.06</v>
      </c>
      <c r="H1218" s="1">
        <v>38453</v>
      </c>
      <c r="I1218" s="1">
        <v>38456</v>
      </c>
      <c r="J1218" t="s">
        <v>15</v>
      </c>
      <c r="K1218">
        <v>11</v>
      </c>
      <c r="L1218">
        <v>0</v>
      </c>
      <c r="M1218" t="s">
        <v>16</v>
      </c>
      <c r="N1218">
        <v>1</v>
      </c>
    </row>
    <row r="1219" hidden="1" spans="1:14">
      <c r="A1219">
        <v>2761</v>
      </c>
      <c r="B1219">
        <v>0</v>
      </c>
      <c r="C1219" t="s">
        <v>311</v>
      </c>
      <c r="D1219">
        <v>0</v>
      </c>
      <c r="E1219">
        <v>-75.311</v>
      </c>
      <c r="F1219">
        <v>8.52116</v>
      </c>
      <c r="G1219">
        <v>115246.52</v>
      </c>
      <c r="H1219" s="1">
        <v>38610</v>
      </c>
      <c r="I1219" s="1">
        <v>38702</v>
      </c>
      <c r="J1219" t="s">
        <v>15</v>
      </c>
      <c r="K1219">
        <v>95</v>
      </c>
      <c r="L1219">
        <v>100000</v>
      </c>
      <c r="M1219" t="s">
        <v>16</v>
      </c>
      <c r="N1219">
        <v>1</v>
      </c>
    </row>
    <row r="1220" hidden="1" spans="1:14">
      <c r="A1220">
        <v>2823</v>
      </c>
      <c r="B1220" t="s">
        <v>314</v>
      </c>
      <c r="C1220" t="s">
        <v>311</v>
      </c>
      <c r="D1220">
        <v>0</v>
      </c>
      <c r="E1220">
        <v>-75.5975</v>
      </c>
      <c r="F1220">
        <v>5.43477</v>
      </c>
      <c r="G1220">
        <v>157985.09</v>
      </c>
      <c r="H1220" s="1">
        <v>38798</v>
      </c>
      <c r="I1220" s="1">
        <v>38870</v>
      </c>
      <c r="J1220" t="s">
        <v>15</v>
      </c>
      <c r="K1220">
        <v>130</v>
      </c>
      <c r="L1220">
        <v>60000</v>
      </c>
      <c r="M1220" t="s">
        <v>16</v>
      </c>
      <c r="N1220">
        <v>1</v>
      </c>
    </row>
    <row r="1221" hidden="1" spans="1:14">
      <c r="A1221">
        <v>3062</v>
      </c>
      <c r="B1221">
        <v>0</v>
      </c>
      <c r="C1221" t="s">
        <v>311</v>
      </c>
      <c r="D1221">
        <v>0</v>
      </c>
      <c r="E1221">
        <v>-75.2114</v>
      </c>
      <c r="F1221">
        <v>4.50308</v>
      </c>
      <c r="G1221">
        <v>1940.49</v>
      </c>
      <c r="H1221" s="1">
        <v>39198</v>
      </c>
      <c r="I1221" s="1">
        <v>39204</v>
      </c>
      <c r="J1221" t="s">
        <v>15</v>
      </c>
      <c r="K1221">
        <v>17</v>
      </c>
      <c r="L1221">
        <v>2000</v>
      </c>
      <c r="M1221" t="s">
        <v>16</v>
      </c>
      <c r="N1221">
        <v>1</v>
      </c>
    </row>
    <row r="1222" hidden="1" spans="1:14">
      <c r="A1222">
        <v>3080</v>
      </c>
      <c r="B1222" t="s">
        <v>315</v>
      </c>
      <c r="C1222" t="s">
        <v>311</v>
      </c>
      <c r="D1222">
        <v>0</v>
      </c>
      <c r="E1222">
        <v>-75.4261</v>
      </c>
      <c r="F1222">
        <v>7.37836</v>
      </c>
      <c r="G1222">
        <v>29773.22</v>
      </c>
      <c r="H1222" s="1">
        <v>39221</v>
      </c>
      <c r="I1222" s="1">
        <v>39260</v>
      </c>
      <c r="J1222" t="s">
        <v>15</v>
      </c>
      <c r="K1222">
        <v>14</v>
      </c>
      <c r="L1222">
        <v>3000</v>
      </c>
      <c r="M1222" t="s">
        <v>16</v>
      </c>
      <c r="N1222">
        <v>1</v>
      </c>
    </row>
    <row r="1223" hidden="1" spans="1:14">
      <c r="A1223">
        <v>3121</v>
      </c>
      <c r="B1223">
        <v>0</v>
      </c>
      <c r="C1223" t="s">
        <v>311</v>
      </c>
      <c r="D1223">
        <v>0</v>
      </c>
      <c r="E1223">
        <v>-75.5933</v>
      </c>
      <c r="F1223">
        <v>8.3753</v>
      </c>
      <c r="G1223">
        <v>69988.11</v>
      </c>
      <c r="H1223" s="1">
        <v>39260</v>
      </c>
      <c r="I1223" s="1">
        <v>39335</v>
      </c>
      <c r="J1223" t="s">
        <v>15</v>
      </c>
      <c r="K1223">
        <v>43</v>
      </c>
      <c r="L1223">
        <v>700000</v>
      </c>
      <c r="M1223" t="s">
        <v>16</v>
      </c>
      <c r="N1223">
        <v>1</v>
      </c>
    </row>
    <row r="1224" hidden="1" spans="1:14">
      <c r="A1224">
        <v>3212</v>
      </c>
      <c r="B1224">
        <v>0</v>
      </c>
      <c r="C1224" t="s">
        <v>311</v>
      </c>
      <c r="D1224">
        <v>0</v>
      </c>
      <c r="E1224">
        <v>-74.9063</v>
      </c>
      <c r="F1224">
        <v>7.89355</v>
      </c>
      <c r="G1224">
        <v>297814.6</v>
      </c>
      <c r="H1224" s="1">
        <v>39356</v>
      </c>
      <c r="I1224" s="1">
        <v>39426</v>
      </c>
      <c r="J1224" t="s">
        <v>15</v>
      </c>
      <c r="K1224">
        <v>90</v>
      </c>
      <c r="L1224">
        <v>266000</v>
      </c>
      <c r="M1224" t="s">
        <v>16</v>
      </c>
      <c r="N1224">
        <v>1</v>
      </c>
    </row>
    <row r="1225" hidden="1" spans="1:14">
      <c r="A1225">
        <v>3283</v>
      </c>
      <c r="B1225">
        <v>0</v>
      </c>
      <c r="C1225" t="s">
        <v>311</v>
      </c>
      <c r="D1225">
        <v>0</v>
      </c>
      <c r="E1225">
        <v>-75.4189</v>
      </c>
      <c r="F1225">
        <v>2.67812</v>
      </c>
      <c r="G1225">
        <v>3994.26</v>
      </c>
      <c r="H1225" s="1">
        <v>39518</v>
      </c>
      <c r="I1225" s="1">
        <v>39522</v>
      </c>
      <c r="J1225" t="s">
        <v>15</v>
      </c>
      <c r="K1225">
        <v>5</v>
      </c>
      <c r="L1225">
        <v>0</v>
      </c>
      <c r="M1225" t="s">
        <v>16</v>
      </c>
      <c r="N1225">
        <v>1</v>
      </c>
    </row>
    <row r="1226" hidden="1" spans="1:14">
      <c r="A1226">
        <v>3421</v>
      </c>
      <c r="B1226">
        <v>0</v>
      </c>
      <c r="C1226" t="s">
        <v>311</v>
      </c>
      <c r="D1226">
        <v>0</v>
      </c>
      <c r="E1226">
        <v>-74.2318</v>
      </c>
      <c r="F1226">
        <v>8.99892</v>
      </c>
      <c r="G1226">
        <v>195388.17</v>
      </c>
      <c r="H1226" s="1">
        <v>39795</v>
      </c>
      <c r="I1226" s="1">
        <v>39796</v>
      </c>
      <c r="J1226" t="s">
        <v>15</v>
      </c>
      <c r="K1226">
        <v>2</v>
      </c>
      <c r="L1226">
        <v>0</v>
      </c>
      <c r="M1226" t="s">
        <v>316</v>
      </c>
      <c r="N1226">
        <v>1</v>
      </c>
    </row>
    <row r="1227" hidden="1" spans="1:14">
      <c r="A1227">
        <v>3452</v>
      </c>
      <c r="B1227" t="s">
        <v>317</v>
      </c>
      <c r="C1227" t="s">
        <v>311</v>
      </c>
      <c r="D1227">
        <v>0</v>
      </c>
      <c r="E1227">
        <v>-76.5144</v>
      </c>
      <c r="F1227">
        <v>4.36564</v>
      </c>
      <c r="G1227">
        <v>72654.16</v>
      </c>
      <c r="H1227" s="1">
        <v>39856</v>
      </c>
      <c r="I1227" s="1">
        <v>39860</v>
      </c>
      <c r="J1227" t="s">
        <v>15</v>
      </c>
      <c r="K1227">
        <v>0</v>
      </c>
      <c r="L1227">
        <v>3000</v>
      </c>
      <c r="M1227" t="s">
        <v>49</v>
      </c>
      <c r="N1227">
        <v>1.5</v>
      </c>
    </row>
    <row r="1228" hidden="1" spans="1:14">
      <c r="A1228">
        <v>4214</v>
      </c>
      <c r="B1228" t="s">
        <v>318</v>
      </c>
      <c r="C1228" t="s">
        <v>311</v>
      </c>
      <c r="E1228">
        <v>-75.544</v>
      </c>
      <c r="F1228">
        <v>4.59198</v>
      </c>
      <c r="G1228">
        <v>406009.51</v>
      </c>
      <c r="H1228" s="1">
        <v>41944</v>
      </c>
      <c r="I1228" s="1">
        <v>41993</v>
      </c>
      <c r="J1228" t="s">
        <v>15</v>
      </c>
      <c r="K1228">
        <v>44</v>
      </c>
      <c r="L1228">
        <v>0</v>
      </c>
      <c r="M1228" t="s">
        <v>49</v>
      </c>
      <c r="N1228">
        <v>1.5</v>
      </c>
    </row>
    <row r="1229" hidden="1" spans="1:14">
      <c r="A1229">
        <v>4420</v>
      </c>
      <c r="C1229" t="s">
        <v>311</v>
      </c>
      <c r="E1229">
        <v>-76.4842</v>
      </c>
      <c r="F1229">
        <v>2.80694</v>
      </c>
      <c r="G1229">
        <v>22578.75</v>
      </c>
      <c r="H1229" s="1">
        <v>42705</v>
      </c>
      <c r="I1229" s="1">
        <v>42711</v>
      </c>
      <c r="J1229" t="s">
        <v>15</v>
      </c>
      <c r="K1229">
        <v>0</v>
      </c>
      <c r="L1229">
        <v>6</v>
      </c>
      <c r="M1229" t="s">
        <v>52</v>
      </c>
      <c r="N1229">
        <v>1</v>
      </c>
    </row>
    <row r="1230" hidden="1" spans="1:14">
      <c r="A1230">
        <v>4442</v>
      </c>
      <c r="C1230" t="s">
        <v>311</v>
      </c>
      <c r="E1230">
        <v>-76.2863</v>
      </c>
      <c r="F1230">
        <v>1.6911</v>
      </c>
      <c r="G1230">
        <v>117321.46</v>
      </c>
      <c r="H1230" s="1">
        <v>42740</v>
      </c>
      <c r="I1230" s="1">
        <v>42773</v>
      </c>
      <c r="J1230" t="s">
        <v>15</v>
      </c>
      <c r="K1230">
        <v>0</v>
      </c>
      <c r="L1230">
        <v>280</v>
      </c>
      <c r="M1230" t="s">
        <v>49</v>
      </c>
      <c r="N1230">
        <v>1</v>
      </c>
    </row>
    <row r="1231" hidden="1" spans="1:14">
      <c r="A1231">
        <v>4448</v>
      </c>
      <c r="C1231" t="s">
        <v>311</v>
      </c>
      <c r="E1231">
        <v>-72.6737</v>
      </c>
      <c r="F1231">
        <v>3.72258</v>
      </c>
      <c r="G1231">
        <v>128596.78</v>
      </c>
      <c r="H1231" s="1">
        <v>42789</v>
      </c>
      <c r="I1231" s="1">
        <v>42797</v>
      </c>
      <c r="J1231" t="s">
        <v>15</v>
      </c>
      <c r="K1231">
        <v>1</v>
      </c>
      <c r="L1231">
        <v>2000</v>
      </c>
      <c r="M1231" t="s">
        <v>49</v>
      </c>
      <c r="N1231">
        <v>1</v>
      </c>
    </row>
    <row r="1232" hidden="1" spans="1:14">
      <c r="A1232">
        <v>4456</v>
      </c>
      <c r="B1232" t="s">
        <v>319</v>
      </c>
      <c r="C1232" t="s">
        <v>311</v>
      </c>
      <c r="E1232">
        <v>-76.1131</v>
      </c>
      <c r="F1232">
        <v>2.18701</v>
      </c>
      <c r="G1232">
        <v>28634.32</v>
      </c>
      <c r="H1232" s="1">
        <v>42826</v>
      </c>
      <c r="I1232" s="1">
        <v>42833</v>
      </c>
      <c r="J1232" t="s">
        <v>15</v>
      </c>
      <c r="K1232">
        <v>314</v>
      </c>
      <c r="L1232">
        <v>0</v>
      </c>
      <c r="M1232" t="s">
        <v>49</v>
      </c>
      <c r="N1232">
        <v>2</v>
      </c>
    </row>
    <row r="1233" hidden="1" spans="1:14">
      <c r="A1233">
        <v>4537</v>
      </c>
      <c r="C1233" t="s">
        <v>311</v>
      </c>
      <c r="E1233">
        <v>-74.2573</v>
      </c>
      <c r="F1233">
        <v>3.12814</v>
      </c>
      <c r="G1233">
        <v>50404.63</v>
      </c>
      <c r="H1233" s="1">
        <v>43046</v>
      </c>
      <c r="I1233" s="1">
        <v>43049</v>
      </c>
      <c r="J1233" t="s">
        <v>15</v>
      </c>
      <c r="K1233">
        <v>4</v>
      </c>
      <c r="L1233">
        <v>200</v>
      </c>
      <c r="M1233" t="s">
        <v>49</v>
      </c>
      <c r="N1233">
        <v>1.5</v>
      </c>
    </row>
    <row r="1234" hidden="1" spans="1:14">
      <c r="A1234">
        <v>4662</v>
      </c>
      <c r="C1234" t="s">
        <v>311</v>
      </c>
      <c r="D1234" t="s">
        <v>313</v>
      </c>
      <c r="E1234">
        <v>-68.2941</v>
      </c>
      <c r="F1234">
        <v>2.75369</v>
      </c>
      <c r="G1234">
        <v>138376.07</v>
      </c>
      <c r="H1234" s="1">
        <v>43307</v>
      </c>
      <c r="I1234" s="1">
        <v>43347</v>
      </c>
      <c r="J1234" t="s">
        <v>56</v>
      </c>
      <c r="K1234">
        <v>0</v>
      </c>
      <c r="L1234">
        <v>5000</v>
      </c>
      <c r="M1234" t="s">
        <v>49</v>
      </c>
      <c r="N1234">
        <v>1.5</v>
      </c>
    </row>
    <row r="1235" hidden="1" spans="1:14">
      <c r="A1235">
        <v>4691</v>
      </c>
      <c r="C1235" t="s">
        <v>311</v>
      </c>
      <c r="E1235">
        <v>-72.451</v>
      </c>
      <c r="F1235">
        <v>11.2344</v>
      </c>
      <c r="G1235">
        <v>19329.37</v>
      </c>
      <c r="H1235" s="1">
        <v>43378</v>
      </c>
      <c r="I1235" s="1">
        <v>43394</v>
      </c>
      <c r="J1235" t="s">
        <v>58</v>
      </c>
      <c r="K1235">
        <v>0</v>
      </c>
      <c r="L1235">
        <v>0</v>
      </c>
      <c r="M1235" t="s">
        <v>49</v>
      </c>
      <c r="N1235">
        <v>1</v>
      </c>
    </row>
    <row r="1236" hidden="1" spans="1:14">
      <c r="A1236">
        <v>4738</v>
      </c>
      <c r="C1236" t="s">
        <v>311</v>
      </c>
      <c r="E1236">
        <v>-74.9996</v>
      </c>
      <c r="F1236">
        <v>5.21079</v>
      </c>
      <c r="G1236">
        <v>517907.89</v>
      </c>
      <c r="H1236" s="1">
        <v>43556</v>
      </c>
      <c r="I1236" s="1">
        <v>43575</v>
      </c>
      <c r="J1236" t="s">
        <v>56</v>
      </c>
      <c r="K1236">
        <v>10</v>
      </c>
      <c r="L1236">
        <v>0</v>
      </c>
      <c r="M1236" t="s">
        <v>52</v>
      </c>
      <c r="N1236">
        <v>1</v>
      </c>
    </row>
    <row r="1237" hidden="1" spans="1:14">
      <c r="A1237">
        <v>4760</v>
      </c>
      <c r="C1237" t="s">
        <v>311</v>
      </c>
      <c r="E1237">
        <v>-73.8614</v>
      </c>
      <c r="F1237">
        <v>0.698152</v>
      </c>
      <c r="G1237">
        <v>193568.08</v>
      </c>
      <c r="H1237" s="1">
        <v>43637</v>
      </c>
      <c r="I1237" s="1">
        <v>43639</v>
      </c>
      <c r="J1237" t="s">
        <v>56</v>
      </c>
      <c r="K1237">
        <v>2</v>
      </c>
      <c r="L1237">
        <v>0</v>
      </c>
      <c r="M1237" t="s">
        <v>52</v>
      </c>
      <c r="N1237">
        <v>1</v>
      </c>
    </row>
    <row r="1238" hidden="1" spans="1:14">
      <c r="A1238">
        <v>4821</v>
      </c>
      <c r="C1238" t="s">
        <v>311</v>
      </c>
      <c r="E1238">
        <v>-75.2965</v>
      </c>
      <c r="F1238">
        <v>7.7648</v>
      </c>
      <c r="G1238">
        <v>66443.64</v>
      </c>
      <c r="H1238" s="1">
        <v>43766</v>
      </c>
      <c r="I1238" s="1">
        <v>43775</v>
      </c>
      <c r="J1238" t="s">
        <v>58</v>
      </c>
      <c r="K1238">
        <v>0</v>
      </c>
      <c r="L1238">
        <v>8400</v>
      </c>
      <c r="M1238" t="s">
        <v>49</v>
      </c>
      <c r="N1238">
        <v>1.5</v>
      </c>
    </row>
    <row r="1239" hidden="1" spans="1:14">
      <c r="A1239">
        <v>4840</v>
      </c>
      <c r="C1239" t="s">
        <v>311</v>
      </c>
      <c r="E1239">
        <v>-76.6822</v>
      </c>
      <c r="F1239">
        <v>6.78628</v>
      </c>
      <c r="G1239">
        <v>51192.41</v>
      </c>
      <c r="H1239" s="1">
        <v>43829</v>
      </c>
      <c r="I1239" s="1">
        <v>43835</v>
      </c>
      <c r="J1239" t="s">
        <v>56</v>
      </c>
      <c r="K1239">
        <v>0</v>
      </c>
      <c r="L1239">
        <v>0</v>
      </c>
      <c r="M1239" t="s">
        <v>49</v>
      </c>
      <c r="N1239">
        <v>1.5</v>
      </c>
    </row>
    <row r="1240" hidden="1" spans="1:14">
      <c r="A1240">
        <v>4855</v>
      </c>
      <c r="C1240" t="s">
        <v>311</v>
      </c>
      <c r="E1240">
        <v>-73.9604</v>
      </c>
      <c r="F1240">
        <v>3.49981</v>
      </c>
      <c r="G1240">
        <v>127300.56</v>
      </c>
      <c r="H1240" s="1">
        <v>43824</v>
      </c>
      <c r="I1240" s="1">
        <v>43826</v>
      </c>
      <c r="J1240" t="s">
        <v>56</v>
      </c>
      <c r="K1240">
        <v>8</v>
      </c>
      <c r="L1240">
        <v>15</v>
      </c>
      <c r="M1240" t="s">
        <v>52</v>
      </c>
      <c r="N1240">
        <v>1.5</v>
      </c>
    </row>
    <row r="1241" hidden="1" spans="1:14">
      <c r="A1241">
        <v>4857</v>
      </c>
      <c r="C1241" t="s">
        <v>311</v>
      </c>
      <c r="E1241">
        <v>-77.3255</v>
      </c>
      <c r="F1241">
        <v>1.69119</v>
      </c>
      <c r="G1241">
        <v>50331.67</v>
      </c>
      <c r="H1241" s="1">
        <v>43805</v>
      </c>
      <c r="I1241" s="1">
        <v>43811</v>
      </c>
      <c r="J1241" t="s">
        <v>56</v>
      </c>
      <c r="K1241">
        <v>0</v>
      </c>
      <c r="L1241">
        <v>0</v>
      </c>
      <c r="M1241" t="s">
        <v>49</v>
      </c>
      <c r="N1241">
        <v>1</v>
      </c>
    </row>
    <row r="1242" hidden="1" spans="1:14">
      <c r="A1242">
        <v>4878</v>
      </c>
      <c r="C1242" t="s">
        <v>311</v>
      </c>
      <c r="E1242">
        <v>-72.6243</v>
      </c>
      <c r="F1242">
        <v>6.44993</v>
      </c>
      <c r="G1242">
        <v>34354.65</v>
      </c>
      <c r="H1242" s="1">
        <v>43904</v>
      </c>
      <c r="I1242" s="1">
        <v>43906</v>
      </c>
      <c r="J1242" t="s">
        <v>56</v>
      </c>
      <c r="K1242">
        <v>1</v>
      </c>
      <c r="L1242">
        <v>400</v>
      </c>
      <c r="M1242" t="s">
        <v>52</v>
      </c>
      <c r="N1242">
        <v>1</v>
      </c>
    </row>
    <row r="1243" hidden="1" spans="1:14">
      <c r="A1243">
        <v>4890</v>
      </c>
      <c r="C1243" t="s">
        <v>311</v>
      </c>
      <c r="E1243">
        <v>-76.8801</v>
      </c>
      <c r="F1243">
        <v>7.49274</v>
      </c>
      <c r="G1243">
        <v>22501.07</v>
      </c>
      <c r="H1243" s="1">
        <v>43922</v>
      </c>
      <c r="I1243" s="1">
        <v>43924</v>
      </c>
      <c r="J1243" t="s">
        <v>56</v>
      </c>
      <c r="K1243">
        <v>0</v>
      </c>
      <c r="L1243">
        <v>500</v>
      </c>
      <c r="M1243" t="s">
        <v>49</v>
      </c>
      <c r="N1243">
        <v>1</v>
      </c>
    </row>
    <row r="1244" hidden="1" spans="1:14">
      <c r="A1244">
        <v>4945</v>
      </c>
      <c r="C1244" t="s">
        <v>311</v>
      </c>
      <c r="E1244">
        <v>-75.2965</v>
      </c>
      <c r="F1244">
        <v>3.46299</v>
      </c>
      <c r="G1244">
        <v>259423.03</v>
      </c>
      <c r="H1244" s="1">
        <v>44017</v>
      </c>
      <c r="I1244" s="1">
        <v>44030</v>
      </c>
      <c r="J1244" t="s">
        <v>56</v>
      </c>
      <c r="K1244">
        <v>5</v>
      </c>
      <c r="L1244">
        <v>660</v>
      </c>
      <c r="M1244" t="s">
        <v>49</v>
      </c>
      <c r="N1244">
        <v>1.5</v>
      </c>
    </row>
    <row r="1245" hidden="1" spans="1:14">
      <c r="A1245">
        <v>4978</v>
      </c>
      <c r="C1245" t="s">
        <v>311</v>
      </c>
      <c r="E1245">
        <v>-74.2078</v>
      </c>
      <c r="F1245">
        <v>9.99546</v>
      </c>
      <c r="G1245">
        <v>37556.5</v>
      </c>
      <c r="H1245" s="1">
        <v>44124</v>
      </c>
      <c r="I1245" s="1">
        <v>44144</v>
      </c>
      <c r="J1245" t="s">
        <v>56</v>
      </c>
      <c r="K1245">
        <v>0</v>
      </c>
      <c r="L1245">
        <v>3000</v>
      </c>
      <c r="M1245" t="s">
        <v>49</v>
      </c>
      <c r="N1245">
        <v>1.5</v>
      </c>
    </row>
    <row r="1246" hidden="1" spans="1:14">
      <c r="A1246">
        <v>4987</v>
      </c>
      <c r="C1246" t="s">
        <v>311</v>
      </c>
      <c r="E1246">
        <v>-74.8759</v>
      </c>
      <c r="F1246">
        <v>8.55756</v>
      </c>
      <c r="G1246">
        <v>237001.31</v>
      </c>
      <c r="H1246" s="1">
        <v>44148</v>
      </c>
      <c r="I1246" s="1">
        <v>44158</v>
      </c>
      <c r="J1246" t="s">
        <v>56</v>
      </c>
      <c r="K1246">
        <v>2</v>
      </c>
      <c r="L1246">
        <v>2000</v>
      </c>
      <c r="M1246" t="s">
        <v>49</v>
      </c>
      <c r="N1246">
        <v>1.5</v>
      </c>
    </row>
    <row r="1247" hidden="1" spans="1:14">
      <c r="A1247">
        <v>5048</v>
      </c>
      <c r="C1247" t="s">
        <v>311</v>
      </c>
      <c r="E1247">
        <v>-76.4224</v>
      </c>
      <c r="F1247">
        <v>7.30687</v>
      </c>
      <c r="G1247">
        <v>5150.18</v>
      </c>
      <c r="H1247" s="1">
        <v>44277</v>
      </c>
      <c r="I1247" s="1">
        <v>44278</v>
      </c>
      <c r="J1247" t="s">
        <v>56</v>
      </c>
      <c r="K1247">
        <v>0</v>
      </c>
      <c r="L1247">
        <v>0</v>
      </c>
      <c r="M1247" t="s">
        <v>52</v>
      </c>
      <c r="N1247">
        <v>1.5</v>
      </c>
    </row>
    <row r="1248" hidden="1" spans="1:14">
      <c r="A1248">
        <v>5051</v>
      </c>
      <c r="C1248" t="s">
        <v>311</v>
      </c>
      <c r="E1248">
        <v>-73.0201</v>
      </c>
      <c r="F1248">
        <v>1.66438</v>
      </c>
      <c r="G1248">
        <v>257391.9</v>
      </c>
      <c r="H1248" s="1">
        <v>44287</v>
      </c>
      <c r="I1248" s="1">
        <v>44292</v>
      </c>
      <c r="J1248" t="s">
        <v>56</v>
      </c>
      <c r="K1248">
        <v>3</v>
      </c>
      <c r="L1248">
        <v>0</v>
      </c>
      <c r="M1248" t="s">
        <v>49</v>
      </c>
      <c r="N1248">
        <v>1</v>
      </c>
    </row>
    <row r="1249" hidden="1" spans="1:14">
      <c r="A1249">
        <v>5060</v>
      </c>
      <c r="C1249" t="s">
        <v>311</v>
      </c>
      <c r="E1249">
        <v>-77.7214</v>
      </c>
      <c r="F1249">
        <v>2.28697</v>
      </c>
      <c r="G1249">
        <v>11140.33</v>
      </c>
      <c r="H1249" s="1">
        <v>44307</v>
      </c>
      <c r="I1249" s="1">
        <v>44316</v>
      </c>
      <c r="J1249" t="s">
        <v>56</v>
      </c>
      <c r="K1249">
        <v>0</v>
      </c>
      <c r="L1249">
        <v>0</v>
      </c>
      <c r="M1249" t="s">
        <v>49</v>
      </c>
      <c r="N1249">
        <v>1.5</v>
      </c>
    </row>
    <row r="1250" hidden="1" spans="1:14">
      <c r="A1250">
        <v>5109</v>
      </c>
      <c r="C1250" t="s">
        <v>311</v>
      </c>
      <c r="E1250">
        <v>-72.5748</v>
      </c>
      <c r="F1250">
        <v>3.22666</v>
      </c>
      <c r="G1250">
        <v>50656.99</v>
      </c>
      <c r="H1250" s="1">
        <v>44421</v>
      </c>
      <c r="I1250" s="1">
        <v>44425</v>
      </c>
      <c r="J1250" t="s">
        <v>56</v>
      </c>
      <c r="K1250">
        <v>3</v>
      </c>
      <c r="L1250">
        <v>100</v>
      </c>
      <c r="M1250" t="s">
        <v>49</v>
      </c>
      <c r="N1250">
        <v>1</v>
      </c>
    </row>
    <row r="1251" hidden="1" spans="1:14">
      <c r="A1251">
        <v>5120</v>
      </c>
      <c r="C1251" t="s">
        <v>311</v>
      </c>
      <c r="E1251">
        <v>-75.8904</v>
      </c>
      <c r="F1251">
        <v>9.00464</v>
      </c>
      <c r="G1251">
        <v>46072.5</v>
      </c>
      <c r="H1251" s="1">
        <v>44444</v>
      </c>
      <c r="I1251" s="1">
        <v>44465</v>
      </c>
      <c r="J1251" t="s">
        <v>56</v>
      </c>
      <c r="K1251">
        <v>0</v>
      </c>
      <c r="L1251">
        <v>6000</v>
      </c>
      <c r="M1251" t="s">
        <v>49</v>
      </c>
      <c r="N1251">
        <v>1</v>
      </c>
    </row>
    <row r="1252" hidden="1" spans="1:14">
      <c r="A1252">
        <v>1575</v>
      </c>
      <c r="B1252">
        <v>0</v>
      </c>
      <c r="C1252" t="s">
        <v>320</v>
      </c>
      <c r="D1252">
        <v>0</v>
      </c>
      <c r="E1252">
        <v>-73.4589</v>
      </c>
      <c r="F1252">
        <v>7.55452</v>
      </c>
      <c r="G1252">
        <v>199850.29</v>
      </c>
      <c r="H1252" s="1">
        <v>36418</v>
      </c>
      <c r="I1252" s="1">
        <v>36509</v>
      </c>
      <c r="J1252" t="s">
        <v>15</v>
      </c>
      <c r="K1252">
        <v>0</v>
      </c>
      <c r="L1252">
        <v>771000</v>
      </c>
      <c r="M1252" t="s">
        <v>16</v>
      </c>
      <c r="N1252">
        <v>1</v>
      </c>
    </row>
    <row r="1253" hidden="1" spans="1:14">
      <c r="A1253">
        <v>1601</v>
      </c>
      <c r="B1253">
        <v>0</v>
      </c>
      <c r="C1253" t="s">
        <v>320</v>
      </c>
      <c r="D1253">
        <v>0</v>
      </c>
      <c r="E1253">
        <v>-75.7319</v>
      </c>
      <c r="F1253">
        <v>0.948344</v>
      </c>
      <c r="G1253">
        <v>200560.21</v>
      </c>
      <c r="H1253" s="1">
        <v>36664</v>
      </c>
      <c r="I1253" s="1">
        <v>36670</v>
      </c>
      <c r="J1253" t="s">
        <v>15</v>
      </c>
      <c r="K1253">
        <v>9</v>
      </c>
      <c r="L1253">
        <v>67500</v>
      </c>
      <c r="M1253" t="s">
        <v>16</v>
      </c>
      <c r="N1253">
        <v>1</v>
      </c>
    </row>
    <row r="1254" hidden="1" spans="1:14">
      <c r="A1254">
        <v>1495</v>
      </c>
      <c r="B1254">
        <v>0</v>
      </c>
      <c r="C1254" t="s">
        <v>321</v>
      </c>
      <c r="D1254">
        <v>0</v>
      </c>
      <c r="E1254">
        <v>-74.7482</v>
      </c>
      <c r="F1254">
        <v>6.03141</v>
      </c>
      <c r="G1254">
        <v>72042.07</v>
      </c>
      <c r="H1254" s="1">
        <v>36209</v>
      </c>
      <c r="I1254" s="1">
        <v>36218</v>
      </c>
      <c r="J1254" t="s">
        <v>15</v>
      </c>
      <c r="K1254">
        <v>16</v>
      </c>
      <c r="L1254">
        <v>20000</v>
      </c>
      <c r="M1254" t="s">
        <v>16</v>
      </c>
      <c r="N1254">
        <v>1</v>
      </c>
    </row>
    <row r="1255" hidden="1" spans="1:14">
      <c r="A1255">
        <v>1502</v>
      </c>
      <c r="B1255">
        <v>0</v>
      </c>
      <c r="C1255" t="s">
        <v>321</v>
      </c>
      <c r="D1255">
        <v>0</v>
      </c>
      <c r="E1255">
        <v>-71.5096</v>
      </c>
      <c r="F1255">
        <v>2.72862</v>
      </c>
      <c r="G1255">
        <v>360327.85</v>
      </c>
      <c r="H1255" s="1">
        <v>36259</v>
      </c>
      <c r="I1255" s="1">
        <v>36265</v>
      </c>
      <c r="J1255" t="s">
        <v>15</v>
      </c>
      <c r="K1255">
        <v>26</v>
      </c>
      <c r="L1255">
        <v>300</v>
      </c>
      <c r="M1255" t="s">
        <v>16</v>
      </c>
      <c r="N1255">
        <v>1</v>
      </c>
    </row>
    <row r="1256" hidden="1" spans="1:14">
      <c r="A1256">
        <v>1836</v>
      </c>
      <c r="B1256">
        <v>0</v>
      </c>
      <c r="C1256" t="s">
        <v>321</v>
      </c>
      <c r="D1256" t="s">
        <v>322</v>
      </c>
      <c r="E1256">
        <v>-76.3297</v>
      </c>
      <c r="F1256">
        <v>3.55472</v>
      </c>
      <c r="G1256">
        <v>5306.6</v>
      </c>
      <c r="H1256" s="1">
        <v>37238</v>
      </c>
      <c r="I1256" s="1">
        <v>37239</v>
      </c>
      <c r="J1256" t="s">
        <v>15</v>
      </c>
      <c r="K1256">
        <v>8</v>
      </c>
      <c r="L1256">
        <v>0</v>
      </c>
      <c r="M1256" t="s">
        <v>16</v>
      </c>
      <c r="N1256">
        <v>1</v>
      </c>
    </row>
    <row r="1257" hidden="1" spans="1:14">
      <c r="A1257">
        <v>1912</v>
      </c>
      <c r="B1257">
        <v>0</v>
      </c>
      <c r="C1257" t="s">
        <v>321</v>
      </c>
      <c r="D1257">
        <v>0</v>
      </c>
      <c r="E1257">
        <v>-75.6732</v>
      </c>
      <c r="F1257">
        <v>4.67409</v>
      </c>
      <c r="G1257">
        <v>483096.37</v>
      </c>
      <c r="H1257" s="1">
        <v>37370</v>
      </c>
      <c r="I1257" s="1">
        <v>37375</v>
      </c>
      <c r="J1257" t="s">
        <v>15</v>
      </c>
      <c r="K1257">
        <v>14</v>
      </c>
      <c r="L1257">
        <v>0</v>
      </c>
      <c r="M1257" t="s">
        <v>16</v>
      </c>
      <c r="N1257">
        <v>1</v>
      </c>
    </row>
    <row r="1258" hidden="1" spans="1:14">
      <c r="A1258">
        <v>1936</v>
      </c>
      <c r="B1258">
        <v>0</v>
      </c>
      <c r="C1258" t="s">
        <v>321</v>
      </c>
      <c r="D1258">
        <v>0</v>
      </c>
      <c r="E1258">
        <v>-74.0372</v>
      </c>
      <c r="F1258">
        <v>1.78641</v>
      </c>
      <c r="G1258">
        <v>369952.83</v>
      </c>
      <c r="H1258" s="1">
        <v>37411</v>
      </c>
      <c r="I1258" s="1">
        <v>37420</v>
      </c>
      <c r="J1258" t="s">
        <v>15</v>
      </c>
      <c r="K1258">
        <v>17</v>
      </c>
      <c r="L1258">
        <v>84000</v>
      </c>
      <c r="M1258" t="s">
        <v>16</v>
      </c>
      <c r="N1258">
        <v>1</v>
      </c>
    </row>
    <row r="1259" hidden="1" spans="1:14">
      <c r="A1259">
        <v>1977</v>
      </c>
      <c r="B1259">
        <v>0</v>
      </c>
      <c r="C1259" t="s">
        <v>321</v>
      </c>
      <c r="D1259">
        <v>0</v>
      </c>
      <c r="E1259">
        <v>-70.7849</v>
      </c>
      <c r="F1259">
        <v>7.05922</v>
      </c>
      <c r="G1259">
        <v>1418.55</v>
      </c>
      <c r="H1259" s="1">
        <v>37442</v>
      </c>
      <c r="I1259" s="1">
        <v>37445</v>
      </c>
      <c r="J1259" t="s">
        <v>15</v>
      </c>
      <c r="K1259">
        <v>0</v>
      </c>
      <c r="L1259">
        <v>18000</v>
      </c>
      <c r="M1259" t="s">
        <v>16</v>
      </c>
      <c r="N1259">
        <v>1</v>
      </c>
    </row>
    <row r="1260" hidden="1" spans="1:14">
      <c r="A1260">
        <v>2080</v>
      </c>
      <c r="B1260">
        <v>0</v>
      </c>
      <c r="C1260" t="s">
        <v>321</v>
      </c>
      <c r="D1260">
        <v>0</v>
      </c>
      <c r="E1260">
        <v>-74.2005</v>
      </c>
      <c r="F1260">
        <v>7.91776</v>
      </c>
      <c r="G1260">
        <v>6903.22</v>
      </c>
      <c r="H1260" s="1">
        <v>37558</v>
      </c>
      <c r="I1260" s="1">
        <v>37560</v>
      </c>
      <c r="J1260" t="s">
        <v>15</v>
      </c>
      <c r="K1260">
        <v>60</v>
      </c>
      <c r="L1260">
        <v>2000</v>
      </c>
      <c r="M1260" t="s">
        <v>16</v>
      </c>
      <c r="N1260">
        <v>1</v>
      </c>
    </row>
    <row r="1261" hidden="1" spans="1:14">
      <c r="A1261">
        <v>2185</v>
      </c>
      <c r="B1261">
        <v>0</v>
      </c>
      <c r="C1261" t="s">
        <v>321</v>
      </c>
      <c r="D1261">
        <v>0</v>
      </c>
      <c r="E1261">
        <v>-72.4921</v>
      </c>
      <c r="F1261">
        <v>7.90993</v>
      </c>
      <c r="G1261">
        <v>965.73</v>
      </c>
      <c r="H1261" s="1">
        <v>37698</v>
      </c>
      <c r="I1261" s="1">
        <v>37699</v>
      </c>
      <c r="J1261" t="s">
        <v>15</v>
      </c>
      <c r="K1261">
        <v>6</v>
      </c>
      <c r="L1261">
        <v>0</v>
      </c>
      <c r="M1261" t="s">
        <v>16</v>
      </c>
      <c r="N1261">
        <v>1</v>
      </c>
    </row>
    <row r="1262" hidden="1" spans="1:14">
      <c r="A1262">
        <v>2186</v>
      </c>
      <c r="B1262">
        <v>0</v>
      </c>
      <c r="C1262" t="s">
        <v>321</v>
      </c>
      <c r="D1262">
        <v>0</v>
      </c>
      <c r="E1262">
        <v>-75.5169</v>
      </c>
      <c r="F1262">
        <v>5.21063</v>
      </c>
      <c r="G1262">
        <v>3279.12</v>
      </c>
      <c r="H1262" s="1">
        <v>37698</v>
      </c>
      <c r="I1262" s="1">
        <v>37702</v>
      </c>
      <c r="J1262" t="s">
        <v>15</v>
      </c>
      <c r="K1262">
        <v>24</v>
      </c>
      <c r="L1262">
        <v>0</v>
      </c>
      <c r="M1262" t="s">
        <v>16</v>
      </c>
      <c r="N1262">
        <v>1</v>
      </c>
    </row>
    <row r="1263" hidden="1" spans="1:14">
      <c r="A1263">
        <v>2251</v>
      </c>
      <c r="B1263">
        <v>0</v>
      </c>
      <c r="C1263" t="s">
        <v>321</v>
      </c>
      <c r="D1263">
        <v>0</v>
      </c>
      <c r="E1263">
        <v>-75.5816</v>
      </c>
      <c r="F1263">
        <v>1.61614</v>
      </c>
      <c r="G1263">
        <v>3350.82</v>
      </c>
      <c r="H1263" s="1">
        <v>37786</v>
      </c>
      <c r="I1263" s="1">
        <v>37788</v>
      </c>
      <c r="J1263" t="s">
        <v>15</v>
      </c>
      <c r="K1263">
        <v>3</v>
      </c>
      <c r="L1263">
        <v>4000</v>
      </c>
      <c r="M1263" t="s">
        <v>16</v>
      </c>
      <c r="N1263">
        <v>1</v>
      </c>
    </row>
    <row r="1264" hidden="1" spans="1:14">
      <c r="A1264">
        <v>2252</v>
      </c>
      <c r="B1264">
        <v>0</v>
      </c>
      <c r="C1264" t="s">
        <v>321</v>
      </c>
      <c r="D1264">
        <v>0</v>
      </c>
      <c r="E1264">
        <v>-75.5748</v>
      </c>
      <c r="F1264">
        <v>6.21566</v>
      </c>
      <c r="G1264">
        <v>1700.85</v>
      </c>
      <c r="H1264" s="1">
        <v>37786</v>
      </c>
      <c r="I1264" s="1">
        <v>37788</v>
      </c>
      <c r="J1264" t="s">
        <v>15</v>
      </c>
      <c r="K1264">
        <v>2</v>
      </c>
      <c r="L1264">
        <v>0</v>
      </c>
      <c r="M1264" t="s">
        <v>16</v>
      </c>
      <c r="N1264">
        <v>1</v>
      </c>
    </row>
    <row r="1265" hidden="1" spans="1:14">
      <c r="A1265">
        <v>2373</v>
      </c>
      <c r="B1265">
        <v>0</v>
      </c>
      <c r="C1265" t="s">
        <v>321</v>
      </c>
      <c r="D1265">
        <v>0</v>
      </c>
      <c r="E1265">
        <v>-75.3122</v>
      </c>
      <c r="F1265">
        <v>5.47488</v>
      </c>
      <c r="G1265">
        <v>171071.22</v>
      </c>
      <c r="H1265" s="1">
        <v>37923</v>
      </c>
      <c r="I1265" s="1">
        <v>37929</v>
      </c>
      <c r="J1265" t="s">
        <v>15</v>
      </c>
      <c r="K1265">
        <v>16</v>
      </c>
      <c r="L1265">
        <v>0</v>
      </c>
      <c r="M1265" t="s">
        <v>16</v>
      </c>
      <c r="N1265">
        <v>1</v>
      </c>
    </row>
    <row r="1266" hidden="1" spans="1:14">
      <c r="A1266">
        <v>2394</v>
      </c>
      <c r="B1266">
        <v>0</v>
      </c>
      <c r="C1266" t="s">
        <v>321</v>
      </c>
      <c r="D1266">
        <v>0</v>
      </c>
      <c r="E1266">
        <v>-75.0817</v>
      </c>
      <c r="F1266">
        <v>10.6202</v>
      </c>
      <c r="G1266">
        <v>5584.25</v>
      </c>
      <c r="H1266" s="1">
        <v>37954</v>
      </c>
      <c r="I1266" s="1">
        <v>37956</v>
      </c>
      <c r="J1266" t="s">
        <v>15</v>
      </c>
      <c r="K1266">
        <v>4</v>
      </c>
      <c r="L1266">
        <v>0</v>
      </c>
      <c r="M1266" t="s">
        <v>16</v>
      </c>
      <c r="N1266">
        <v>1</v>
      </c>
    </row>
    <row r="1267" hidden="1" spans="1:14">
      <c r="A1267">
        <v>3311</v>
      </c>
      <c r="B1267" t="s">
        <v>323</v>
      </c>
      <c r="C1267" t="s">
        <v>321</v>
      </c>
      <c r="D1267">
        <v>0</v>
      </c>
      <c r="E1267">
        <v>-74.0701</v>
      </c>
      <c r="F1267">
        <v>6.63469</v>
      </c>
      <c r="G1267">
        <v>35530.63</v>
      </c>
      <c r="H1267" s="1">
        <v>39595</v>
      </c>
      <c r="I1267" s="1">
        <v>39596</v>
      </c>
      <c r="J1267" t="s">
        <v>15</v>
      </c>
      <c r="K1267">
        <v>0</v>
      </c>
      <c r="L1267">
        <v>400</v>
      </c>
      <c r="M1267" t="s">
        <v>16</v>
      </c>
      <c r="N1267">
        <v>1</v>
      </c>
    </row>
    <row r="1268" hidden="1" spans="1:14">
      <c r="A1268">
        <v>3750</v>
      </c>
      <c r="B1268">
        <v>0</v>
      </c>
      <c r="C1268" t="s">
        <v>321</v>
      </c>
      <c r="D1268">
        <v>0</v>
      </c>
      <c r="E1268">
        <v>-72.9604</v>
      </c>
      <c r="F1268">
        <v>4.11351</v>
      </c>
      <c r="G1268">
        <v>1140146.22</v>
      </c>
      <c r="H1268" s="1">
        <v>40497</v>
      </c>
      <c r="I1268" s="1">
        <v>40532</v>
      </c>
      <c r="J1268" t="s">
        <v>15</v>
      </c>
      <c r="K1268">
        <v>250</v>
      </c>
      <c r="L1268">
        <v>800000</v>
      </c>
      <c r="M1268" t="s">
        <v>49</v>
      </c>
      <c r="N1268">
        <v>1.5</v>
      </c>
    </row>
    <row r="1269" hidden="1" spans="1:14">
      <c r="A1269">
        <v>3806</v>
      </c>
      <c r="C1269" t="s">
        <v>321</v>
      </c>
      <c r="E1269">
        <v>-73.2916</v>
      </c>
      <c r="F1269">
        <v>3.72167</v>
      </c>
      <c r="G1269">
        <v>270433.59</v>
      </c>
      <c r="H1269" s="1">
        <v>40634</v>
      </c>
      <c r="I1269" s="1">
        <v>40682</v>
      </c>
      <c r="J1269" t="s">
        <v>15</v>
      </c>
      <c r="K1269">
        <v>0</v>
      </c>
      <c r="L1269">
        <v>29000</v>
      </c>
      <c r="M1269" t="s">
        <v>49</v>
      </c>
      <c r="N1269">
        <v>1</v>
      </c>
    </row>
    <row r="1270" hidden="1" spans="1:14">
      <c r="A1270">
        <v>3822</v>
      </c>
      <c r="C1270" t="s">
        <v>321</v>
      </c>
      <c r="E1270">
        <v>-74.1581</v>
      </c>
      <c r="F1270">
        <v>5.69693</v>
      </c>
      <c r="G1270">
        <v>236086.96</v>
      </c>
      <c r="H1270" s="1">
        <v>40696</v>
      </c>
      <c r="I1270" s="1">
        <v>40707</v>
      </c>
      <c r="J1270" t="s">
        <v>15</v>
      </c>
      <c r="K1270">
        <v>464</v>
      </c>
      <c r="L1270">
        <v>0</v>
      </c>
      <c r="M1270" t="s">
        <v>49</v>
      </c>
      <c r="N1270">
        <v>1.5</v>
      </c>
    </row>
    <row r="1271" hidden="1" spans="1:14">
      <c r="A1271">
        <v>3876</v>
      </c>
      <c r="C1271" t="s">
        <v>321</v>
      </c>
      <c r="E1271">
        <v>-73.9399</v>
      </c>
      <c r="F1271">
        <v>4.64089</v>
      </c>
      <c r="G1271">
        <v>57194.3</v>
      </c>
      <c r="H1271" s="1">
        <v>40856</v>
      </c>
      <c r="I1271" s="1">
        <v>40899</v>
      </c>
      <c r="J1271" t="s">
        <v>15</v>
      </c>
      <c r="K1271">
        <v>486</v>
      </c>
      <c r="L1271">
        <v>80000</v>
      </c>
      <c r="M1271" t="s">
        <v>52</v>
      </c>
      <c r="N1271">
        <v>2</v>
      </c>
    </row>
    <row r="1272" hidden="1" spans="1:14">
      <c r="A1272">
        <v>3922</v>
      </c>
      <c r="C1272" t="s">
        <v>321</v>
      </c>
      <c r="E1272">
        <v>-73.0738</v>
      </c>
      <c r="F1272">
        <v>3.606</v>
      </c>
      <c r="G1272">
        <v>74036.01</v>
      </c>
      <c r="H1272" s="1">
        <v>41019</v>
      </c>
      <c r="I1272" s="1">
        <v>41025</v>
      </c>
      <c r="J1272" t="s">
        <v>15</v>
      </c>
      <c r="K1272">
        <v>17</v>
      </c>
      <c r="L1272">
        <v>56000</v>
      </c>
      <c r="M1272" t="s">
        <v>49</v>
      </c>
      <c r="N1272">
        <v>1.5</v>
      </c>
    </row>
    <row r="1273" hidden="1" spans="1:14">
      <c r="A1273">
        <v>4059</v>
      </c>
      <c r="C1273" t="s">
        <v>321</v>
      </c>
      <c r="E1273">
        <v>-74.5465</v>
      </c>
      <c r="F1273">
        <v>3.66687</v>
      </c>
      <c r="G1273">
        <v>125894.94</v>
      </c>
      <c r="H1273" s="1">
        <v>41420</v>
      </c>
      <c r="I1273" s="1">
        <v>41422</v>
      </c>
      <c r="J1273" t="s">
        <v>15</v>
      </c>
      <c r="K1273">
        <v>0</v>
      </c>
      <c r="L1273">
        <v>0</v>
      </c>
      <c r="M1273" t="s">
        <v>52</v>
      </c>
      <c r="N1273">
        <v>1</v>
      </c>
    </row>
    <row r="1274" hidden="1" spans="1:14">
      <c r="A1274">
        <v>4250</v>
      </c>
      <c r="B1274" t="s">
        <v>324</v>
      </c>
      <c r="C1274" t="s">
        <v>321</v>
      </c>
      <c r="E1274">
        <v>-74.5048</v>
      </c>
      <c r="F1274">
        <v>5.70693</v>
      </c>
      <c r="G1274">
        <v>140968.57</v>
      </c>
      <c r="H1274" s="1">
        <v>42125</v>
      </c>
      <c r="I1274" s="1">
        <v>42145</v>
      </c>
      <c r="J1274" t="s">
        <v>15</v>
      </c>
      <c r="K1274">
        <v>58</v>
      </c>
      <c r="L1274">
        <v>200</v>
      </c>
      <c r="M1274" t="s">
        <v>49</v>
      </c>
      <c r="N1274">
        <v>2</v>
      </c>
    </row>
    <row r="1275" hidden="1" spans="1:14">
      <c r="A1275">
        <v>90</v>
      </c>
      <c r="B1275">
        <v>0</v>
      </c>
      <c r="C1275" t="s">
        <v>325</v>
      </c>
      <c r="D1275">
        <v>0</v>
      </c>
      <c r="E1275">
        <v>-70.2357</v>
      </c>
      <c r="F1275">
        <v>2.12719</v>
      </c>
      <c r="G1275">
        <v>199436.26</v>
      </c>
      <c r="H1275" s="1">
        <v>31603</v>
      </c>
      <c r="I1275" s="1">
        <v>31623</v>
      </c>
      <c r="J1275" t="s">
        <v>15</v>
      </c>
      <c r="K1275">
        <v>4</v>
      </c>
      <c r="L1275">
        <v>28000</v>
      </c>
      <c r="M1275" t="s">
        <v>16</v>
      </c>
      <c r="N1275">
        <v>1</v>
      </c>
    </row>
    <row r="1276" hidden="1" spans="1:14">
      <c r="A1276">
        <v>139</v>
      </c>
      <c r="B1276">
        <v>0</v>
      </c>
      <c r="C1276" t="s">
        <v>325</v>
      </c>
      <c r="D1276">
        <v>0</v>
      </c>
      <c r="E1276">
        <v>-75.5718</v>
      </c>
      <c r="F1276">
        <v>3.22933</v>
      </c>
      <c r="G1276">
        <v>19623.83</v>
      </c>
      <c r="H1276" s="1">
        <v>31962</v>
      </c>
      <c r="I1276" s="1">
        <v>31964</v>
      </c>
      <c r="J1276" t="s">
        <v>15</v>
      </c>
      <c r="K1276">
        <v>15</v>
      </c>
      <c r="L1276">
        <v>240</v>
      </c>
      <c r="M1276" t="s">
        <v>16</v>
      </c>
      <c r="N1276">
        <v>1</v>
      </c>
    </row>
    <row r="1277" hidden="1" spans="1:14">
      <c r="A1277">
        <v>240</v>
      </c>
      <c r="B1277">
        <v>0</v>
      </c>
      <c r="C1277" t="s">
        <v>325</v>
      </c>
      <c r="D1277">
        <v>0</v>
      </c>
      <c r="E1277">
        <v>-75.0642</v>
      </c>
      <c r="F1277">
        <v>7.46115</v>
      </c>
      <c r="G1277">
        <v>158846.26</v>
      </c>
      <c r="H1277" s="1">
        <v>32382</v>
      </c>
      <c r="I1277" s="1">
        <v>32389</v>
      </c>
      <c r="J1277" t="s">
        <v>15</v>
      </c>
      <c r="K1277">
        <v>0</v>
      </c>
      <c r="L1277">
        <v>100000</v>
      </c>
      <c r="M1277" t="s">
        <v>16</v>
      </c>
      <c r="N1277">
        <v>1</v>
      </c>
    </row>
    <row r="1278" hidden="1" spans="1:14">
      <c r="A1278">
        <v>261</v>
      </c>
      <c r="B1278">
        <v>0</v>
      </c>
      <c r="C1278" t="s">
        <v>325</v>
      </c>
      <c r="D1278">
        <v>0</v>
      </c>
      <c r="E1278">
        <v>-83.8687</v>
      </c>
      <c r="F1278">
        <v>12.4945</v>
      </c>
      <c r="G1278">
        <v>62662.97</v>
      </c>
      <c r="H1278" s="1">
        <v>32434</v>
      </c>
      <c r="I1278" s="1">
        <v>32441</v>
      </c>
      <c r="J1278" t="s">
        <v>15</v>
      </c>
      <c r="K1278">
        <v>135</v>
      </c>
      <c r="L1278">
        <v>407000</v>
      </c>
      <c r="M1278" t="s">
        <v>86</v>
      </c>
      <c r="N1278">
        <v>1</v>
      </c>
    </row>
    <row r="1279" hidden="1" spans="1:14">
      <c r="A1279">
        <v>736</v>
      </c>
      <c r="B1279">
        <v>0</v>
      </c>
      <c r="C1279" t="s">
        <v>325</v>
      </c>
      <c r="D1279">
        <v>0</v>
      </c>
      <c r="E1279">
        <v>-75.2217</v>
      </c>
      <c r="F1279">
        <v>5.30433</v>
      </c>
      <c r="G1279">
        <v>3592.47</v>
      </c>
      <c r="H1279" s="1">
        <v>34085</v>
      </c>
      <c r="I1279" s="1">
        <v>34090</v>
      </c>
      <c r="J1279" t="s">
        <v>15</v>
      </c>
      <c r="K1279">
        <v>55</v>
      </c>
      <c r="L1279">
        <v>2000</v>
      </c>
      <c r="M1279" t="s">
        <v>64</v>
      </c>
      <c r="N1279">
        <v>1</v>
      </c>
    </row>
    <row r="1280" hidden="1" spans="1:14">
      <c r="A1280">
        <v>810</v>
      </c>
      <c r="B1280">
        <v>0</v>
      </c>
      <c r="C1280" t="s">
        <v>325</v>
      </c>
      <c r="D1280">
        <v>0</v>
      </c>
      <c r="E1280">
        <v>-76.2092</v>
      </c>
      <c r="F1280">
        <v>6.87608</v>
      </c>
      <c r="G1280">
        <v>1958.11</v>
      </c>
      <c r="H1280" s="1">
        <v>34319</v>
      </c>
      <c r="I1280" s="1">
        <v>34321</v>
      </c>
      <c r="J1280" t="s">
        <v>15</v>
      </c>
      <c r="K1280">
        <v>35</v>
      </c>
      <c r="L1280">
        <v>150</v>
      </c>
      <c r="M1280" t="s">
        <v>16</v>
      </c>
      <c r="N1280">
        <v>1</v>
      </c>
    </row>
    <row r="1281" hidden="1" spans="1:14">
      <c r="A1281">
        <v>1644</v>
      </c>
      <c r="B1281">
        <v>0</v>
      </c>
      <c r="C1281" t="s">
        <v>325</v>
      </c>
      <c r="D1281">
        <v>0</v>
      </c>
      <c r="E1281">
        <v>-74.7861</v>
      </c>
      <c r="F1281">
        <v>7.36097</v>
      </c>
      <c r="G1281">
        <v>208182.91</v>
      </c>
      <c r="H1281" s="1">
        <v>36789</v>
      </c>
      <c r="I1281" s="1">
        <v>36799</v>
      </c>
      <c r="J1281" t="s">
        <v>15</v>
      </c>
      <c r="K1281">
        <v>9</v>
      </c>
      <c r="L1281">
        <v>28000</v>
      </c>
      <c r="M1281" t="s">
        <v>16</v>
      </c>
      <c r="N1281">
        <v>1</v>
      </c>
    </row>
    <row r="1282" hidden="1" spans="1:14">
      <c r="A1282">
        <v>1724</v>
      </c>
      <c r="B1282">
        <v>0</v>
      </c>
      <c r="C1282" t="s">
        <v>325</v>
      </c>
      <c r="D1282">
        <v>0</v>
      </c>
      <c r="E1282">
        <v>-72.9002</v>
      </c>
      <c r="F1282">
        <v>6.90285</v>
      </c>
      <c r="G1282">
        <v>15607.98</v>
      </c>
      <c r="H1282" s="1">
        <v>37019</v>
      </c>
      <c r="I1282" s="1">
        <v>37021</v>
      </c>
      <c r="J1282" t="s">
        <v>15</v>
      </c>
      <c r="K1282">
        <v>0</v>
      </c>
      <c r="L1282">
        <v>5000</v>
      </c>
      <c r="M1282" t="s">
        <v>16</v>
      </c>
      <c r="N1282">
        <v>1</v>
      </c>
    </row>
    <row r="1283" hidden="1" spans="1:14">
      <c r="A1283">
        <v>6</v>
      </c>
      <c r="B1283">
        <v>0</v>
      </c>
      <c r="C1283" t="s">
        <v>326</v>
      </c>
      <c r="D1283">
        <v>0</v>
      </c>
      <c r="E1283">
        <v>43.36</v>
      </c>
      <c r="F1283">
        <v>-11.6516</v>
      </c>
      <c r="G1283">
        <v>1035.61</v>
      </c>
      <c r="H1283" s="1">
        <v>31094</v>
      </c>
      <c r="I1283" s="1">
        <v>31106</v>
      </c>
      <c r="J1283" t="s">
        <v>15</v>
      </c>
      <c r="K1283">
        <v>2</v>
      </c>
      <c r="L1283">
        <v>35000</v>
      </c>
      <c r="M1283" t="s">
        <v>86</v>
      </c>
      <c r="N1283">
        <v>1</v>
      </c>
    </row>
    <row r="1284" hidden="1" spans="1:14">
      <c r="A1284">
        <v>2218</v>
      </c>
      <c r="B1284">
        <v>0</v>
      </c>
      <c r="C1284" t="s">
        <v>327</v>
      </c>
      <c r="D1284">
        <v>0</v>
      </c>
      <c r="E1284">
        <v>43.741</v>
      </c>
      <c r="F1284">
        <v>-12.3152</v>
      </c>
      <c r="G1284">
        <v>210.128</v>
      </c>
      <c r="H1284" s="1">
        <v>37736</v>
      </c>
      <c r="I1284" s="1">
        <v>37738</v>
      </c>
      <c r="J1284" t="s">
        <v>15</v>
      </c>
      <c r="K1284">
        <v>0</v>
      </c>
      <c r="L1284">
        <v>300</v>
      </c>
      <c r="M1284" t="s">
        <v>16</v>
      </c>
      <c r="N1284">
        <v>1</v>
      </c>
    </row>
    <row r="1285" hidden="1" spans="1:14">
      <c r="A1285">
        <v>1297</v>
      </c>
      <c r="B1285">
        <v>0</v>
      </c>
      <c r="C1285" t="s">
        <v>328</v>
      </c>
      <c r="D1285">
        <v>0</v>
      </c>
      <c r="E1285">
        <v>26.7574</v>
      </c>
      <c r="F1285">
        <v>-0.823791</v>
      </c>
      <c r="G1285">
        <v>958684.48</v>
      </c>
      <c r="H1285" s="1">
        <v>35784</v>
      </c>
      <c r="I1285" s="1">
        <v>35807</v>
      </c>
      <c r="J1285" t="s">
        <v>15</v>
      </c>
      <c r="K1285">
        <v>3</v>
      </c>
      <c r="L1285">
        <v>20000</v>
      </c>
      <c r="M1285" t="s">
        <v>86</v>
      </c>
      <c r="N1285">
        <v>2</v>
      </c>
    </row>
    <row r="1286" hidden="1" spans="1:14">
      <c r="A1286">
        <v>1477</v>
      </c>
      <c r="B1286">
        <v>0</v>
      </c>
      <c r="C1286" t="s">
        <v>328</v>
      </c>
      <c r="D1286">
        <v>0</v>
      </c>
      <c r="E1286">
        <v>18.9616</v>
      </c>
      <c r="F1286">
        <v>-3.8614</v>
      </c>
      <c r="G1286">
        <v>59066.92</v>
      </c>
      <c r="H1286" s="1">
        <v>36123</v>
      </c>
      <c r="I1286" s="1">
        <v>36129</v>
      </c>
      <c r="J1286" t="s">
        <v>15</v>
      </c>
      <c r="K1286">
        <v>0</v>
      </c>
      <c r="L1286">
        <v>20000</v>
      </c>
      <c r="M1286" t="s">
        <v>16</v>
      </c>
      <c r="N1286">
        <v>1</v>
      </c>
    </row>
    <row r="1287" hidden="1" spans="1:14">
      <c r="A1287">
        <v>2089</v>
      </c>
      <c r="B1287">
        <v>0</v>
      </c>
      <c r="C1287" t="s">
        <v>328</v>
      </c>
      <c r="D1287" t="s">
        <v>329</v>
      </c>
      <c r="E1287">
        <v>18.4694</v>
      </c>
      <c r="F1287">
        <v>3.01659</v>
      </c>
      <c r="G1287">
        <v>145253.54</v>
      </c>
      <c r="H1287" s="1">
        <v>37570</v>
      </c>
      <c r="I1287" s="1">
        <v>37570</v>
      </c>
      <c r="J1287" t="s">
        <v>15</v>
      </c>
      <c r="K1287">
        <v>0</v>
      </c>
      <c r="L1287">
        <v>3000</v>
      </c>
      <c r="M1287" t="s">
        <v>16</v>
      </c>
      <c r="N1287">
        <v>1</v>
      </c>
    </row>
    <row r="1288" hidden="1" spans="1:14">
      <c r="A1288">
        <v>4426</v>
      </c>
      <c r="C1288" t="s">
        <v>328</v>
      </c>
      <c r="D1288" t="s">
        <v>79</v>
      </c>
      <c r="E1288">
        <v>14.7203</v>
      </c>
      <c r="F1288">
        <v>-5.34759</v>
      </c>
      <c r="G1288">
        <v>162268.82</v>
      </c>
      <c r="H1288" s="1">
        <v>42729</v>
      </c>
      <c r="I1288" s="1">
        <v>42747</v>
      </c>
      <c r="J1288" t="s">
        <v>15</v>
      </c>
      <c r="K1288">
        <v>50</v>
      </c>
      <c r="L1288">
        <v>4500</v>
      </c>
      <c r="M1288" t="s">
        <v>49</v>
      </c>
      <c r="N1288">
        <v>1.5</v>
      </c>
    </row>
    <row r="1289" hidden="1" spans="1:14">
      <c r="A1289">
        <v>2775</v>
      </c>
      <c r="B1289">
        <v>0</v>
      </c>
      <c r="C1289" t="s">
        <v>330</v>
      </c>
      <c r="D1289">
        <v>0</v>
      </c>
      <c r="E1289">
        <v>15.2131</v>
      </c>
      <c r="F1289">
        <v>-4.13276</v>
      </c>
      <c r="G1289">
        <v>1102.97</v>
      </c>
      <c r="H1289" s="1">
        <v>38710</v>
      </c>
      <c r="I1289" s="1">
        <v>38714</v>
      </c>
      <c r="J1289" t="s">
        <v>15</v>
      </c>
      <c r="K1289">
        <v>1</v>
      </c>
      <c r="L1289">
        <v>0</v>
      </c>
      <c r="M1289" t="s">
        <v>16</v>
      </c>
      <c r="N1289">
        <v>1</v>
      </c>
    </row>
    <row r="1290" hidden="1" spans="1:14">
      <c r="A1290">
        <v>2991</v>
      </c>
      <c r="B1290">
        <v>0</v>
      </c>
      <c r="C1290" t="s">
        <v>330</v>
      </c>
      <c r="D1290">
        <v>0</v>
      </c>
      <c r="E1290">
        <v>15.4301</v>
      </c>
      <c r="F1290">
        <v>-4.23574</v>
      </c>
      <c r="G1290">
        <v>1223.99</v>
      </c>
      <c r="H1290" s="1">
        <v>39025</v>
      </c>
      <c r="I1290" s="1">
        <v>39039</v>
      </c>
      <c r="J1290" t="s">
        <v>15</v>
      </c>
      <c r="K1290">
        <v>7</v>
      </c>
      <c r="L1290">
        <v>6000</v>
      </c>
      <c r="M1290" t="s">
        <v>16</v>
      </c>
      <c r="N1290">
        <v>1</v>
      </c>
    </row>
    <row r="1291" hidden="1" spans="1:14">
      <c r="A1291">
        <v>163</v>
      </c>
      <c r="B1291">
        <v>0</v>
      </c>
      <c r="C1291" t="s">
        <v>331</v>
      </c>
      <c r="E1291">
        <v>-82.9868</v>
      </c>
      <c r="F1291">
        <v>9.60268</v>
      </c>
      <c r="G1291">
        <v>10877.36</v>
      </c>
      <c r="H1291" s="1">
        <v>32172</v>
      </c>
      <c r="I1291" s="1">
        <v>32178</v>
      </c>
      <c r="J1291" t="s">
        <v>15</v>
      </c>
      <c r="K1291">
        <v>9</v>
      </c>
      <c r="L1291">
        <v>7000</v>
      </c>
      <c r="M1291" t="s">
        <v>16</v>
      </c>
      <c r="N1291">
        <v>1</v>
      </c>
    </row>
    <row r="1292" hidden="1" spans="1:14">
      <c r="A1292">
        <v>569</v>
      </c>
      <c r="B1292">
        <v>0</v>
      </c>
      <c r="C1292" t="s">
        <v>331</v>
      </c>
      <c r="D1292">
        <v>0</v>
      </c>
      <c r="E1292">
        <v>-83.0581</v>
      </c>
      <c r="F1292">
        <v>9.60733</v>
      </c>
      <c r="G1292">
        <v>18428.54</v>
      </c>
      <c r="H1292" s="1">
        <v>33463</v>
      </c>
      <c r="I1292" s="1">
        <v>33472</v>
      </c>
      <c r="J1292" t="s">
        <v>15</v>
      </c>
      <c r="K1292">
        <v>5</v>
      </c>
      <c r="L1292">
        <v>25000</v>
      </c>
      <c r="M1292" t="s">
        <v>16</v>
      </c>
      <c r="N1292">
        <v>1</v>
      </c>
    </row>
    <row r="1293" hidden="1" spans="1:14">
      <c r="A1293">
        <v>808</v>
      </c>
      <c r="B1293">
        <v>0</v>
      </c>
      <c r="C1293" t="s">
        <v>331</v>
      </c>
      <c r="D1293" t="s">
        <v>332</v>
      </c>
      <c r="E1293">
        <v>-83.0411</v>
      </c>
      <c r="F1293">
        <v>9.64613</v>
      </c>
      <c r="G1293">
        <v>14333.82</v>
      </c>
      <c r="H1293" s="1">
        <v>34312</v>
      </c>
      <c r="I1293" s="1">
        <v>34315</v>
      </c>
      <c r="J1293" t="s">
        <v>15</v>
      </c>
      <c r="K1293">
        <v>4</v>
      </c>
      <c r="L1293">
        <v>17000</v>
      </c>
      <c r="M1293" t="s">
        <v>16</v>
      </c>
      <c r="N1293">
        <v>1</v>
      </c>
    </row>
    <row r="1294" hidden="1" spans="1:14">
      <c r="A1294">
        <v>1022</v>
      </c>
      <c r="B1294">
        <v>0</v>
      </c>
      <c r="C1294" t="s">
        <v>331</v>
      </c>
      <c r="D1294">
        <v>0</v>
      </c>
      <c r="E1294">
        <v>-85.3273</v>
      </c>
      <c r="F1294">
        <v>10.4102</v>
      </c>
      <c r="G1294">
        <v>11552.43</v>
      </c>
      <c r="H1294" s="1">
        <v>34978</v>
      </c>
      <c r="I1294" s="1">
        <v>35012</v>
      </c>
      <c r="J1294" t="s">
        <v>15</v>
      </c>
      <c r="K1294">
        <v>0</v>
      </c>
      <c r="L1294">
        <v>22500</v>
      </c>
      <c r="M1294" t="s">
        <v>86</v>
      </c>
      <c r="N1294">
        <v>2</v>
      </c>
    </row>
    <row r="1295" hidden="1" spans="1:14">
      <c r="A1295">
        <v>1054</v>
      </c>
      <c r="B1295">
        <v>0</v>
      </c>
      <c r="C1295" t="s">
        <v>331</v>
      </c>
      <c r="D1295">
        <v>0</v>
      </c>
      <c r="E1295">
        <v>-83.4622</v>
      </c>
      <c r="F1295">
        <v>9.98513</v>
      </c>
      <c r="G1295">
        <v>7452.35</v>
      </c>
      <c r="H1295" s="1">
        <v>35102</v>
      </c>
      <c r="I1295" s="1">
        <v>35109</v>
      </c>
      <c r="J1295" t="s">
        <v>15</v>
      </c>
      <c r="K1295">
        <v>9</v>
      </c>
      <c r="L1295">
        <v>100000</v>
      </c>
      <c r="M1295" t="s">
        <v>16</v>
      </c>
      <c r="N1295">
        <v>1</v>
      </c>
    </row>
    <row r="1296" hidden="1" spans="1:14">
      <c r="A1296">
        <v>1918</v>
      </c>
      <c r="B1296">
        <v>0</v>
      </c>
      <c r="C1296" t="s">
        <v>331</v>
      </c>
      <c r="D1296" t="s">
        <v>332</v>
      </c>
      <c r="E1296">
        <v>-83.3602</v>
      </c>
      <c r="F1296">
        <v>9.94557</v>
      </c>
      <c r="G1296">
        <v>18667.79</v>
      </c>
      <c r="H1296" s="1">
        <v>37382</v>
      </c>
      <c r="I1296" s="1">
        <v>37387</v>
      </c>
      <c r="J1296" t="s">
        <v>15</v>
      </c>
      <c r="K1296">
        <v>0</v>
      </c>
      <c r="L1296">
        <v>5600</v>
      </c>
      <c r="M1296" t="s">
        <v>16</v>
      </c>
      <c r="N1296">
        <v>2</v>
      </c>
    </row>
    <row r="1297" hidden="1" spans="1:14">
      <c r="A1297">
        <v>2094</v>
      </c>
      <c r="B1297">
        <v>0</v>
      </c>
      <c r="C1297" t="s">
        <v>331</v>
      </c>
      <c r="D1297" t="s">
        <v>332</v>
      </c>
      <c r="E1297">
        <v>-83.0841</v>
      </c>
      <c r="F1297">
        <v>9.82661</v>
      </c>
      <c r="G1297">
        <v>2203.32</v>
      </c>
      <c r="H1297" s="1">
        <v>37583</v>
      </c>
      <c r="I1297" s="1">
        <v>37603</v>
      </c>
      <c r="J1297" t="s">
        <v>15</v>
      </c>
      <c r="K1297">
        <v>8</v>
      </c>
      <c r="L1297">
        <v>7000</v>
      </c>
      <c r="M1297" t="s">
        <v>16</v>
      </c>
      <c r="N1297">
        <v>2</v>
      </c>
    </row>
    <row r="1298" hidden="1" spans="1:14">
      <c r="A1298">
        <v>2405</v>
      </c>
      <c r="B1298">
        <v>0</v>
      </c>
      <c r="C1298" t="s">
        <v>331</v>
      </c>
      <c r="D1298">
        <v>0</v>
      </c>
      <c r="E1298">
        <v>-83.3059</v>
      </c>
      <c r="F1298">
        <v>10.0941</v>
      </c>
      <c r="G1298">
        <v>766.549</v>
      </c>
      <c r="H1298" s="1">
        <v>37967</v>
      </c>
      <c r="I1298" s="1">
        <v>37969</v>
      </c>
      <c r="J1298" t="s">
        <v>15</v>
      </c>
      <c r="K1298">
        <v>1</v>
      </c>
      <c r="L1298">
        <v>2500</v>
      </c>
      <c r="M1298" t="s">
        <v>16</v>
      </c>
      <c r="N1298">
        <v>1</v>
      </c>
    </row>
    <row r="1299" hidden="1" spans="1:14">
      <c r="A1299">
        <v>2481</v>
      </c>
      <c r="B1299">
        <v>0</v>
      </c>
      <c r="C1299" t="s">
        <v>331</v>
      </c>
      <c r="D1299">
        <v>0</v>
      </c>
      <c r="E1299">
        <v>-83.3808</v>
      </c>
      <c r="F1299">
        <v>10.0137</v>
      </c>
      <c r="G1299">
        <v>7985.92</v>
      </c>
      <c r="H1299" s="1">
        <v>38117</v>
      </c>
      <c r="I1299" s="1">
        <v>38118</v>
      </c>
      <c r="J1299" t="s">
        <v>15</v>
      </c>
      <c r="K1299">
        <v>1</v>
      </c>
      <c r="L1299">
        <v>1800</v>
      </c>
      <c r="M1299" t="s">
        <v>16</v>
      </c>
      <c r="N1299">
        <v>1</v>
      </c>
    </row>
    <row r="1300" hidden="1" spans="1:14">
      <c r="A1300">
        <v>2611</v>
      </c>
      <c r="B1300">
        <v>0</v>
      </c>
      <c r="C1300" t="s">
        <v>331</v>
      </c>
      <c r="D1300" t="s">
        <v>332</v>
      </c>
      <c r="E1300">
        <v>-83.129</v>
      </c>
      <c r="F1300">
        <v>9.8763</v>
      </c>
      <c r="G1300">
        <v>7580.22</v>
      </c>
      <c r="H1300" s="1">
        <v>38363</v>
      </c>
      <c r="I1300" s="1">
        <v>38370</v>
      </c>
      <c r="J1300" t="s">
        <v>15</v>
      </c>
      <c r="K1300">
        <v>4</v>
      </c>
      <c r="L1300">
        <v>15000</v>
      </c>
      <c r="M1300" t="s">
        <v>16</v>
      </c>
      <c r="N1300">
        <v>1</v>
      </c>
    </row>
    <row r="1301" hidden="1" spans="1:14">
      <c r="A1301">
        <v>3105</v>
      </c>
      <c r="B1301">
        <v>0</v>
      </c>
      <c r="C1301" t="s">
        <v>331</v>
      </c>
      <c r="D1301">
        <v>0</v>
      </c>
      <c r="E1301">
        <v>-84.0695</v>
      </c>
      <c r="F1301">
        <v>9.98183</v>
      </c>
      <c r="G1301">
        <v>2850.65</v>
      </c>
      <c r="H1301" s="1">
        <v>39251</v>
      </c>
      <c r="I1301" s="1">
        <v>39253</v>
      </c>
      <c r="J1301" t="s">
        <v>15</v>
      </c>
      <c r="K1301">
        <v>0</v>
      </c>
      <c r="L1301">
        <v>0</v>
      </c>
      <c r="M1301" t="s">
        <v>16</v>
      </c>
      <c r="N1301">
        <v>1</v>
      </c>
    </row>
    <row r="1302" hidden="1" spans="1:14">
      <c r="A1302">
        <v>3196</v>
      </c>
      <c r="B1302" t="s">
        <v>333</v>
      </c>
      <c r="C1302" t="s">
        <v>331</v>
      </c>
      <c r="D1302">
        <v>0</v>
      </c>
      <c r="E1302">
        <v>-84.9519</v>
      </c>
      <c r="F1302">
        <v>10.2653</v>
      </c>
      <c r="G1302">
        <v>11460.14</v>
      </c>
      <c r="H1302" s="1">
        <v>39345</v>
      </c>
      <c r="I1302" s="1">
        <v>39351</v>
      </c>
      <c r="J1302" t="s">
        <v>15</v>
      </c>
      <c r="K1302">
        <v>0</v>
      </c>
      <c r="L1302">
        <v>623</v>
      </c>
      <c r="M1302" t="s">
        <v>16</v>
      </c>
      <c r="N1302">
        <v>1</v>
      </c>
    </row>
    <row r="1303" hidden="1" spans="1:14">
      <c r="A1303">
        <v>3205</v>
      </c>
      <c r="B1303" t="s">
        <v>334</v>
      </c>
      <c r="C1303" t="s">
        <v>331</v>
      </c>
      <c r="E1303">
        <v>-85.4379</v>
      </c>
      <c r="F1303">
        <v>10.984</v>
      </c>
      <c r="G1303">
        <v>82170.14</v>
      </c>
      <c r="H1303" s="1">
        <v>39367</v>
      </c>
      <c r="I1303" s="1">
        <v>39381</v>
      </c>
      <c r="J1303" t="s">
        <v>15</v>
      </c>
      <c r="K1303">
        <v>37</v>
      </c>
      <c r="L1303">
        <v>10000</v>
      </c>
      <c r="M1303" t="s">
        <v>16</v>
      </c>
      <c r="N1303">
        <v>1</v>
      </c>
    </row>
    <row r="1304" hidden="1" spans="1:14">
      <c r="A1304">
        <v>3395</v>
      </c>
      <c r="B1304">
        <v>0</v>
      </c>
      <c r="C1304" t="s">
        <v>331</v>
      </c>
      <c r="E1304">
        <v>-85.9579</v>
      </c>
      <c r="F1304">
        <v>11.4788</v>
      </c>
      <c r="G1304">
        <v>39424.59</v>
      </c>
      <c r="H1304" s="1">
        <v>39731</v>
      </c>
      <c r="I1304" s="1">
        <v>39755</v>
      </c>
      <c r="J1304" t="s">
        <v>15</v>
      </c>
      <c r="K1304">
        <v>3</v>
      </c>
      <c r="L1304">
        <v>2100</v>
      </c>
      <c r="M1304" t="s">
        <v>49</v>
      </c>
      <c r="N1304">
        <v>1.5</v>
      </c>
    </row>
    <row r="1305" hidden="1" spans="1:14">
      <c r="A1305">
        <v>3455</v>
      </c>
      <c r="B1305" t="s">
        <v>335</v>
      </c>
      <c r="C1305" t="s">
        <v>331</v>
      </c>
      <c r="D1305">
        <v>0</v>
      </c>
      <c r="E1305">
        <v>-83.2841</v>
      </c>
      <c r="F1305">
        <v>10.0501</v>
      </c>
      <c r="G1305">
        <v>7231.78</v>
      </c>
      <c r="H1305" s="1">
        <v>39858</v>
      </c>
      <c r="I1305" s="1">
        <v>39860</v>
      </c>
      <c r="J1305" t="s">
        <v>15</v>
      </c>
      <c r="K1305">
        <v>2</v>
      </c>
      <c r="L1305">
        <v>415</v>
      </c>
      <c r="M1305" t="s">
        <v>49</v>
      </c>
      <c r="N1305">
        <v>1</v>
      </c>
    </row>
    <row r="1306" hidden="1" spans="1:14">
      <c r="A1306">
        <v>3740</v>
      </c>
      <c r="B1306">
        <v>0</v>
      </c>
      <c r="C1306" t="s">
        <v>331</v>
      </c>
      <c r="D1306">
        <v>0</v>
      </c>
      <c r="E1306">
        <v>-83.3055</v>
      </c>
      <c r="F1306">
        <v>9.0735</v>
      </c>
      <c r="G1306">
        <v>10440.04</v>
      </c>
      <c r="H1306" s="1">
        <v>40483</v>
      </c>
      <c r="I1306" s="1">
        <v>40487</v>
      </c>
      <c r="J1306" t="s">
        <v>15</v>
      </c>
      <c r="K1306">
        <v>17</v>
      </c>
      <c r="L1306">
        <v>1000</v>
      </c>
      <c r="M1306" t="s">
        <v>336</v>
      </c>
      <c r="N1306">
        <v>1.5</v>
      </c>
    </row>
    <row r="1307" hidden="1" spans="1:14">
      <c r="A1307">
        <v>3957</v>
      </c>
      <c r="C1307" t="s">
        <v>331</v>
      </c>
      <c r="E1307">
        <v>-81.1113</v>
      </c>
      <c r="F1307">
        <v>8.79605</v>
      </c>
      <c r="G1307">
        <v>20820.98</v>
      </c>
      <c r="H1307" s="1">
        <v>41118</v>
      </c>
      <c r="I1307" s="1">
        <v>41120</v>
      </c>
      <c r="J1307" t="s">
        <v>15</v>
      </c>
      <c r="K1307">
        <v>1</v>
      </c>
      <c r="L1307">
        <v>1500</v>
      </c>
      <c r="M1307" t="s">
        <v>49</v>
      </c>
      <c r="N1307">
        <v>1</v>
      </c>
    </row>
    <row r="1308" hidden="1" spans="1:14">
      <c r="A1308">
        <v>4269</v>
      </c>
      <c r="C1308" t="s">
        <v>331</v>
      </c>
      <c r="E1308">
        <v>-83.8331</v>
      </c>
      <c r="F1308">
        <v>10.1743</v>
      </c>
      <c r="G1308">
        <v>16754.38</v>
      </c>
      <c r="H1308" s="1">
        <v>42176</v>
      </c>
      <c r="I1308" s="1">
        <v>42184</v>
      </c>
      <c r="J1308" t="s">
        <v>15</v>
      </c>
      <c r="K1308">
        <v>0</v>
      </c>
      <c r="L1308">
        <v>700</v>
      </c>
      <c r="M1308" t="s">
        <v>49</v>
      </c>
      <c r="N1308">
        <v>1.5</v>
      </c>
    </row>
    <row r="1309" hidden="1" spans="1:14">
      <c r="A1309">
        <v>4418</v>
      </c>
      <c r="B1309" t="s">
        <v>337</v>
      </c>
      <c r="C1309" t="s">
        <v>331</v>
      </c>
      <c r="D1309" t="s">
        <v>338</v>
      </c>
      <c r="E1309">
        <v>-85.1445</v>
      </c>
      <c r="F1309">
        <v>11.067</v>
      </c>
      <c r="G1309">
        <v>69965.95</v>
      </c>
      <c r="H1309" s="1">
        <v>42698</v>
      </c>
      <c r="I1309" s="1">
        <v>42711</v>
      </c>
      <c r="J1309" t="s">
        <v>15</v>
      </c>
      <c r="K1309">
        <v>4000</v>
      </c>
      <c r="L1309">
        <v>13</v>
      </c>
      <c r="M1309" t="s">
        <v>339</v>
      </c>
      <c r="N1309">
        <v>1.5</v>
      </c>
    </row>
    <row r="1310" hidden="1" spans="1:14">
      <c r="A1310">
        <v>5103</v>
      </c>
      <c r="C1310" t="s">
        <v>331</v>
      </c>
      <c r="E1310">
        <v>-84.1052</v>
      </c>
      <c r="F1310">
        <v>9.80222</v>
      </c>
      <c r="G1310">
        <v>30326.86</v>
      </c>
      <c r="H1310" s="1">
        <v>44399</v>
      </c>
      <c r="I1310" s="1">
        <v>44405</v>
      </c>
      <c r="J1310" t="s">
        <v>56</v>
      </c>
      <c r="K1310">
        <v>2</v>
      </c>
      <c r="L1310">
        <v>3000</v>
      </c>
      <c r="M1310" t="s">
        <v>49</v>
      </c>
      <c r="N1310">
        <v>1.5</v>
      </c>
    </row>
    <row r="1311" hidden="1" spans="1:14">
      <c r="A1311">
        <v>4929</v>
      </c>
      <c r="C1311" t="s">
        <v>340</v>
      </c>
      <c r="E1311">
        <v>-4.08476</v>
      </c>
      <c r="F1311">
        <v>5.57193</v>
      </c>
      <c r="G1311">
        <v>7806.57</v>
      </c>
      <c r="H1311" s="1">
        <v>44006</v>
      </c>
      <c r="I1311" s="1">
        <v>44008</v>
      </c>
      <c r="J1311" t="s">
        <v>56</v>
      </c>
      <c r="K1311">
        <v>5</v>
      </c>
      <c r="L1311">
        <v>0</v>
      </c>
      <c r="M1311" t="s">
        <v>52</v>
      </c>
      <c r="N1311">
        <v>1</v>
      </c>
    </row>
    <row r="1312" hidden="1" spans="1:14">
      <c r="A1312">
        <v>3487</v>
      </c>
      <c r="B1312" t="s">
        <v>341</v>
      </c>
      <c r="C1312" t="s">
        <v>342</v>
      </c>
      <c r="D1312">
        <v>0</v>
      </c>
      <c r="E1312">
        <v>-4.20195</v>
      </c>
      <c r="F1312">
        <v>5.56989</v>
      </c>
      <c r="G1312">
        <v>10724.02</v>
      </c>
      <c r="H1312" s="1">
        <v>39984</v>
      </c>
      <c r="I1312" s="1">
        <v>39986</v>
      </c>
      <c r="J1312" t="s">
        <v>15</v>
      </c>
      <c r="K1312">
        <v>5</v>
      </c>
      <c r="L1312">
        <v>0</v>
      </c>
      <c r="M1312" t="s">
        <v>49</v>
      </c>
      <c r="N1312">
        <v>1</v>
      </c>
    </row>
    <row r="1313" hidden="1" spans="1:14">
      <c r="A1313">
        <v>1443</v>
      </c>
      <c r="B1313">
        <v>0</v>
      </c>
      <c r="C1313" t="s">
        <v>188</v>
      </c>
      <c r="D1313">
        <v>0</v>
      </c>
      <c r="E1313">
        <v>16.833</v>
      </c>
      <c r="F1313">
        <v>45.7638</v>
      </c>
      <c r="G1313">
        <v>20621.49</v>
      </c>
      <c r="H1313" s="1">
        <v>36053</v>
      </c>
      <c r="I1313" s="1">
        <v>36054</v>
      </c>
      <c r="J1313" t="s">
        <v>15</v>
      </c>
      <c r="K1313">
        <v>0</v>
      </c>
      <c r="L1313">
        <v>0</v>
      </c>
      <c r="M1313" t="s">
        <v>16</v>
      </c>
      <c r="N1313">
        <v>1</v>
      </c>
    </row>
    <row r="1314" hidden="1" spans="1:14">
      <c r="A1314">
        <v>1682</v>
      </c>
      <c r="B1314">
        <v>0</v>
      </c>
      <c r="C1314" t="s">
        <v>188</v>
      </c>
      <c r="D1314">
        <v>0</v>
      </c>
      <c r="E1314">
        <v>15.1101</v>
      </c>
      <c r="F1314">
        <v>44.9481</v>
      </c>
      <c r="G1314">
        <v>1048.13</v>
      </c>
      <c r="H1314" s="1">
        <v>36888</v>
      </c>
      <c r="I1314" s="1">
        <v>36890</v>
      </c>
      <c r="J1314" t="s">
        <v>15</v>
      </c>
      <c r="K1314">
        <v>0</v>
      </c>
      <c r="L1314">
        <v>2000</v>
      </c>
      <c r="M1314" t="s">
        <v>16</v>
      </c>
      <c r="N1314">
        <v>1</v>
      </c>
    </row>
    <row r="1315" hidden="1" spans="1:14">
      <c r="A1315">
        <v>4522</v>
      </c>
      <c r="C1315" t="s">
        <v>188</v>
      </c>
      <c r="E1315">
        <v>15.5739</v>
      </c>
      <c r="F1315">
        <v>44.0041</v>
      </c>
      <c r="G1315">
        <v>2047.01</v>
      </c>
      <c r="H1315" s="1">
        <v>42989</v>
      </c>
      <c r="I1315" s="1">
        <v>42992</v>
      </c>
      <c r="J1315" t="s">
        <v>15</v>
      </c>
      <c r="K1315">
        <v>0</v>
      </c>
      <c r="L1315">
        <v>0</v>
      </c>
      <c r="M1315" t="s">
        <v>52</v>
      </c>
      <c r="N1315">
        <v>1.5</v>
      </c>
    </row>
    <row r="1316" hidden="1" spans="1:14">
      <c r="A1316">
        <v>4581</v>
      </c>
      <c r="C1316" t="s">
        <v>188</v>
      </c>
      <c r="D1316" t="s">
        <v>182</v>
      </c>
      <c r="E1316">
        <v>16.9472</v>
      </c>
      <c r="F1316">
        <v>44.7349</v>
      </c>
      <c r="G1316">
        <v>27949.77</v>
      </c>
      <c r="H1316" s="1">
        <v>43169</v>
      </c>
      <c r="I1316" s="1">
        <v>43173</v>
      </c>
      <c r="J1316" t="s">
        <v>56</v>
      </c>
      <c r="K1316">
        <v>0</v>
      </c>
      <c r="L1316">
        <v>10</v>
      </c>
      <c r="M1316" t="s">
        <v>67</v>
      </c>
      <c r="N1316">
        <v>1</v>
      </c>
    </row>
    <row r="1317" hidden="1" spans="1:14">
      <c r="A1317">
        <v>622</v>
      </c>
      <c r="B1317">
        <v>0</v>
      </c>
      <c r="C1317" t="s">
        <v>343</v>
      </c>
      <c r="D1317">
        <v>0</v>
      </c>
      <c r="E1317">
        <v>-77.9128</v>
      </c>
      <c r="F1317">
        <v>21.56</v>
      </c>
      <c r="G1317">
        <v>90431.11</v>
      </c>
      <c r="H1317" s="1">
        <v>33640</v>
      </c>
      <c r="I1317" s="1">
        <v>33644</v>
      </c>
      <c r="J1317" t="s">
        <v>15</v>
      </c>
      <c r="K1317">
        <v>0</v>
      </c>
      <c r="L1317">
        <v>9127</v>
      </c>
      <c r="M1317" t="s">
        <v>16</v>
      </c>
      <c r="N1317">
        <v>2</v>
      </c>
    </row>
    <row r="1318" hidden="1" spans="1:14">
      <c r="A1318">
        <v>919</v>
      </c>
      <c r="B1318">
        <v>0</v>
      </c>
      <c r="C1318" t="s">
        <v>343</v>
      </c>
      <c r="D1318">
        <v>0</v>
      </c>
      <c r="E1318">
        <v>-78.0913</v>
      </c>
      <c r="F1318">
        <v>21.4949</v>
      </c>
      <c r="G1318">
        <v>84994.35</v>
      </c>
      <c r="H1318" s="1">
        <v>34644</v>
      </c>
      <c r="I1318" s="1">
        <v>34652</v>
      </c>
      <c r="J1318" t="s">
        <v>15</v>
      </c>
      <c r="K1318">
        <v>2</v>
      </c>
      <c r="L1318">
        <v>100000</v>
      </c>
      <c r="M1318" t="s">
        <v>86</v>
      </c>
      <c r="N1318">
        <v>1</v>
      </c>
    </row>
    <row r="1319" hidden="1" spans="1:14">
      <c r="A1319">
        <v>964</v>
      </c>
      <c r="B1319">
        <v>0</v>
      </c>
      <c r="C1319" t="s">
        <v>343</v>
      </c>
      <c r="D1319">
        <v>0</v>
      </c>
      <c r="E1319">
        <v>-81.5247</v>
      </c>
      <c r="F1319">
        <v>22.3839</v>
      </c>
      <c r="G1319">
        <v>56146.8</v>
      </c>
      <c r="H1319" s="1">
        <v>34871</v>
      </c>
      <c r="I1319" s="1">
        <v>34873</v>
      </c>
      <c r="J1319" t="s">
        <v>15</v>
      </c>
      <c r="K1319">
        <v>3</v>
      </c>
      <c r="L1319">
        <v>5000</v>
      </c>
      <c r="M1319" t="s">
        <v>16</v>
      </c>
      <c r="N1319">
        <v>1</v>
      </c>
    </row>
    <row r="1320" hidden="1" spans="1:14">
      <c r="A1320">
        <v>1014</v>
      </c>
      <c r="B1320">
        <v>0</v>
      </c>
      <c r="C1320" t="s">
        <v>343</v>
      </c>
      <c r="D1320">
        <v>0</v>
      </c>
      <c r="E1320">
        <v>-83.7471</v>
      </c>
      <c r="F1320">
        <v>22.388</v>
      </c>
      <c r="G1320">
        <v>11847.67</v>
      </c>
      <c r="H1320" s="1">
        <v>34971</v>
      </c>
      <c r="I1320" s="1">
        <v>34972</v>
      </c>
      <c r="J1320" t="s">
        <v>15</v>
      </c>
      <c r="K1320">
        <v>0</v>
      </c>
      <c r="L1320">
        <v>4000</v>
      </c>
      <c r="M1320" t="s">
        <v>86</v>
      </c>
      <c r="N1320">
        <v>1</v>
      </c>
    </row>
    <row r="1321" hidden="1" spans="1:14">
      <c r="A1321">
        <v>1244</v>
      </c>
      <c r="B1321">
        <v>0</v>
      </c>
      <c r="C1321" t="s">
        <v>343</v>
      </c>
      <c r="D1321">
        <v>0</v>
      </c>
      <c r="E1321">
        <v>-77.8865</v>
      </c>
      <c r="F1321">
        <v>21.5523</v>
      </c>
      <c r="G1321">
        <v>73126.82</v>
      </c>
      <c r="H1321" s="1">
        <v>35588</v>
      </c>
      <c r="I1321" s="1">
        <v>35592</v>
      </c>
      <c r="J1321" t="s">
        <v>15</v>
      </c>
      <c r="K1321">
        <v>1</v>
      </c>
      <c r="L1321">
        <v>8300</v>
      </c>
      <c r="M1321" t="s">
        <v>16</v>
      </c>
      <c r="N1321">
        <v>1</v>
      </c>
    </row>
    <row r="1322" hidden="1" spans="1:14">
      <c r="A1322">
        <v>1951</v>
      </c>
      <c r="B1322">
        <v>0</v>
      </c>
      <c r="C1322" t="s">
        <v>343</v>
      </c>
      <c r="D1322">
        <v>0</v>
      </c>
      <c r="E1322">
        <v>-79.4307</v>
      </c>
      <c r="F1322">
        <v>22.0018</v>
      </c>
      <c r="G1322">
        <v>15669.48</v>
      </c>
      <c r="H1322" s="1">
        <v>37419</v>
      </c>
      <c r="I1322" s="1">
        <v>37423</v>
      </c>
      <c r="J1322" t="s">
        <v>15</v>
      </c>
      <c r="K1322">
        <v>0</v>
      </c>
      <c r="L1322">
        <v>30000</v>
      </c>
      <c r="M1322" t="s">
        <v>16</v>
      </c>
      <c r="N1322">
        <v>1</v>
      </c>
    </row>
    <row r="1323" hidden="1" spans="1:14">
      <c r="A1323">
        <v>2870</v>
      </c>
      <c r="B1323">
        <v>0</v>
      </c>
      <c r="C1323" t="s">
        <v>343</v>
      </c>
      <c r="D1323">
        <v>0</v>
      </c>
      <c r="E1323">
        <v>-82.321</v>
      </c>
      <c r="F1323">
        <v>23.0443</v>
      </c>
      <c r="G1323">
        <v>1943.12</v>
      </c>
      <c r="H1323" s="1">
        <v>38860</v>
      </c>
      <c r="I1323" s="1">
        <v>38864</v>
      </c>
      <c r="J1323" t="s">
        <v>15</v>
      </c>
      <c r="K1323">
        <v>7</v>
      </c>
      <c r="L1323">
        <v>0</v>
      </c>
      <c r="M1323" t="s">
        <v>16</v>
      </c>
      <c r="N1323">
        <v>1</v>
      </c>
    </row>
    <row r="1324" hidden="1" spans="1:14">
      <c r="A1324">
        <v>3087</v>
      </c>
      <c r="B1324">
        <v>0</v>
      </c>
      <c r="C1324" t="s">
        <v>343</v>
      </c>
      <c r="D1324">
        <v>0</v>
      </c>
      <c r="E1324">
        <v>-76.9287</v>
      </c>
      <c r="F1324">
        <v>21.3491</v>
      </c>
      <c r="G1324">
        <v>15430</v>
      </c>
      <c r="H1324" s="1">
        <v>39228</v>
      </c>
      <c r="I1324" s="1">
        <v>39230</v>
      </c>
      <c r="J1324" t="s">
        <v>15</v>
      </c>
      <c r="K1324">
        <v>2</v>
      </c>
      <c r="L1324">
        <v>3000</v>
      </c>
      <c r="M1324" t="s">
        <v>16</v>
      </c>
      <c r="N1324">
        <v>1</v>
      </c>
    </row>
    <row r="1325" hidden="1" spans="1:14">
      <c r="A1325">
        <v>3407</v>
      </c>
      <c r="B1325" t="s">
        <v>344</v>
      </c>
      <c r="C1325" t="s">
        <v>343</v>
      </c>
      <c r="D1325">
        <v>0</v>
      </c>
      <c r="E1325">
        <v>-76.1709</v>
      </c>
      <c r="F1325">
        <v>20.6944</v>
      </c>
      <c r="G1325">
        <v>35294.06</v>
      </c>
      <c r="H1325" s="1">
        <v>39769</v>
      </c>
      <c r="I1325" s="1">
        <v>39772</v>
      </c>
      <c r="J1325" t="s">
        <v>15</v>
      </c>
      <c r="K1325">
        <v>0</v>
      </c>
      <c r="L1325">
        <v>20000</v>
      </c>
      <c r="M1325" t="s">
        <v>49</v>
      </c>
      <c r="N1325">
        <v>1.5</v>
      </c>
    </row>
    <row r="1326" hidden="1" spans="1:14">
      <c r="A1326">
        <v>3637</v>
      </c>
      <c r="B1326">
        <v>0</v>
      </c>
      <c r="C1326" t="s">
        <v>343</v>
      </c>
      <c r="D1326">
        <v>0</v>
      </c>
      <c r="E1326">
        <v>-75.3832</v>
      </c>
      <c r="F1326">
        <v>20.2623</v>
      </c>
      <c r="G1326">
        <v>10657.92</v>
      </c>
      <c r="H1326" s="1">
        <v>40285</v>
      </c>
      <c r="I1326" s="1">
        <v>40289</v>
      </c>
      <c r="J1326">
        <v>0</v>
      </c>
      <c r="K1326">
        <v>0</v>
      </c>
      <c r="L1326">
        <v>84</v>
      </c>
      <c r="M1326" t="s">
        <v>49</v>
      </c>
      <c r="N1326">
        <v>1</v>
      </c>
    </row>
    <row r="1327" hidden="1" spans="1:14">
      <c r="A1327">
        <v>4109</v>
      </c>
      <c r="C1327" t="s">
        <v>343</v>
      </c>
      <c r="E1327">
        <v>-81.3958</v>
      </c>
      <c r="F1327">
        <v>22.9043</v>
      </c>
      <c r="G1327">
        <v>7627.3</v>
      </c>
      <c r="H1327" s="1">
        <v>41609</v>
      </c>
      <c r="I1327" s="1">
        <v>41616</v>
      </c>
      <c r="J1327" t="s">
        <v>15</v>
      </c>
      <c r="K1327">
        <v>2</v>
      </c>
      <c r="L1327">
        <v>227</v>
      </c>
      <c r="M1327" t="s">
        <v>52</v>
      </c>
      <c r="N1327">
        <v>1</v>
      </c>
    </row>
    <row r="1328" hidden="1" spans="1:14">
      <c r="A1328">
        <v>182</v>
      </c>
      <c r="B1328">
        <v>0</v>
      </c>
      <c r="C1328" t="s">
        <v>345</v>
      </c>
      <c r="D1328">
        <v>0</v>
      </c>
      <c r="E1328">
        <v>-79.1496</v>
      </c>
      <c r="F1328">
        <v>21.6272</v>
      </c>
      <c r="G1328">
        <v>34415.84</v>
      </c>
      <c r="H1328" s="1">
        <v>32293</v>
      </c>
      <c r="I1328" s="1">
        <v>32300</v>
      </c>
      <c r="J1328" t="s">
        <v>15</v>
      </c>
      <c r="K1328">
        <v>24</v>
      </c>
      <c r="L1328">
        <v>65000</v>
      </c>
      <c r="M1328" t="s">
        <v>16</v>
      </c>
      <c r="N1328">
        <v>1</v>
      </c>
    </row>
    <row r="1329" hidden="1" spans="1:14">
      <c r="A1329">
        <v>800</v>
      </c>
      <c r="B1329">
        <v>0</v>
      </c>
      <c r="C1329" t="s">
        <v>345</v>
      </c>
      <c r="D1329">
        <v>0</v>
      </c>
      <c r="E1329">
        <v>-75.3512</v>
      </c>
      <c r="F1329">
        <v>20.5564</v>
      </c>
      <c r="G1329">
        <v>19322.92</v>
      </c>
      <c r="H1329" s="1">
        <v>34297</v>
      </c>
      <c r="I1329" s="1">
        <v>34301</v>
      </c>
      <c r="J1329" t="s">
        <v>15</v>
      </c>
      <c r="K1329">
        <v>30</v>
      </c>
      <c r="L1329">
        <v>51000</v>
      </c>
      <c r="M1329" t="s">
        <v>64</v>
      </c>
      <c r="N1329">
        <v>1</v>
      </c>
    </row>
    <row r="1330" hidden="1" spans="1:14">
      <c r="A1330">
        <v>4710</v>
      </c>
      <c r="C1330" t="s">
        <v>346</v>
      </c>
      <c r="D1330" t="s">
        <v>347</v>
      </c>
      <c r="E1330">
        <v>35.2079</v>
      </c>
      <c r="F1330">
        <v>32.7134</v>
      </c>
      <c r="G1330">
        <v>14894.88</v>
      </c>
      <c r="H1330" s="1">
        <v>43439</v>
      </c>
      <c r="I1330" s="1">
        <v>43444</v>
      </c>
      <c r="J1330" t="s">
        <v>56</v>
      </c>
      <c r="K1330">
        <v>4</v>
      </c>
      <c r="L1330">
        <v>0</v>
      </c>
      <c r="M1330" t="s">
        <v>49</v>
      </c>
      <c r="N1330">
        <v>1.5</v>
      </c>
    </row>
    <row r="1331" hidden="1" spans="1:14">
      <c r="A1331">
        <v>1069</v>
      </c>
      <c r="B1331">
        <v>0</v>
      </c>
      <c r="C1331" t="s">
        <v>348</v>
      </c>
      <c r="D1331">
        <v>0</v>
      </c>
      <c r="E1331">
        <v>17.7986</v>
      </c>
      <c r="F1331">
        <v>49.8018</v>
      </c>
      <c r="G1331">
        <v>9855.57</v>
      </c>
      <c r="H1331" s="1">
        <v>35195</v>
      </c>
      <c r="I1331" s="1">
        <v>35199</v>
      </c>
      <c r="J1331" t="s">
        <v>15</v>
      </c>
      <c r="K1331">
        <v>1</v>
      </c>
      <c r="L1331">
        <v>60</v>
      </c>
      <c r="M1331" t="s">
        <v>16</v>
      </c>
      <c r="N1331">
        <v>2</v>
      </c>
    </row>
    <row r="1332" hidden="1" spans="1:14">
      <c r="A1332">
        <v>1160</v>
      </c>
      <c r="B1332">
        <v>0</v>
      </c>
      <c r="C1332" t="s">
        <v>348</v>
      </c>
      <c r="D1332">
        <v>0</v>
      </c>
      <c r="E1332">
        <v>17.1002</v>
      </c>
      <c r="F1332">
        <v>49.6816</v>
      </c>
      <c r="G1332">
        <v>34986.66</v>
      </c>
      <c r="H1332" s="1">
        <v>35613</v>
      </c>
      <c r="I1332" s="1">
        <v>35635</v>
      </c>
      <c r="J1332" t="s">
        <v>15</v>
      </c>
      <c r="K1332">
        <v>48</v>
      </c>
      <c r="L1332">
        <v>40000</v>
      </c>
      <c r="M1332" t="s">
        <v>16</v>
      </c>
      <c r="N1332">
        <v>2</v>
      </c>
    </row>
    <row r="1333" hidden="1" spans="1:14">
      <c r="A1333">
        <v>1421</v>
      </c>
      <c r="B1333">
        <v>0</v>
      </c>
      <c r="C1333" t="s">
        <v>348</v>
      </c>
      <c r="D1333">
        <v>0</v>
      </c>
      <c r="E1333">
        <v>19.3608</v>
      </c>
      <c r="F1333">
        <v>48.8573</v>
      </c>
      <c r="G1333">
        <v>11.9565</v>
      </c>
      <c r="H1333" s="1">
        <v>35999</v>
      </c>
      <c r="I1333" s="1">
        <v>36000</v>
      </c>
      <c r="J1333" t="s">
        <v>15</v>
      </c>
      <c r="K1333">
        <v>6</v>
      </c>
      <c r="L1333">
        <v>0</v>
      </c>
      <c r="M1333" t="s">
        <v>16</v>
      </c>
      <c r="N1333">
        <v>1</v>
      </c>
    </row>
    <row r="1334" hidden="1" spans="1:14">
      <c r="A1334">
        <v>1592</v>
      </c>
      <c r="B1334">
        <v>0</v>
      </c>
      <c r="C1334" t="s">
        <v>348</v>
      </c>
      <c r="D1334" t="s">
        <v>218</v>
      </c>
      <c r="E1334">
        <v>17.9439</v>
      </c>
      <c r="F1334">
        <v>49.2438</v>
      </c>
      <c r="G1334">
        <v>16470.07</v>
      </c>
      <c r="H1334" s="1">
        <v>36594</v>
      </c>
      <c r="I1334" s="1">
        <v>36596</v>
      </c>
      <c r="J1334" t="s">
        <v>15</v>
      </c>
      <c r="K1334">
        <v>2</v>
      </c>
      <c r="L1334">
        <v>0</v>
      </c>
      <c r="M1334" t="s">
        <v>39</v>
      </c>
      <c r="N1334">
        <v>1</v>
      </c>
    </row>
    <row r="1335" hidden="1" spans="1:14">
      <c r="A1335">
        <v>1988</v>
      </c>
      <c r="B1335">
        <v>0</v>
      </c>
      <c r="C1335" t="s">
        <v>348</v>
      </c>
      <c r="D1335">
        <v>0</v>
      </c>
      <c r="E1335">
        <v>16.6355</v>
      </c>
      <c r="F1335">
        <v>49.5355</v>
      </c>
      <c r="G1335">
        <v>1326.28</v>
      </c>
      <c r="H1335" s="1">
        <v>37451</v>
      </c>
      <c r="I1335" s="1">
        <v>37454</v>
      </c>
      <c r="J1335" t="s">
        <v>15</v>
      </c>
      <c r="K1335">
        <v>3</v>
      </c>
      <c r="L1335">
        <v>0</v>
      </c>
      <c r="M1335" t="s">
        <v>16</v>
      </c>
      <c r="N1335">
        <v>1</v>
      </c>
    </row>
    <row r="1336" hidden="1" spans="1:14">
      <c r="A1336">
        <v>2826</v>
      </c>
      <c r="B1336" t="s">
        <v>349</v>
      </c>
      <c r="C1336" t="s">
        <v>348</v>
      </c>
      <c r="D1336" t="s">
        <v>350</v>
      </c>
      <c r="E1336">
        <v>16.0942</v>
      </c>
      <c r="F1336">
        <v>49.862</v>
      </c>
      <c r="G1336">
        <v>196114.53</v>
      </c>
      <c r="H1336" s="1">
        <v>38804</v>
      </c>
      <c r="I1336" s="1">
        <v>38824</v>
      </c>
      <c r="J1336" t="s">
        <v>15</v>
      </c>
      <c r="K1336">
        <v>9</v>
      </c>
      <c r="L1336">
        <v>11000</v>
      </c>
      <c r="M1336" t="s">
        <v>38</v>
      </c>
      <c r="N1336">
        <v>2</v>
      </c>
    </row>
    <row r="1337" hidden="1" spans="1:14">
      <c r="A1337">
        <v>3187</v>
      </c>
      <c r="B1337">
        <v>0</v>
      </c>
      <c r="C1337" t="s">
        <v>348</v>
      </c>
      <c r="D1337">
        <v>0</v>
      </c>
      <c r="E1337">
        <v>16.346</v>
      </c>
      <c r="F1337">
        <v>48.9081</v>
      </c>
      <c r="G1337">
        <v>66614.41</v>
      </c>
      <c r="H1337" s="1">
        <v>39331</v>
      </c>
      <c r="I1337" s="1">
        <v>39335</v>
      </c>
      <c r="J1337" t="s">
        <v>15</v>
      </c>
      <c r="K1337">
        <v>0</v>
      </c>
      <c r="L1337">
        <v>300</v>
      </c>
      <c r="M1337" t="s">
        <v>16</v>
      </c>
      <c r="N1337">
        <v>1.5</v>
      </c>
    </row>
    <row r="1338" hidden="1" spans="1:14">
      <c r="A1338">
        <v>3492</v>
      </c>
      <c r="B1338" t="s">
        <v>351</v>
      </c>
      <c r="C1338" t="s">
        <v>348</v>
      </c>
      <c r="D1338">
        <v>0</v>
      </c>
      <c r="E1338">
        <v>18.0255</v>
      </c>
      <c r="F1338">
        <v>50.1269</v>
      </c>
      <c r="G1338">
        <v>47134.92</v>
      </c>
      <c r="H1338" s="1">
        <v>39983</v>
      </c>
      <c r="I1338" s="1">
        <v>39988</v>
      </c>
      <c r="J1338" t="s">
        <v>15</v>
      </c>
      <c r="K1338">
        <v>0</v>
      </c>
      <c r="L1338">
        <v>0</v>
      </c>
      <c r="M1338" t="s">
        <v>49</v>
      </c>
      <c r="N1338">
        <v>1</v>
      </c>
    </row>
    <row r="1339" hidden="1" spans="1:14">
      <c r="A1339">
        <v>3648</v>
      </c>
      <c r="B1339" t="s">
        <v>352</v>
      </c>
      <c r="C1339" t="s">
        <v>348</v>
      </c>
      <c r="E1339">
        <v>19.644</v>
      </c>
      <c r="F1339">
        <v>49.7736</v>
      </c>
      <c r="G1339">
        <v>121758.8</v>
      </c>
      <c r="H1339" s="1">
        <v>40313</v>
      </c>
      <c r="I1339" s="1">
        <v>40322</v>
      </c>
      <c r="J1339">
        <v>0</v>
      </c>
      <c r="K1339">
        <v>12</v>
      </c>
      <c r="L1339">
        <v>0</v>
      </c>
      <c r="M1339" t="s">
        <v>49</v>
      </c>
      <c r="N1339">
        <v>2</v>
      </c>
    </row>
    <row r="1340" hidden="1" spans="1:14">
      <c r="A1340">
        <v>554</v>
      </c>
      <c r="B1340">
        <v>0</v>
      </c>
      <c r="C1340" t="s">
        <v>353</v>
      </c>
      <c r="D1340">
        <v>0</v>
      </c>
      <c r="E1340">
        <v>15.8567</v>
      </c>
      <c r="F1340">
        <v>49.7838</v>
      </c>
      <c r="G1340">
        <v>60516.65</v>
      </c>
      <c r="H1340" s="1">
        <v>33451</v>
      </c>
      <c r="I1340" s="1">
        <v>33453</v>
      </c>
      <c r="J1340" t="s">
        <v>15</v>
      </c>
      <c r="K1340">
        <v>0</v>
      </c>
      <c r="L1340">
        <v>0</v>
      </c>
      <c r="M1340" t="s">
        <v>16</v>
      </c>
      <c r="N1340">
        <v>1</v>
      </c>
    </row>
    <row r="1341" hidden="1" spans="1:14">
      <c r="A1341">
        <v>175</v>
      </c>
      <c r="B1341">
        <v>0</v>
      </c>
      <c r="C1341" t="s">
        <v>354</v>
      </c>
      <c r="D1341">
        <v>0</v>
      </c>
      <c r="E1341">
        <v>15.6402</v>
      </c>
      <c r="F1341">
        <v>49.345</v>
      </c>
      <c r="G1341">
        <v>449.006</v>
      </c>
      <c r="H1341" s="1">
        <v>32253</v>
      </c>
      <c r="I1341" s="1">
        <v>32254</v>
      </c>
      <c r="J1341" t="s">
        <v>15</v>
      </c>
      <c r="K1341">
        <v>2</v>
      </c>
      <c r="L1341">
        <v>500</v>
      </c>
      <c r="M1341" t="s">
        <v>49</v>
      </c>
      <c r="N1341">
        <v>1</v>
      </c>
    </row>
    <row r="1342" hidden="1" spans="1:14">
      <c r="A1342">
        <v>4825</v>
      </c>
      <c r="C1342" t="s">
        <v>355</v>
      </c>
      <c r="D1342" t="s">
        <v>260</v>
      </c>
      <c r="E1342">
        <v>23.2321</v>
      </c>
      <c r="F1342">
        <v>2.83151</v>
      </c>
      <c r="G1342">
        <v>678566.71</v>
      </c>
      <c r="H1342" s="1">
        <v>43770</v>
      </c>
      <c r="I1342" s="1">
        <v>43805</v>
      </c>
      <c r="J1342" t="s">
        <v>56</v>
      </c>
      <c r="K1342">
        <v>0</v>
      </c>
      <c r="L1342">
        <v>98000</v>
      </c>
      <c r="M1342" t="s">
        <v>49</v>
      </c>
      <c r="N1342">
        <v>1.5</v>
      </c>
    </row>
    <row r="1343" hidden="1" spans="1:14">
      <c r="A1343">
        <v>4916</v>
      </c>
      <c r="C1343" t="s">
        <v>356</v>
      </c>
      <c r="E1343">
        <v>17.6153</v>
      </c>
      <c r="F1343">
        <v>-3.82262</v>
      </c>
      <c r="G1343">
        <v>84572.69</v>
      </c>
      <c r="H1343" s="1">
        <v>43967</v>
      </c>
      <c r="I1343" s="1">
        <v>43971</v>
      </c>
      <c r="J1343" t="s">
        <v>56</v>
      </c>
      <c r="K1343">
        <v>0</v>
      </c>
      <c r="L1343">
        <v>500</v>
      </c>
      <c r="M1343" t="s">
        <v>49</v>
      </c>
      <c r="N1343">
        <v>1.5</v>
      </c>
    </row>
    <row r="1344" hidden="1" spans="1:14">
      <c r="A1344">
        <v>1841</v>
      </c>
      <c r="B1344">
        <v>0</v>
      </c>
      <c r="C1344" t="s">
        <v>357</v>
      </c>
      <c r="D1344">
        <v>0</v>
      </c>
      <c r="E1344">
        <v>18.3372</v>
      </c>
      <c r="F1344">
        <v>0.089204</v>
      </c>
      <c r="G1344">
        <v>3270</v>
      </c>
      <c r="H1344" s="1">
        <v>37242</v>
      </c>
      <c r="I1344" s="1">
        <v>37245</v>
      </c>
      <c r="J1344" t="s">
        <v>15</v>
      </c>
      <c r="K1344">
        <v>0</v>
      </c>
      <c r="L1344">
        <v>13000</v>
      </c>
      <c r="M1344" t="s">
        <v>16</v>
      </c>
      <c r="N1344">
        <v>1</v>
      </c>
    </row>
    <row r="1345" hidden="1" spans="1:14">
      <c r="A1345">
        <v>1569</v>
      </c>
      <c r="B1345">
        <v>0</v>
      </c>
      <c r="C1345" t="s">
        <v>358</v>
      </c>
      <c r="D1345" t="s">
        <v>328</v>
      </c>
      <c r="E1345">
        <v>18.6091</v>
      </c>
      <c r="F1345">
        <v>0.712298</v>
      </c>
      <c r="G1345">
        <v>738830.96</v>
      </c>
      <c r="H1345" s="1">
        <v>36493</v>
      </c>
      <c r="I1345" s="1">
        <v>36525</v>
      </c>
      <c r="J1345" t="s">
        <v>15</v>
      </c>
      <c r="K1345">
        <v>2</v>
      </c>
      <c r="L1345">
        <v>75000</v>
      </c>
      <c r="M1345" t="s">
        <v>18</v>
      </c>
      <c r="N1345">
        <v>2</v>
      </c>
    </row>
    <row r="1346" hidden="1" spans="1:14">
      <c r="A1346">
        <v>2838</v>
      </c>
      <c r="B1346" t="s">
        <v>359</v>
      </c>
      <c r="C1346" t="s">
        <v>358</v>
      </c>
      <c r="D1346">
        <v>0</v>
      </c>
      <c r="E1346">
        <v>16.1707</v>
      </c>
      <c r="F1346">
        <v>-4.36386</v>
      </c>
      <c r="G1346">
        <v>45525.91</v>
      </c>
      <c r="H1346" s="1">
        <v>38815</v>
      </c>
      <c r="I1346" s="1">
        <v>38834</v>
      </c>
      <c r="J1346" t="s">
        <v>15</v>
      </c>
      <c r="K1346">
        <v>6</v>
      </c>
      <c r="L1346">
        <v>0</v>
      </c>
      <c r="M1346" t="s">
        <v>16</v>
      </c>
      <c r="N1346">
        <v>1</v>
      </c>
    </row>
    <row r="1347" hidden="1" spans="1:14">
      <c r="A1347">
        <v>3214</v>
      </c>
      <c r="B1347" t="s">
        <v>360</v>
      </c>
      <c r="C1347" t="s">
        <v>358</v>
      </c>
      <c r="E1347">
        <v>15.3815</v>
      </c>
      <c r="F1347">
        <v>-4.36763</v>
      </c>
      <c r="G1347">
        <v>1949.71</v>
      </c>
      <c r="H1347" s="1">
        <v>39380</v>
      </c>
      <c r="I1347" s="1">
        <v>39386</v>
      </c>
      <c r="J1347" t="s">
        <v>15</v>
      </c>
      <c r="K1347">
        <v>30</v>
      </c>
      <c r="L1347">
        <v>3500</v>
      </c>
      <c r="M1347" t="s">
        <v>16</v>
      </c>
      <c r="N1347">
        <v>1</v>
      </c>
    </row>
    <row r="1348" hidden="1" spans="1:14">
      <c r="A1348">
        <v>4191</v>
      </c>
      <c r="C1348" t="s">
        <v>358</v>
      </c>
      <c r="E1348">
        <v>25.2115</v>
      </c>
      <c r="F1348">
        <v>-7.98006</v>
      </c>
      <c r="G1348">
        <v>781320.47</v>
      </c>
      <c r="H1348" s="1">
        <v>41916</v>
      </c>
      <c r="I1348" s="1">
        <v>41923</v>
      </c>
      <c r="J1348" t="s">
        <v>15</v>
      </c>
      <c r="K1348">
        <v>4</v>
      </c>
      <c r="L1348">
        <v>200</v>
      </c>
      <c r="M1348" t="s">
        <v>54</v>
      </c>
      <c r="N1348">
        <v>1</v>
      </c>
    </row>
    <row r="1349" hidden="1" spans="1:14">
      <c r="A1349">
        <v>4556</v>
      </c>
      <c r="C1349" t="s">
        <v>358</v>
      </c>
      <c r="E1349">
        <v>15.1162</v>
      </c>
      <c r="F1349">
        <v>-4.35476</v>
      </c>
      <c r="G1349">
        <v>5597.13</v>
      </c>
      <c r="H1349" s="1">
        <v>43103</v>
      </c>
      <c r="I1349" s="1">
        <v>43105</v>
      </c>
      <c r="J1349" t="s">
        <v>15</v>
      </c>
      <c r="K1349">
        <v>37</v>
      </c>
      <c r="L1349">
        <v>0</v>
      </c>
      <c r="M1349" t="s">
        <v>52</v>
      </c>
      <c r="N1349">
        <v>1.5</v>
      </c>
    </row>
    <row r="1350" hidden="1" spans="1:14">
      <c r="A1350">
        <v>4896</v>
      </c>
      <c r="C1350" t="s">
        <v>358</v>
      </c>
      <c r="E1350">
        <v>26.7456</v>
      </c>
      <c r="F1350">
        <v>-3.24494</v>
      </c>
      <c r="G1350">
        <v>180311.71</v>
      </c>
      <c r="H1350" s="1">
        <v>43907</v>
      </c>
      <c r="I1350" s="1">
        <v>43924</v>
      </c>
      <c r="J1350" t="s">
        <v>56</v>
      </c>
      <c r="K1350">
        <v>36</v>
      </c>
      <c r="L1350">
        <v>78000</v>
      </c>
      <c r="M1350" t="s">
        <v>49</v>
      </c>
      <c r="N1350">
        <v>2</v>
      </c>
    </row>
    <row r="1351" hidden="1" spans="1:14">
      <c r="A1351">
        <v>4988</v>
      </c>
      <c r="C1351" t="s">
        <v>358</v>
      </c>
      <c r="E1351">
        <v>27.8838</v>
      </c>
      <c r="F1351">
        <v>-2.62608</v>
      </c>
      <c r="G1351">
        <v>112820.2</v>
      </c>
      <c r="H1351" s="1">
        <v>44150</v>
      </c>
      <c r="I1351" s="1">
        <v>44158</v>
      </c>
      <c r="J1351" t="s">
        <v>56</v>
      </c>
      <c r="K1351">
        <v>9</v>
      </c>
      <c r="L1351">
        <v>24</v>
      </c>
      <c r="M1351" t="s">
        <v>49</v>
      </c>
      <c r="N1351">
        <v>1</v>
      </c>
    </row>
    <row r="1352" hidden="1" spans="1:14">
      <c r="A1352">
        <v>4998</v>
      </c>
      <c r="C1352" t="s">
        <v>358</v>
      </c>
      <c r="E1352">
        <v>28.8983</v>
      </c>
      <c r="F1352">
        <v>-3.64275</v>
      </c>
      <c r="G1352">
        <v>7329.61</v>
      </c>
      <c r="H1352" s="1">
        <v>44177</v>
      </c>
      <c r="I1352" s="1">
        <v>44182</v>
      </c>
      <c r="J1352" t="s">
        <v>56</v>
      </c>
      <c r="K1352">
        <v>4</v>
      </c>
      <c r="L1352">
        <v>0</v>
      </c>
      <c r="M1352" t="s">
        <v>52</v>
      </c>
      <c r="N1352">
        <v>1.5</v>
      </c>
    </row>
    <row r="1353" hidden="1" spans="1:14">
      <c r="A1353">
        <v>5002</v>
      </c>
      <c r="C1353" t="s">
        <v>358</v>
      </c>
      <c r="E1353">
        <v>15.3892</v>
      </c>
      <c r="F1353">
        <v>-4.98025</v>
      </c>
      <c r="G1353">
        <v>62296.98</v>
      </c>
      <c r="H1353" s="1">
        <v>44166</v>
      </c>
      <c r="I1353" s="1">
        <v>44175</v>
      </c>
      <c r="J1353" t="s">
        <v>56</v>
      </c>
      <c r="K1353">
        <v>18</v>
      </c>
      <c r="L1353">
        <v>0</v>
      </c>
      <c r="M1353" t="s">
        <v>49</v>
      </c>
      <c r="N1353">
        <v>1.5</v>
      </c>
    </row>
    <row r="1354" hidden="1" spans="1:14">
      <c r="A1354">
        <v>1328</v>
      </c>
      <c r="B1354">
        <v>0</v>
      </c>
      <c r="C1354" t="s">
        <v>361</v>
      </c>
      <c r="D1354">
        <v>0</v>
      </c>
      <c r="E1354">
        <v>16.0739</v>
      </c>
      <c r="F1354">
        <v>-5.06649</v>
      </c>
      <c r="G1354">
        <v>97718.77</v>
      </c>
      <c r="H1354" s="1">
        <v>35880</v>
      </c>
      <c r="I1354" s="1">
        <v>35881</v>
      </c>
      <c r="J1354" t="s">
        <v>15</v>
      </c>
      <c r="K1354">
        <v>8</v>
      </c>
      <c r="L1354">
        <v>0</v>
      </c>
      <c r="M1354" t="s">
        <v>18</v>
      </c>
      <c r="N1354">
        <v>1</v>
      </c>
    </row>
    <row r="1355" hidden="1" spans="1:14">
      <c r="A1355">
        <v>354</v>
      </c>
      <c r="B1355">
        <v>0</v>
      </c>
      <c r="C1355" t="s">
        <v>362</v>
      </c>
      <c r="D1355">
        <v>0</v>
      </c>
      <c r="E1355">
        <v>42.7015</v>
      </c>
      <c r="F1355">
        <v>11.6618</v>
      </c>
      <c r="G1355">
        <v>11889.5</v>
      </c>
      <c r="H1355" s="1">
        <v>32729</v>
      </c>
      <c r="I1355" s="1">
        <v>32745</v>
      </c>
      <c r="J1355" t="s">
        <v>15</v>
      </c>
      <c r="K1355">
        <v>0</v>
      </c>
      <c r="L1355">
        <v>0</v>
      </c>
      <c r="M1355" t="s">
        <v>16</v>
      </c>
      <c r="N1355">
        <v>1</v>
      </c>
    </row>
    <row r="1356" hidden="1" spans="1:14">
      <c r="A1356">
        <v>299</v>
      </c>
      <c r="B1356">
        <v>0</v>
      </c>
      <c r="C1356" t="s">
        <v>362</v>
      </c>
      <c r="D1356">
        <v>0</v>
      </c>
      <c r="E1356">
        <v>42.5836</v>
      </c>
      <c r="F1356">
        <v>11.6058</v>
      </c>
      <c r="G1356">
        <v>17356.28</v>
      </c>
      <c r="H1356" s="1">
        <v>32605</v>
      </c>
      <c r="I1356" s="1">
        <v>32610</v>
      </c>
      <c r="J1356" t="s">
        <v>15</v>
      </c>
      <c r="K1356">
        <v>9</v>
      </c>
      <c r="L1356">
        <v>150000</v>
      </c>
      <c r="M1356" t="s">
        <v>16</v>
      </c>
      <c r="N1356">
        <v>1</v>
      </c>
    </row>
    <row r="1357" hidden="1" spans="1:14">
      <c r="A1357">
        <v>922</v>
      </c>
      <c r="B1357">
        <v>0</v>
      </c>
      <c r="C1357" t="s">
        <v>362</v>
      </c>
      <c r="D1357">
        <v>0</v>
      </c>
      <c r="E1357">
        <v>42.6066</v>
      </c>
      <c r="F1357">
        <v>11.7781</v>
      </c>
      <c r="G1357">
        <v>20793.91</v>
      </c>
      <c r="H1357" s="1">
        <v>34655</v>
      </c>
      <c r="I1357" s="1">
        <v>34660</v>
      </c>
      <c r="J1357" t="s">
        <v>15</v>
      </c>
      <c r="K1357">
        <v>70</v>
      </c>
      <c r="L1357">
        <v>100000</v>
      </c>
      <c r="M1357" t="s">
        <v>16</v>
      </c>
      <c r="N1357">
        <v>1</v>
      </c>
    </row>
    <row r="1358" hidden="1" spans="1:14">
      <c r="A1358">
        <v>925</v>
      </c>
      <c r="B1358">
        <v>0</v>
      </c>
      <c r="C1358" t="s">
        <v>362</v>
      </c>
      <c r="D1358">
        <v>0</v>
      </c>
      <c r="E1358">
        <v>42.9549</v>
      </c>
      <c r="F1358">
        <v>11.3455</v>
      </c>
      <c r="G1358">
        <v>2677.27</v>
      </c>
      <c r="H1358" s="1">
        <v>34677</v>
      </c>
      <c r="I1358" s="1">
        <v>34683</v>
      </c>
      <c r="J1358" t="s">
        <v>15</v>
      </c>
      <c r="K1358">
        <v>40</v>
      </c>
      <c r="L1358">
        <v>100000</v>
      </c>
      <c r="M1358" t="s">
        <v>16</v>
      </c>
      <c r="N1358">
        <v>1</v>
      </c>
    </row>
    <row r="1359" hidden="1" spans="1:14">
      <c r="A1359">
        <v>2470</v>
      </c>
      <c r="B1359">
        <v>0</v>
      </c>
      <c r="C1359" t="s">
        <v>362</v>
      </c>
      <c r="D1359">
        <v>0</v>
      </c>
      <c r="E1359">
        <v>43.1004</v>
      </c>
      <c r="F1359">
        <v>11.486</v>
      </c>
      <c r="G1359">
        <v>375.433</v>
      </c>
      <c r="H1359" s="1">
        <v>38089</v>
      </c>
      <c r="I1359" s="1">
        <v>38093</v>
      </c>
      <c r="J1359" t="s">
        <v>15</v>
      </c>
      <c r="K1359">
        <v>53</v>
      </c>
      <c r="L1359">
        <v>2000</v>
      </c>
      <c r="M1359" t="s">
        <v>16</v>
      </c>
      <c r="N1359">
        <v>1</v>
      </c>
    </row>
    <row r="1360" hidden="1" spans="1:14">
      <c r="A1360">
        <v>4901</v>
      </c>
      <c r="C1360" t="s">
        <v>362</v>
      </c>
      <c r="E1360">
        <v>42.6804</v>
      </c>
      <c r="F1360">
        <v>11.6851</v>
      </c>
      <c r="G1360">
        <v>10321.78</v>
      </c>
      <c r="H1360" s="1">
        <v>43942</v>
      </c>
      <c r="I1360" s="1">
        <v>43947</v>
      </c>
      <c r="J1360" t="s">
        <v>56</v>
      </c>
      <c r="K1360">
        <v>8</v>
      </c>
      <c r="L1360">
        <v>0</v>
      </c>
      <c r="M1360" t="s">
        <v>52</v>
      </c>
      <c r="N1360">
        <v>2</v>
      </c>
    </row>
    <row r="1361" hidden="1" spans="1:14">
      <c r="A1361">
        <v>54</v>
      </c>
      <c r="B1361">
        <v>0</v>
      </c>
      <c r="C1361" t="s">
        <v>363</v>
      </c>
      <c r="D1361">
        <v>0</v>
      </c>
      <c r="E1361">
        <v>-71.7971</v>
      </c>
      <c r="F1361">
        <v>18.8752</v>
      </c>
      <c r="G1361">
        <v>7757.79</v>
      </c>
      <c r="H1361" s="1">
        <v>31304</v>
      </c>
      <c r="I1361" s="1">
        <v>31305</v>
      </c>
      <c r="J1361" t="s">
        <v>15</v>
      </c>
      <c r="K1361">
        <v>12</v>
      </c>
      <c r="L1361">
        <v>895</v>
      </c>
      <c r="M1361" t="s">
        <v>16</v>
      </c>
      <c r="N1361">
        <v>1</v>
      </c>
    </row>
    <row r="1362" hidden="1" spans="1:14">
      <c r="A1362">
        <v>1133</v>
      </c>
      <c r="B1362">
        <v>0</v>
      </c>
      <c r="C1362" t="s">
        <v>363</v>
      </c>
      <c r="D1362">
        <v>0</v>
      </c>
      <c r="E1362">
        <v>-70.8404</v>
      </c>
      <c r="F1362">
        <v>19.5692</v>
      </c>
      <c r="G1362">
        <v>6750.71</v>
      </c>
      <c r="H1362" s="1">
        <v>35386</v>
      </c>
      <c r="I1362" s="1">
        <v>35392</v>
      </c>
      <c r="J1362" t="s">
        <v>15</v>
      </c>
      <c r="K1362">
        <v>3</v>
      </c>
      <c r="L1362">
        <v>3000</v>
      </c>
      <c r="M1362" t="s">
        <v>103</v>
      </c>
      <c r="N1362">
        <v>1</v>
      </c>
    </row>
    <row r="1363" hidden="1" spans="1:14">
      <c r="A1363">
        <v>1446</v>
      </c>
      <c r="B1363">
        <v>0</v>
      </c>
      <c r="C1363" t="s">
        <v>363</v>
      </c>
      <c r="D1363" t="s">
        <v>364</v>
      </c>
      <c r="E1363">
        <v>-70.8401</v>
      </c>
      <c r="F1363">
        <v>18.6733</v>
      </c>
      <c r="G1363">
        <v>67469.38</v>
      </c>
      <c r="H1363" s="1">
        <v>36059</v>
      </c>
      <c r="I1363" s="1">
        <v>36060</v>
      </c>
      <c r="J1363" t="s">
        <v>15</v>
      </c>
      <c r="K1363">
        <v>353</v>
      </c>
      <c r="L1363">
        <v>11140</v>
      </c>
      <c r="M1363" t="s">
        <v>86</v>
      </c>
      <c r="N1363">
        <v>1</v>
      </c>
    </row>
    <row r="1364" hidden="1" spans="1:14">
      <c r="A1364">
        <v>1468</v>
      </c>
      <c r="B1364">
        <v>0</v>
      </c>
      <c r="C1364" t="s">
        <v>363</v>
      </c>
      <c r="D1364">
        <v>0</v>
      </c>
      <c r="E1364">
        <v>-70.7941</v>
      </c>
      <c r="F1364">
        <v>19.0446</v>
      </c>
      <c r="G1364">
        <v>32651.28</v>
      </c>
      <c r="H1364" s="1">
        <v>36109</v>
      </c>
      <c r="I1364" s="1">
        <v>36111</v>
      </c>
      <c r="J1364" t="s">
        <v>15</v>
      </c>
      <c r="K1364">
        <v>2</v>
      </c>
      <c r="L1364">
        <v>200</v>
      </c>
      <c r="M1364" t="s">
        <v>16</v>
      </c>
      <c r="N1364">
        <v>1</v>
      </c>
    </row>
    <row r="1365" hidden="1" spans="1:14">
      <c r="A1365">
        <v>1562</v>
      </c>
      <c r="B1365">
        <v>0</v>
      </c>
      <c r="C1365" t="s">
        <v>363</v>
      </c>
      <c r="D1365" t="s">
        <v>128</v>
      </c>
      <c r="E1365">
        <v>-70.9329</v>
      </c>
      <c r="F1365">
        <v>19.5038</v>
      </c>
      <c r="G1365">
        <v>55652.77</v>
      </c>
      <c r="H1365" s="1">
        <v>36455</v>
      </c>
      <c r="I1365" s="1">
        <v>36459</v>
      </c>
      <c r="J1365" t="s">
        <v>15</v>
      </c>
      <c r="K1365">
        <v>4</v>
      </c>
      <c r="L1365">
        <v>0</v>
      </c>
      <c r="M1365" t="s">
        <v>86</v>
      </c>
      <c r="N1365">
        <v>1</v>
      </c>
    </row>
    <row r="1366" hidden="1" spans="1:14">
      <c r="A1366">
        <v>2400</v>
      </c>
      <c r="B1366">
        <v>0</v>
      </c>
      <c r="C1366" t="s">
        <v>363</v>
      </c>
      <c r="D1366">
        <v>0</v>
      </c>
      <c r="E1366">
        <v>-70.3175</v>
      </c>
      <c r="F1366">
        <v>18.3702</v>
      </c>
      <c r="G1366">
        <v>7224.1</v>
      </c>
      <c r="H1366" s="1">
        <v>37961</v>
      </c>
      <c r="I1366" s="1">
        <v>37963</v>
      </c>
      <c r="J1366" t="s">
        <v>15</v>
      </c>
      <c r="K1366">
        <v>8</v>
      </c>
      <c r="L1366">
        <v>1000</v>
      </c>
      <c r="M1366" t="s">
        <v>103</v>
      </c>
      <c r="N1366">
        <v>1</v>
      </c>
    </row>
    <row r="1367" hidden="1" spans="1:14">
      <c r="A1367">
        <v>2486</v>
      </c>
      <c r="B1367">
        <v>0</v>
      </c>
      <c r="C1367" t="s">
        <v>363</v>
      </c>
      <c r="D1367" t="s">
        <v>364</v>
      </c>
      <c r="E1367">
        <v>-71.9034</v>
      </c>
      <c r="F1367">
        <v>18.5255</v>
      </c>
      <c r="G1367">
        <v>8904.89</v>
      </c>
      <c r="H1367" s="1">
        <v>38130</v>
      </c>
      <c r="I1367" s="1">
        <v>38139</v>
      </c>
      <c r="J1367" t="s">
        <v>15</v>
      </c>
      <c r="K1367">
        <v>3300</v>
      </c>
      <c r="L1367">
        <v>13000</v>
      </c>
      <c r="M1367" t="s">
        <v>16</v>
      </c>
      <c r="N1367">
        <v>1</v>
      </c>
    </row>
    <row r="1368" hidden="1" spans="1:14">
      <c r="A1368">
        <v>2840</v>
      </c>
      <c r="B1368">
        <v>0</v>
      </c>
      <c r="C1368" t="s">
        <v>363</v>
      </c>
      <c r="D1368">
        <v>0</v>
      </c>
      <c r="E1368">
        <v>-70.6918</v>
      </c>
      <c r="F1368">
        <v>19.4638</v>
      </c>
      <c r="G1368">
        <v>15650.91</v>
      </c>
      <c r="H1368" s="1">
        <v>38818</v>
      </c>
      <c r="I1368" s="1">
        <v>38822</v>
      </c>
      <c r="J1368" t="s">
        <v>15</v>
      </c>
      <c r="K1368">
        <v>1</v>
      </c>
      <c r="L1368">
        <v>0</v>
      </c>
      <c r="M1368" t="s">
        <v>16</v>
      </c>
      <c r="N1368">
        <v>1</v>
      </c>
    </row>
    <row r="1369" hidden="1" spans="1:14">
      <c r="A1369">
        <v>3089</v>
      </c>
      <c r="B1369">
        <v>0</v>
      </c>
      <c r="C1369" t="s">
        <v>363</v>
      </c>
      <c r="E1369">
        <v>-71.0538</v>
      </c>
      <c r="F1369">
        <v>19.5479</v>
      </c>
      <c r="G1369">
        <v>13536.47</v>
      </c>
      <c r="H1369" s="1">
        <v>39232</v>
      </c>
      <c r="I1369" s="1">
        <v>39236</v>
      </c>
      <c r="J1369" t="s">
        <v>15</v>
      </c>
      <c r="K1369">
        <v>11</v>
      </c>
      <c r="L1369">
        <v>20000</v>
      </c>
      <c r="M1369" t="s">
        <v>16</v>
      </c>
      <c r="N1369">
        <v>1</v>
      </c>
    </row>
    <row r="1370" hidden="1" spans="1:14">
      <c r="A1370">
        <v>3218</v>
      </c>
      <c r="B1370" t="s">
        <v>365</v>
      </c>
      <c r="C1370" t="s">
        <v>363</v>
      </c>
      <c r="E1370">
        <v>-70.3776</v>
      </c>
      <c r="F1370">
        <v>18.8777</v>
      </c>
      <c r="G1370">
        <v>89895.55</v>
      </c>
      <c r="H1370" s="1">
        <v>39383</v>
      </c>
      <c r="I1370" s="1">
        <v>39396</v>
      </c>
      <c r="J1370" t="s">
        <v>15</v>
      </c>
      <c r="K1370">
        <v>142</v>
      </c>
      <c r="L1370">
        <v>94000</v>
      </c>
      <c r="M1370" t="s">
        <v>86</v>
      </c>
      <c r="N1370">
        <v>1</v>
      </c>
    </row>
    <row r="1371" hidden="1" spans="1:14">
      <c r="A1371">
        <v>3239</v>
      </c>
      <c r="B1371" t="s">
        <v>366</v>
      </c>
      <c r="C1371" t="s">
        <v>363</v>
      </c>
      <c r="E1371">
        <v>-71.03</v>
      </c>
      <c r="F1371">
        <v>18.9316</v>
      </c>
      <c r="G1371">
        <v>34786.19</v>
      </c>
      <c r="H1371" s="1">
        <v>39427</v>
      </c>
      <c r="I1371" s="1">
        <v>39433</v>
      </c>
      <c r="J1371" t="s">
        <v>15</v>
      </c>
      <c r="K1371">
        <v>36</v>
      </c>
      <c r="L1371">
        <v>62000</v>
      </c>
      <c r="M1371" t="s">
        <v>86</v>
      </c>
      <c r="N1371">
        <v>1</v>
      </c>
    </row>
    <row r="1372" hidden="1" spans="1:14">
      <c r="A1372">
        <v>3362</v>
      </c>
      <c r="B1372">
        <v>0</v>
      </c>
      <c r="C1372" t="s">
        <v>363</v>
      </c>
      <c r="E1372">
        <v>-71.585</v>
      </c>
      <c r="F1372">
        <v>19.1607</v>
      </c>
      <c r="G1372">
        <v>37960.27</v>
      </c>
      <c r="H1372" s="1">
        <v>39676</v>
      </c>
      <c r="I1372" s="1">
        <v>39678</v>
      </c>
      <c r="J1372" t="s">
        <v>15</v>
      </c>
      <c r="K1372">
        <v>0</v>
      </c>
      <c r="L1372">
        <v>0</v>
      </c>
      <c r="M1372" t="s">
        <v>367</v>
      </c>
      <c r="N1372">
        <v>1.5</v>
      </c>
    </row>
    <row r="1373" hidden="1" spans="1:14">
      <c r="A1373">
        <v>3435</v>
      </c>
      <c r="B1373">
        <v>0</v>
      </c>
      <c r="C1373" t="s">
        <v>363</v>
      </c>
      <c r="D1373">
        <v>0</v>
      </c>
      <c r="E1373">
        <v>-70.1394</v>
      </c>
      <c r="F1373">
        <v>19.3268</v>
      </c>
      <c r="G1373">
        <v>14541.8</v>
      </c>
      <c r="H1373" s="1">
        <v>39836</v>
      </c>
      <c r="I1373" s="1">
        <v>39839</v>
      </c>
      <c r="J1373" t="s">
        <v>15</v>
      </c>
      <c r="K1373">
        <v>11</v>
      </c>
      <c r="L1373">
        <v>0</v>
      </c>
      <c r="M1373" t="s">
        <v>39</v>
      </c>
      <c r="N1373">
        <v>1</v>
      </c>
    </row>
    <row r="1374" hidden="1" spans="1:14">
      <c r="A1374">
        <v>3446</v>
      </c>
      <c r="B1374" t="s">
        <v>368</v>
      </c>
      <c r="C1374" t="s">
        <v>363</v>
      </c>
      <c r="D1374">
        <v>0</v>
      </c>
      <c r="E1374">
        <v>-70.0833</v>
      </c>
      <c r="F1374">
        <v>19.2809</v>
      </c>
      <c r="G1374">
        <v>15152.49</v>
      </c>
      <c r="H1374" s="1">
        <v>39845</v>
      </c>
      <c r="I1374" s="1">
        <v>39856</v>
      </c>
      <c r="J1374" t="s">
        <v>15</v>
      </c>
      <c r="K1374">
        <v>24</v>
      </c>
      <c r="L1374">
        <v>2000</v>
      </c>
      <c r="M1374" t="s">
        <v>49</v>
      </c>
      <c r="N1374">
        <v>1.5</v>
      </c>
    </row>
    <row r="1375" hidden="1" spans="1:14">
      <c r="A1375">
        <v>3605</v>
      </c>
      <c r="B1375">
        <v>0</v>
      </c>
      <c r="C1375" t="s">
        <v>363</v>
      </c>
      <c r="D1375">
        <v>0</v>
      </c>
      <c r="E1375">
        <v>-70.5612</v>
      </c>
      <c r="F1375">
        <v>19.627</v>
      </c>
      <c r="G1375">
        <v>2791.39</v>
      </c>
      <c r="H1375" s="1">
        <v>40223</v>
      </c>
      <c r="I1375" s="1">
        <v>40224</v>
      </c>
      <c r="J1375">
        <v>0</v>
      </c>
      <c r="K1375">
        <v>0</v>
      </c>
      <c r="L1375">
        <v>150</v>
      </c>
      <c r="M1375" t="s">
        <v>52</v>
      </c>
      <c r="N1375">
        <v>1</v>
      </c>
    </row>
    <row r="1376" hidden="1" spans="1:14">
      <c r="A1376">
        <v>3670</v>
      </c>
      <c r="B1376" t="s">
        <v>369</v>
      </c>
      <c r="C1376" t="s">
        <v>363</v>
      </c>
      <c r="D1376">
        <v>0</v>
      </c>
      <c r="E1376">
        <v>-70.3928</v>
      </c>
      <c r="F1376">
        <v>19.2545</v>
      </c>
      <c r="G1376">
        <v>15731.6</v>
      </c>
      <c r="H1376" s="1">
        <v>40354</v>
      </c>
      <c r="I1376" s="1">
        <v>40356</v>
      </c>
      <c r="J1376">
        <v>0</v>
      </c>
      <c r="K1376">
        <v>0</v>
      </c>
      <c r="L1376">
        <v>0</v>
      </c>
      <c r="M1376" t="s">
        <v>52</v>
      </c>
      <c r="N1376">
        <v>1</v>
      </c>
    </row>
    <row r="1377" hidden="1" spans="1:14">
      <c r="A1377">
        <v>3836</v>
      </c>
      <c r="C1377" t="s">
        <v>363</v>
      </c>
      <c r="D1377" t="s">
        <v>364</v>
      </c>
      <c r="E1377">
        <v>-70.9765</v>
      </c>
      <c r="F1377">
        <v>18.855</v>
      </c>
      <c r="G1377">
        <v>43197.43</v>
      </c>
      <c r="H1377" s="1">
        <v>40726</v>
      </c>
      <c r="I1377" s="1">
        <v>40730</v>
      </c>
      <c r="J1377" t="s">
        <v>15</v>
      </c>
      <c r="K1377">
        <v>4</v>
      </c>
      <c r="L1377">
        <v>4000</v>
      </c>
      <c r="M1377" t="s">
        <v>49</v>
      </c>
      <c r="N1377">
        <v>1.5</v>
      </c>
    </row>
    <row r="1378" hidden="1" spans="1:14">
      <c r="A1378">
        <v>3848</v>
      </c>
      <c r="C1378" t="s">
        <v>363</v>
      </c>
      <c r="D1378" t="s">
        <v>364</v>
      </c>
      <c r="E1378">
        <v>-70.4897</v>
      </c>
      <c r="F1378">
        <v>19.1316</v>
      </c>
      <c r="G1378">
        <v>28022.38</v>
      </c>
      <c r="H1378" s="1">
        <v>40758</v>
      </c>
      <c r="I1378" s="1">
        <v>40764</v>
      </c>
      <c r="J1378" t="s">
        <v>15</v>
      </c>
      <c r="K1378">
        <v>3</v>
      </c>
      <c r="L1378">
        <v>7000</v>
      </c>
      <c r="M1378" t="s">
        <v>370</v>
      </c>
      <c r="N1378">
        <v>1.5</v>
      </c>
    </row>
    <row r="1379" hidden="1" spans="1:14">
      <c r="A1379">
        <v>4180</v>
      </c>
      <c r="C1379" t="s">
        <v>363</v>
      </c>
      <c r="E1379">
        <v>-69.754</v>
      </c>
      <c r="F1379">
        <v>19.0682</v>
      </c>
      <c r="G1379">
        <v>13399.5</v>
      </c>
      <c r="H1379" s="1">
        <v>41871</v>
      </c>
      <c r="I1379" s="1">
        <v>41886</v>
      </c>
      <c r="J1379" t="s">
        <v>15</v>
      </c>
      <c r="K1379">
        <v>0</v>
      </c>
      <c r="L1379">
        <v>4000</v>
      </c>
      <c r="M1379" t="s">
        <v>371</v>
      </c>
      <c r="N1379">
        <v>1</v>
      </c>
    </row>
    <row r="1380" hidden="1" spans="1:14">
      <c r="A1380">
        <v>4227</v>
      </c>
      <c r="C1380" t="s">
        <v>363</v>
      </c>
      <c r="E1380">
        <v>-69.8035</v>
      </c>
      <c r="F1380">
        <v>19.3285</v>
      </c>
      <c r="G1380">
        <v>11588.13</v>
      </c>
      <c r="H1380" s="1">
        <v>42055</v>
      </c>
      <c r="I1380" s="1">
        <v>42059</v>
      </c>
      <c r="J1380" t="s">
        <v>15</v>
      </c>
      <c r="K1380">
        <v>0</v>
      </c>
      <c r="L1380">
        <v>12000</v>
      </c>
      <c r="M1380" t="s">
        <v>49</v>
      </c>
      <c r="N1380">
        <v>1</v>
      </c>
    </row>
    <row r="1381" hidden="1" spans="1:14">
      <c r="A1381">
        <v>4354</v>
      </c>
      <c r="C1381" t="s">
        <v>363</v>
      </c>
      <c r="D1381" t="s">
        <v>364</v>
      </c>
      <c r="E1381">
        <v>-71.1644</v>
      </c>
      <c r="F1381">
        <v>18.9942</v>
      </c>
      <c r="G1381">
        <v>23311.63</v>
      </c>
      <c r="H1381" s="1">
        <v>42498</v>
      </c>
      <c r="I1381" s="1">
        <v>42501</v>
      </c>
      <c r="J1381" t="s">
        <v>181</v>
      </c>
      <c r="K1381">
        <v>5</v>
      </c>
      <c r="L1381">
        <v>3000</v>
      </c>
      <c r="M1381" t="s">
        <v>49</v>
      </c>
      <c r="N1381">
        <v>1.5</v>
      </c>
    </row>
    <row r="1382" hidden="1" spans="1:14">
      <c r="A1382">
        <v>4416</v>
      </c>
      <c r="C1382" t="s">
        <v>363</v>
      </c>
      <c r="E1382">
        <v>-70.1252</v>
      </c>
      <c r="F1382">
        <v>18.9199</v>
      </c>
      <c r="G1382">
        <v>30798.38</v>
      </c>
      <c r="H1382" s="1">
        <v>42681</v>
      </c>
      <c r="I1382" s="1">
        <v>42684</v>
      </c>
      <c r="J1382" t="s">
        <v>15</v>
      </c>
      <c r="K1382">
        <v>0</v>
      </c>
      <c r="L1382">
        <v>20000</v>
      </c>
      <c r="M1382" t="s">
        <v>49</v>
      </c>
      <c r="N1382">
        <v>1</v>
      </c>
    </row>
    <row r="1383" hidden="1" spans="1:14">
      <c r="A1383">
        <v>4467</v>
      </c>
      <c r="C1383" t="s">
        <v>363</v>
      </c>
      <c r="D1383" t="s">
        <v>364</v>
      </c>
      <c r="E1383">
        <v>-69.853</v>
      </c>
      <c r="F1383">
        <v>18.9198</v>
      </c>
      <c r="G1383">
        <v>24676.67</v>
      </c>
      <c r="H1383" s="1">
        <v>42848</v>
      </c>
      <c r="I1383" s="1">
        <v>42857</v>
      </c>
      <c r="J1383" t="s">
        <v>15</v>
      </c>
      <c r="K1383">
        <v>0</v>
      </c>
      <c r="L1383">
        <v>17145</v>
      </c>
      <c r="M1383" t="s">
        <v>52</v>
      </c>
      <c r="N1383">
        <v>1.5</v>
      </c>
    </row>
    <row r="1384" hidden="1" spans="1:14">
      <c r="A1384">
        <v>4593</v>
      </c>
      <c r="C1384" t="s">
        <v>363</v>
      </c>
      <c r="E1384">
        <v>-70.9541</v>
      </c>
      <c r="F1384">
        <v>19.6636</v>
      </c>
      <c r="G1384">
        <v>3227.68</v>
      </c>
      <c r="H1384" s="1">
        <v>43174</v>
      </c>
      <c r="I1384" s="1">
        <v>43179</v>
      </c>
      <c r="J1384" t="s">
        <v>56</v>
      </c>
      <c r="K1384">
        <v>0</v>
      </c>
      <c r="L1384">
        <v>0</v>
      </c>
      <c r="M1384" t="s">
        <v>52</v>
      </c>
      <c r="N1384">
        <v>1.5</v>
      </c>
    </row>
    <row r="1385" hidden="1" spans="1:14">
      <c r="A1385">
        <v>4647</v>
      </c>
      <c r="C1385" t="s">
        <v>363</v>
      </c>
      <c r="D1385" t="s">
        <v>128</v>
      </c>
      <c r="E1385">
        <v>-69.7045</v>
      </c>
      <c r="F1385">
        <v>19.0183</v>
      </c>
      <c r="G1385">
        <v>21589.73</v>
      </c>
      <c r="H1385" s="1">
        <v>43290</v>
      </c>
      <c r="I1385" s="1">
        <v>43292</v>
      </c>
      <c r="J1385" t="s">
        <v>56</v>
      </c>
      <c r="K1385">
        <v>0</v>
      </c>
      <c r="L1385">
        <v>8000</v>
      </c>
      <c r="M1385" t="s">
        <v>372</v>
      </c>
      <c r="N1385">
        <v>1</v>
      </c>
    </row>
    <row r="1386" hidden="1" spans="1:14">
      <c r="A1386">
        <v>134</v>
      </c>
      <c r="B1386">
        <v>0</v>
      </c>
      <c r="C1386" t="s">
        <v>373</v>
      </c>
      <c r="D1386">
        <v>0</v>
      </c>
      <c r="E1386">
        <v>-71.0321</v>
      </c>
      <c r="F1386">
        <v>18.5812</v>
      </c>
      <c r="G1386">
        <v>7875.83</v>
      </c>
      <c r="H1386" s="1">
        <v>31927</v>
      </c>
      <c r="I1386" s="1">
        <v>31928</v>
      </c>
      <c r="J1386" t="s">
        <v>15</v>
      </c>
      <c r="K1386">
        <v>10</v>
      </c>
      <c r="L1386">
        <v>200</v>
      </c>
      <c r="M1386" t="s">
        <v>16</v>
      </c>
      <c r="N1386">
        <v>1</v>
      </c>
    </row>
    <row r="1387" hidden="1" spans="1:14">
      <c r="A1387">
        <v>164</v>
      </c>
      <c r="B1387">
        <v>0</v>
      </c>
      <c r="C1387" t="s">
        <v>373</v>
      </c>
      <c r="D1387">
        <v>0</v>
      </c>
      <c r="E1387">
        <v>-70.4315</v>
      </c>
      <c r="F1387">
        <v>19.321</v>
      </c>
      <c r="G1387">
        <v>10489.39</v>
      </c>
      <c r="H1387" s="1">
        <v>32174</v>
      </c>
      <c r="I1387" s="1">
        <v>32175</v>
      </c>
      <c r="J1387" t="s">
        <v>15</v>
      </c>
      <c r="K1387">
        <v>4</v>
      </c>
      <c r="L1387">
        <v>2000</v>
      </c>
      <c r="M1387" t="s">
        <v>16</v>
      </c>
      <c r="N1387">
        <v>1</v>
      </c>
    </row>
    <row r="1388" hidden="1" spans="1:14">
      <c r="A1388">
        <v>1875</v>
      </c>
      <c r="B1388">
        <v>0</v>
      </c>
      <c r="C1388" t="s">
        <v>374</v>
      </c>
      <c r="D1388">
        <v>0</v>
      </c>
      <c r="E1388">
        <v>29.1292</v>
      </c>
      <c r="F1388">
        <v>-3.31867</v>
      </c>
      <c r="G1388">
        <v>203.165</v>
      </c>
      <c r="H1388" s="1">
        <v>37293</v>
      </c>
      <c r="I1388" s="1">
        <v>37295</v>
      </c>
      <c r="J1388" t="s">
        <v>15</v>
      </c>
      <c r="K1388">
        <v>40</v>
      </c>
      <c r="L1388">
        <v>2500</v>
      </c>
      <c r="M1388" t="s">
        <v>16</v>
      </c>
      <c r="N1388">
        <v>1</v>
      </c>
    </row>
    <row r="1389" hidden="1" spans="1:14">
      <c r="A1389">
        <v>2993</v>
      </c>
      <c r="B1389">
        <v>0</v>
      </c>
      <c r="C1389" t="s">
        <v>374</v>
      </c>
      <c r="D1389">
        <v>0</v>
      </c>
      <c r="E1389">
        <v>27.0595</v>
      </c>
      <c r="F1389">
        <v>-7.06781</v>
      </c>
      <c r="G1389">
        <v>1071.67</v>
      </c>
      <c r="H1389" s="1">
        <v>39036</v>
      </c>
      <c r="I1389" s="1">
        <v>39039</v>
      </c>
      <c r="J1389" t="s">
        <v>15</v>
      </c>
      <c r="K1389">
        <v>8</v>
      </c>
      <c r="L1389">
        <v>0</v>
      </c>
      <c r="M1389" t="s">
        <v>16</v>
      </c>
      <c r="N1389">
        <v>1</v>
      </c>
    </row>
    <row r="1390" hidden="1" spans="1:14">
      <c r="A1390">
        <v>2998</v>
      </c>
      <c r="B1390">
        <v>0</v>
      </c>
      <c r="C1390" t="s">
        <v>374</v>
      </c>
      <c r="D1390">
        <v>0</v>
      </c>
      <c r="E1390">
        <v>24.3386</v>
      </c>
      <c r="F1390">
        <v>0.807445</v>
      </c>
      <c r="G1390">
        <v>126509.25</v>
      </c>
      <c r="H1390" s="1">
        <v>39045</v>
      </c>
      <c r="I1390" s="1">
        <v>39066</v>
      </c>
      <c r="J1390" t="s">
        <v>15</v>
      </c>
      <c r="K1390">
        <v>0</v>
      </c>
      <c r="L1390">
        <v>26000</v>
      </c>
      <c r="M1390" t="s">
        <v>16</v>
      </c>
      <c r="N1390">
        <v>1</v>
      </c>
    </row>
    <row r="1391" hidden="1" spans="1:14">
      <c r="A1391">
        <v>1728</v>
      </c>
      <c r="B1391">
        <v>0</v>
      </c>
      <c r="C1391" t="s">
        <v>375</v>
      </c>
      <c r="D1391">
        <v>0</v>
      </c>
      <c r="E1391">
        <v>15.4341</v>
      </c>
      <c r="F1391">
        <v>-4.16936</v>
      </c>
      <c r="G1391">
        <v>2392.12</v>
      </c>
      <c r="H1391" s="1">
        <v>37029</v>
      </c>
      <c r="I1391" s="1">
        <v>37029</v>
      </c>
      <c r="J1391" t="s">
        <v>15</v>
      </c>
      <c r="K1391">
        <v>30</v>
      </c>
      <c r="L1391">
        <v>0</v>
      </c>
      <c r="M1391" t="s">
        <v>16</v>
      </c>
      <c r="N1391">
        <v>1</v>
      </c>
    </row>
    <row r="1392" hidden="1" spans="1:14">
      <c r="A1392">
        <v>2255</v>
      </c>
      <c r="B1392">
        <v>0</v>
      </c>
      <c r="C1392" t="s">
        <v>376</v>
      </c>
      <c r="D1392">
        <v>0</v>
      </c>
      <c r="E1392">
        <v>125.657</v>
      </c>
      <c r="F1392">
        <v>-9.01219</v>
      </c>
      <c r="G1392">
        <v>12934.64</v>
      </c>
      <c r="H1392" s="1">
        <v>37788</v>
      </c>
      <c r="I1392" s="1">
        <v>37792</v>
      </c>
      <c r="J1392" t="s">
        <v>15</v>
      </c>
      <c r="K1392">
        <v>2</v>
      </c>
      <c r="L1392">
        <v>600</v>
      </c>
      <c r="M1392" t="s">
        <v>23</v>
      </c>
      <c r="N1392">
        <v>1</v>
      </c>
    </row>
    <row r="1393" hidden="1" spans="1:14">
      <c r="A1393">
        <v>1738</v>
      </c>
      <c r="B1393">
        <v>0</v>
      </c>
      <c r="C1393" t="s">
        <v>377</v>
      </c>
      <c r="D1393">
        <v>0</v>
      </c>
      <c r="E1393">
        <v>126.949</v>
      </c>
      <c r="F1393">
        <v>-8.39564</v>
      </c>
      <c r="G1393">
        <v>373.969</v>
      </c>
      <c r="H1393" s="1">
        <v>37062</v>
      </c>
      <c r="I1393" s="1">
        <v>37065</v>
      </c>
      <c r="J1393" t="s">
        <v>15</v>
      </c>
      <c r="K1393">
        <v>1</v>
      </c>
      <c r="L1393">
        <v>400</v>
      </c>
      <c r="M1393" t="s">
        <v>16</v>
      </c>
      <c r="N1393">
        <v>1</v>
      </c>
    </row>
    <row r="1394" hidden="1" spans="1:14">
      <c r="A1394">
        <v>492</v>
      </c>
      <c r="B1394">
        <v>0</v>
      </c>
      <c r="C1394" t="s">
        <v>322</v>
      </c>
      <c r="D1394">
        <v>0</v>
      </c>
      <c r="E1394">
        <v>-79.6533</v>
      </c>
      <c r="F1394">
        <v>-1.31926</v>
      </c>
      <c r="G1394">
        <v>114114.99</v>
      </c>
      <c r="H1394" s="1">
        <v>33271</v>
      </c>
      <c r="I1394" s="1">
        <v>33277</v>
      </c>
      <c r="J1394" t="s">
        <v>15</v>
      </c>
      <c r="K1394">
        <v>14</v>
      </c>
      <c r="L1394">
        <v>300</v>
      </c>
      <c r="M1394" t="s">
        <v>16</v>
      </c>
      <c r="N1394">
        <v>1</v>
      </c>
    </row>
    <row r="1395" hidden="1" spans="1:14">
      <c r="A1395">
        <v>637</v>
      </c>
      <c r="B1395">
        <v>0</v>
      </c>
      <c r="C1395" t="s">
        <v>322</v>
      </c>
      <c r="D1395">
        <v>0</v>
      </c>
      <c r="E1395">
        <v>-79.5078</v>
      </c>
      <c r="F1395">
        <v>-1.794</v>
      </c>
      <c r="G1395">
        <v>109522.16</v>
      </c>
      <c r="H1395" s="1">
        <v>33687</v>
      </c>
      <c r="I1395" s="1">
        <v>33732</v>
      </c>
      <c r="J1395" t="s">
        <v>15</v>
      </c>
      <c r="K1395">
        <v>22</v>
      </c>
      <c r="L1395">
        <v>10000</v>
      </c>
      <c r="M1395" t="s">
        <v>16</v>
      </c>
      <c r="N1395">
        <v>1</v>
      </c>
    </row>
    <row r="1396" hidden="1" spans="1:14">
      <c r="A1396">
        <v>886</v>
      </c>
      <c r="B1396">
        <v>0</v>
      </c>
      <c r="C1396" t="s">
        <v>322</v>
      </c>
      <c r="D1396">
        <v>0</v>
      </c>
      <c r="E1396">
        <v>-78.9872</v>
      </c>
      <c r="F1396">
        <v>-2.21514</v>
      </c>
      <c r="G1396">
        <v>39018.9</v>
      </c>
      <c r="H1396" s="1">
        <v>34566</v>
      </c>
      <c r="I1396" s="1">
        <v>34570</v>
      </c>
      <c r="J1396" t="s">
        <v>15</v>
      </c>
      <c r="K1396">
        <v>5</v>
      </c>
      <c r="L1396">
        <v>500</v>
      </c>
      <c r="M1396" t="s">
        <v>16</v>
      </c>
      <c r="N1396">
        <v>1</v>
      </c>
    </row>
    <row r="1397" hidden="1" spans="1:14">
      <c r="A1397">
        <v>1214</v>
      </c>
      <c r="B1397">
        <v>0</v>
      </c>
      <c r="C1397" t="s">
        <v>322</v>
      </c>
      <c r="D1397">
        <v>0</v>
      </c>
      <c r="E1397">
        <v>-80.1618</v>
      </c>
      <c r="F1397">
        <v>-2.75775</v>
      </c>
      <c r="G1397">
        <v>25946.27</v>
      </c>
      <c r="H1397" s="1">
        <v>35498</v>
      </c>
      <c r="I1397" s="1">
        <v>35513</v>
      </c>
      <c r="J1397" t="s">
        <v>15</v>
      </c>
      <c r="K1397">
        <v>12</v>
      </c>
      <c r="L1397">
        <v>1000</v>
      </c>
      <c r="M1397" t="s">
        <v>16</v>
      </c>
      <c r="N1397">
        <v>1</v>
      </c>
    </row>
    <row r="1398" hidden="1" spans="1:14">
      <c r="A1398">
        <v>1287</v>
      </c>
      <c r="B1398">
        <v>0</v>
      </c>
      <c r="C1398" t="s">
        <v>322</v>
      </c>
      <c r="D1398">
        <v>0</v>
      </c>
      <c r="E1398">
        <v>-79.7529</v>
      </c>
      <c r="F1398">
        <v>-1.66383</v>
      </c>
      <c r="G1398">
        <v>119920.44</v>
      </c>
      <c r="H1398" s="1">
        <v>35735</v>
      </c>
      <c r="I1398" s="1">
        <v>35764</v>
      </c>
      <c r="J1398" t="s">
        <v>15</v>
      </c>
      <c r="K1398">
        <v>27</v>
      </c>
      <c r="L1398">
        <v>10000</v>
      </c>
      <c r="M1398" t="s">
        <v>16</v>
      </c>
      <c r="N1398">
        <v>1</v>
      </c>
    </row>
    <row r="1399" hidden="1" spans="1:14">
      <c r="A1399">
        <v>1890</v>
      </c>
      <c r="B1399">
        <v>0</v>
      </c>
      <c r="C1399" t="s">
        <v>322</v>
      </c>
      <c r="D1399">
        <v>0</v>
      </c>
      <c r="E1399">
        <v>-80.0304</v>
      </c>
      <c r="F1399">
        <v>-1.74037</v>
      </c>
      <c r="G1399">
        <v>71519.2</v>
      </c>
      <c r="H1399" s="1">
        <v>37321</v>
      </c>
      <c r="I1399" s="1">
        <v>37375</v>
      </c>
      <c r="J1399" t="s">
        <v>15</v>
      </c>
      <c r="K1399">
        <v>28</v>
      </c>
      <c r="L1399">
        <v>6000</v>
      </c>
      <c r="M1399" t="s">
        <v>16</v>
      </c>
      <c r="N1399">
        <v>1</v>
      </c>
    </row>
    <row r="1400" hidden="1" spans="1:14">
      <c r="A1400">
        <v>2802</v>
      </c>
      <c r="B1400" t="s">
        <v>378</v>
      </c>
      <c r="C1400" t="s">
        <v>322</v>
      </c>
      <c r="D1400">
        <v>0</v>
      </c>
      <c r="E1400">
        <v>-79.9807</v>
      </c>
      <c r="F1400">
        <v>-2.23169</v>
      </c>
      <c r="G1400">
        <v>61414.58</v>
      </c>
      <c r="H1400" s="1">
        <v>38764</v>
      </c>
      <c r="I1400" s="1">
        <v>38843</v>
      </c>
      <c r="J1400" t="s">
        <v>15</v>
      </c>
      <c r="K1400">
        <v>17</v>
      </c>
      <c r="L1400">
        <v>55000</v>
      </c>
      <c r="M1400" t="s">
        <v>16</v>
      </c>
      <c r="N1400">
        <v>1</v>
      </c>
    </row>
    <row r="1401" hidden="1" spans="1:14">
      <c r="A1401">
        <v>3263</v>
      </c>
      <c r="B1401" t="s">
        <v>379</v>
      </c>
      <c r="C1401" t="s">
        <v>322</v>
      </c>
      <c r="D1401">
        <v>0</v>
      </c>
      <c r="E1401">
        <v>-79.6578</v>
      </c>
      <c r="F1401">
        <v>-1.24729</v>
      </c>
      <c r="G1401">
        <v>75830.05</v>
      </c>
      <c r="H1401" s="1">
        <v>39477</v>
      </c>
      <c r="I1401" s="1">
        <v>39569</v>
      </c>
      <c r="J1401" t="s">
        <v>15</v>
      </c>
      <c r="K1401">
        <v>51</v>
      </c>
      <c r="L1401">
        <v>265000</v>
      </c>
      <c r="M1401" t="s">
        <v>16</v>
      </c>
      <c r="N1401">
        <v>2</v>
      </c>
    </row>
    <row r="1402" hidden="1" spans="1:14">
      <c r="A1402">
        <v>3910</v>
      </c>
      <c r="C1402" t="s">
        <v>322</v>
      </c>
      <c r="E1402">
        <v>-79.4951</v>
      </c>
      <c r="F1402">
        <v>-0.5987</v>
      </c>
      <c r="G1402">
        <v>39793.06</v>
      </c>
      <c r="H1402" s="1">
        <v>40969</v>
      </c>
      <c r="I1402" s="1">
        <v>40994</v>
      </c>
      <c r="J1402" t="s">
        <v>15</v>
      </c>
      <c r="K1402">
        <v>10</v>
      </c>
      <c r="L1402">
        <v>4700</v>
      </c>
      <c r="M1402" t="s">
        <v>49</v>
      </c>
      <c r="N1402">
        <v>1.5</v>
      </c>
    </row>
    <row r="1403" hidden="1" spans="1:14">
      <c r="A1403">
        <v>4326</v>
      </c>
      <c r="C1403" t="s">
        <v>322</v>
      </c>
      <c r="D1403" t="s">
        <v>311</v>
      </c>
      <c r="E1403">
        <v>-79.7009</v>
      </c>
      <c r="F1403">
        <v>-0.786333</v>
      </c>
      <c r="G1403">
        <v>69541.98</v>
      </c>
      <c r="H1403" s="1">
        <v>42388</v>
      </c>
      <c r="I1403" s="1">
        <v>42398</v>
      </c>
      <c r="J1403" t="s">
        <v>15</v>
      </c>
      <c r="K1403">
        <v>7</v>
      </c>
      <c r="L1403">
        <v>2300</v>
      </c>
      <c r="M1403" t="s">
        <v>52</v>
      </c>
      <c r="N1403">
        <v>1.5</v>
      </c>
    </row>
    <row r="1404" hidden="1" spans="1:14">
      <c r="A1404">
        <v>4706</v>
      </c>
      <c r="C1404" t="s">
        <v>322</v>
      </c>
      <c r="E1404">
        <v>-77.7214</v>
      </c>
      <c r="F1404">
        <v>-1.48156</v>
      </c>
      <c r="G1404">
        <v>70607.79</v>
      </c>
      <c r="H1404" s="1">
        <v>43428</v>
      </c>
      <c r="I1404" s="1">
        <v>43432</v>
      </c>
      <c r="J1404" t="s">
        <v>56</v>
      </c>
      <c r="K1404">
        <v>9</v>
      </c>
      <c r="L1404">
        <v>150</v>
      </c>
      <c r="M1404" t="s">
        <v>49</v>
      </c>
      <c r="N1404">
        <v>1</v>
      </c>
    </row>
    <row r="1405" hidden="1" spans="1:14">
      <c r="A1405">
        <v>4722</v>
      </c>
      <c r="C1405" t="s">
        <v>322</v>
      </c>
      <c r="E1405">
        <v>-77.9688</v>
      </c>
      <c r="F1405">
        <v>-1.23336</v>
      </c>
      <c r="G1405">
        <v>68561.57</v>
      </c>
      <c r="H1405" s="1">
        <v>43505</v>
      </c>
      <c r="I1405" s="1">
        <v>43516</v>
      </c>
      <c r="J1405" t="s">
        <v>56</v>
      </c>
      <c r="K1405">
        <v>0</v>
      </c>
      <c r="L1405">
        <v>0</v>
      </c>
      <c r="M1405" t="s">
        <v>49</v>
      </c>
      <c r="N1405">
        <v>1</v>
      </c>
    </row>
    <row r="1406" hidden="1" spans="1:14">
      <c r="A1406">
        <v>4815</v>
      </c>
      <c r="C1406" t="s">
        <v>322</v>
      </c>
      <c r="E1406">
        <v>-76.8306</v>
      </c>
      <c r="F1406">
        <v>-1.5563</v>
      </c>
      <c r="G1406">
        <v>47965.6</v>
      </c>
      <c r="H1406" s="1">
        <v>43758</v>
      </c>
      <c r="I1406" s="1">
        <v>43775</v>
      </c>
      <c r="J1406" t="s">
        <v>56</v>
      </c>
      <c r="K1406">
        <v>1</v>
      </c>
      <c r="L1406">
        <v>100</v>
      </c>
      <c r="M1406" t="s">
        <v>49</v>
      </c>
      <c r="N1406">
        <v>1</v>
      </c>
    </row>
    <row r="1407" hidden="1" spans="1:14">
      <c r="A1407">
        <v>4918</v>
      </c>
      <c r="C1407" t="s">
        <v>322</v>
      </c>
      <c r="E1407">
        <v>-77.9936</v>
      </c>
      <c r="F1407">
        <v>-2.68377</v>
      </c>
      <c r="G1407">
        <v>24825.78</v>
      </c>
      <c r="H1407" s="1">
        <v>43967</v>
      </c>
      <c r="I1407" s="1">
        <v>43970</v>
      </c>
      <c r="J1407" t="s">
        <v>56</v>
      </c>
      <c r="K1407">
        <v>2</v>
      </c>
      <c r="L1407">
        <v>15</v>
      </c>
      <c r="M1407" t="s">
        <v>49</v>
      </c>
      <c r="N1407">
        <v>1</v>
      </c>
    </row>
    <row r="1408" hidden="1" spans="1:14">
      <c r="A1408">
        <v>4997</v>
      </c>
      <c r="C1408" t="s">
        <v>322</v>
      </c>
      <c r="E1408">
        <v>-78.5132</v>
      </c>
      <c r="F1408">
        <v>-2.27455</v>
      </c>
      <c r="G1408">
        <v>31228.69</v>
      </c>
      <c r="H1408" s="1">
        <v>44190</v>
      </c>
      <c r="I1408" s="1">
        <v>44194</v>
      </c>
      <c r="J1408" t="s">
        <v>56</v>
      </c>
      <c r="K1408">
        <v>0</v>
      </c>
      <c r="L1408">
        <v>0</v>
      </c>
      <c r="M1408" t="s">
        <v>49</v>
      </c>
      <c r="N1408">
        <v>1</v>
      </c>
    </row>
    <row r="1409" hidden="1" spans="1:14">
      <c r="A1409">
        <v>124</v>
      </c>
      <c r="B1409">
        <v>0</v>
      </c>
      <c r="C1409" t="s">
        <v>380</v>
      </c>
      <c r="D1409">
        <v>0</v>
      </c>
      <c r="E1409">
        <v>-77.4907</v>
      </c>
      <c r="F1409">
        <v>-0.131721</v>
      </c>
      <c r="G1409">
        <v>31908.09</v>
      </c>
      <c r="H1409" s="1">
        <v>31841</v>
      </c>
      <c r="I1409" s="1">
        <v>31843</v>
      </c>
      <c r="J1409" t="s">
        <v>15</v>
      </c>
      <c r="K1409">
        <v>300</v>
      </c>
      <c r="L1409">
        <v>15000</v>
      </c>
      <c r="M1409" t="s">
        <v>25</v>
      </c>
      <c r="N1409">
        <v>1</v>
      </c>
    </row>
    <row r="1410" hidden="1" spans="1:14">
      <c r="A1410">
        <v>128</v>
      </c>
      <c r="B1410">
        <v>0</v>
      </c>
      <c r="C1410" t="s">
        <v>381</v>
      </c>
      <c r="D1410">
        <v>0</v>
      </c>
      <c r="E1410">
        <v>-79.4853</v>
      </c>
      <c r="F1410">
        <v>-2.54852</v>
      </c>
      <c r="G1410">
        <v>15796.42</v>
      </c>
      <c r="H1410" s="1">
        <v>31870</v>
      </c>
      <c r="I1410" s="1">
        <v>31872</v>
      </c>
      <c r="J1410" t="s">
        <v>15</v>
      </c>
      <c r="K1410">
        <v>100</v>
      </c>
      <c r="L1410">
        <v>3000</v>
      </c>
      <c r="M1410" t="s">
        <v>64</v>
      </c>
      <c r="N1410">
        <v>1</v>
      </c>
    </row>
    <row r="1411" hidden="1" spans="1:14">
      <c r="A1411">
        <v>735</v>
      </c>
      <c r="B1411">
        <v>0</v>
      </c>
      <c r="C1411" t="s">
        <v>381</v>
      </c>
      <c r="D1411">
        <v>0</v>
      </c>
      <c r="E1411">
        <v>-78.9145</v>
      </c>
      <c r="F1411">
        <v>-2.88189</v>
      </c>
      <c r="G1411">
        <v>2470.84</v>
      </c>
      <c r="H1411" s="1">
        <v>34074</v>
      </c>
      <c r="I1411" s="1">
        <v>34074</v>
      </c>
      <c r="J1411" t="s">
        <v>15</v>
      </c>
      <c r="K1411">
        <v>77</v>
      </c>
      <c r="L1411">
        <v>25000</v>
      </c>
      <c r="M1411" t="s">
        <v>64</v>
      </c>
      <c r="N1411">
        <v>1</v>
      </c>
    </row>
    <row r="1412" hidden="1" spans="1:14">
      <c r="A1412">
        <v>1704</v>
      </c>
      <c r="B1412">
        <v>0</v>
      </c>
      <c r="C1412" t="s">
        <v>381</v>
      </c>
      <c r="D1412">
        <v>0</v>
      </c>
      <c r="E1412">
        <v>-80.1188</v>
      </c>
      <c r="F1412">
        <v>-0.713264</v>
      </c>
      <c r="G1412">
        <v>2306.25</v>
      </c>
      <c r="H1412" s="1">
        <v>36958</v>
      </c>
      <c r="I1412" s="1">
        <v>36960</v>
      </c>
      <c r="J1412" t="s">
        <v>15</v>
      </c>
      <c r="K1412">
        <v>11</v>
      </c>
      <c r="L1412">
        <v>1200</v>
      </c>
      <c r="M1412" t="s">
        <v>18</v>
      </c>
      <c r="N1412">
        <v>1</v>
      </c>
    </row>
    <row r="1413" hidden="1" spans="1:14">
      <c r="A1413">
        <v>1734</v>
      </c>
      <c r="B1413">
        <v>0</v>
      </c>
      <c r="C1413" t="s">
        <v>381</v>
      </c>
      <c r="D1413">
        <v>0</v>
      </c>
      <c r="E1413">
        <v>-79.0662</v>
      </c>
      <c r="F1413">
        <v>-4.62266</v>
      </c>
      <c r="G1413">
        <v>3656.59</v>
      </c>
      <c r="H1413" s="1">
        <v>37053</v>
      </c>
      <c r="I1413" s="1">
        <v>37062</v>
      </c>
      <c r="J1413" t="s">
        <v>15</v>
      </c>
      <c r="K1413">
        <v>41</v>
      </c>
      <c r="L1413">
        <v>8000</v>
      </c>
      <c r="M1413" t="s">
        <v>16</v>
      </c>
      <c r="N1413">
        <v>1</v>
      </c>
    </row>
    <row r="1414" hidden="1" spans="1:14">
      <c r="A1414">
        <v>602</v>
      </c>
      <c r="B1414">
        <v>0</v>
      </c>
      <c r="C1414" t="s">
        <v>382</v>
      </c>
      <c r="D1414">
        <v>0</v>
      </c>
      <c r="E1414">
        <v>30.049</v>
      </c>
      <c r="F1414">
        <v>30.7101</v>
      </c>
      <c r="G1414">
        <v>3165.39</v>
      </c>
      <c r="H1414" s="1">
        <v>33577</v>
      </c>
      <c r="I1414" s="1">
        <v>33578</v>
      </c>
      <c r="J1414" t="s">
        <v>15</v>
      </c>
      <c r="K1414">
        <v>0</v>
      </c>
      <c r="L1414">
        <v>6000</v>
      </c>
      <c r="M1414" t="s">
        <v>25</v>
      </c>
      <c r="N1414">
        <v>1</v>
      </c>
    </row>
    <row r="1415" hidden="1" spans="1:14">
      <c r="A1415">
        <v>915</v>
      </c>
      <c r="B1415">
        <v>0</v>
      </c>
      <c r="C1415" t="s">
        <v>382</v>
      </c>
      <c r="D1415">
        <v>0</v>
      </c>
      <c r="E1415">
        <v>31.925</v>
      </c>
      <c r="F1415">
        <v>26.3341</v>
      </c>
      <c r="G1415">
        <v>44072.06</v>
      </c>
      <c r="H1415" s="1">
        <v>34640</v>
      </c>
      <c r="I1415" s="1">
        <v>34646</v>
      </c>
      <c r="J1415" t="s">
        <v>15</v>
      </c>
      <c r="K1415">
        <v>593</v>
      </c>
      <c r="L1415">
        <v>100000</v>
      </c>
      <c r="M1415" t="s">
        <v>16</v>
      </c>
      <c r="N1415">
        <v>2</v>
      </c>
    </row>
    <row r="1416" hidden="1" spans="1:14">
      <c r="A1416">
        <v>1131</v>
      </c>
      <c r="B1416">
        <v>0</v>
      </c>
      <c r="C1416" t="s">
        <v>382</v>
      </c>
      <c r="D1416">
        <v>0</v>
      </c>
      <c r="E1416">
        <v>32.7554</v>
      </c>
      <c r="F1416">
        <v>25.8386</v>
      </c>
      <c r="G1416">
        <v>37943.47</v>
      </c>
      <c r="H1416" s="1">
        <v>35382</v>
      </c>
      <c r="I1416" s="1">
        <v>35394</v>
      </c>
      <c r="J1416" t="s">
        <v>15</v>
      </c>
      <c r="K1416">
        <v>23</v>
      </c>
      <c r="L1416">
        <v>1050</v>
      </c>
      <c r="M1416" t="s">
        <v>49</v>
      </c>
      <c r="N1416">
        <v>1</v>
      </c>
    </row>
    <row r="1417" hidden="1" spans="1:14">
      <c r="A1417">
        <v>1217</v>
      </c>
      <c r="B1417">
        <v>0</v>
      </c>
      <c r="C1417" t="s">
        <v>382</v>
      </c>
      <c r="D1417">
        <v>0</v>
      </c>
      <c r="E1417">
        <v>30.6766</v>
      </c>
      <c r="F1417">
        <v>30.4282</v>
      </c>
      <c r="G1417">
        <v>68464.63</v>
      </c>
      <c r="H1417" s="1">
        <v>35491</v>
      </c>
      <c r="I1417" s="1">
        <v>35493</v>
      </c>
      <c r="J1417" t="s">
        <v>15</v>
      </c>
      <c r="K1417">
        <v>4</v>
      </c>
      <c r="L1417">
        <v>0</v>
      </c>
      <c r="M1417" t="s">
        <v>16</v>
      </c>
      <c r="N1417">
        <v>1</v>
      </c>
    </row>
    <row r="1418" hidden="1" spans="1:14">
      <c r="A1418">
        <v>1278</v>
      </c>
      <c r="B1418">
        <v>0</v>
      </c>
      <c r="C1418" t="s">
        <v>382</v>
      </c>
      <c r="D1418">
        <v>0</v>
      </c>
      <c r="E1418">
        <v>32.5751</v>
      </c>
      <c r="F1418">
        <v>26.5269</v>
      </c>
      <c r="G1418">
        <v>307644.01</v>
      </c>
      <c r="H1418" s="1">
        <v>35720</v>
      </c>
      <c r="I1418" s="1">
        <v>35726</v>
      </c>
      <c r="J1418" t="s">
        <v>15</v>
      </c>
      <c r="K1418">
        <v>12</v>
      </c>
      <c r="L1418">
        <v>0</v>
      </c>
      <c r="M1418" t="s">
        <v>16</v>
      </c>
      <c r="N1418">
        <v>1</v>
      </c>
    </row>
    <row r="1419" hidden="1" spans="1:14">
      <c r="A1419">
        <v>1294</v>
      </c>
      <c r="B1419">
        <v>0</v>
      </c>
      <c r="C1419" t="s">
        <v>382</v>
      </c>
      <c r="D1419">
        <v>0</v>
      </c>
      <c r="E1419">
        <v>32.2236</v>
      </c>
      <c r="F1419">
        <v>29.6688</v>
      </c>
      <c r="G1419">
        <v>113068.3</v>
      </c>
      <c r="H1419" s="1">
        <v>35774</v>
      </c>
      <c r="I1419" s="1">
        <v>35778</v>
      </c>
      <c r="J1419" t="s">
        <v>15</v>
      </c>
      <c r="K1419">
        <v>4</v>
      </c>
      <c r="L1419">
        <v>0</v>
      </c>
      <c r="M1419" t="s">
        <v>16</v>
      </c>
      <c r="N1419">
        <v>1</v>
      </c>
    </row>
    <row r="1420" hidden="1" spans="1:14">
      <c r="A1420">
        <v>1891</v>
      </c>
      <c r="B1420">
        <v>0</v>
      </c>
      <c r="C1420" t="s">
        <v>382</v>
      </c>
      <c r="D1420">
        <v>0</v>
      </c>
      <c r="E1420">
        <v>35.4677</v>
      </c>
      <c r="F1420">
        <v>23.1932</v>
      </c>
      <c r="G1420">
        <v>564.33</v>
      </c>
      <c r="H1420" s="1">
        <v>37324</v>
      </c>
      <c r="I1420" s="1">
        <v>37326</v>
      </c>
      <c r="J1420" t="s">
        <v>15</v>
      </c>
      <c r="K1420">
        <v>4</v>
      </c>
      <c r="L1420">
        <v>800</v>
      </c>
      <c r="M1420" t="s">
        <v>16</v>
      </c>
      <c r="N1420">
        <v>1</v>
      </c>
    </row>
    <row r="1421" hidden="1" spans="1:14">
      <c r="A1421">
        <v>3594</v>
      </c>
      <c r="B1421" t="s">
        <v>383</v>
      </c>
      <c r="C1421" t="s">
        <v>382</v>
      </c>
      <c r="E1421">
        <v>31.0895</v>
      </c>
      <c r="F1421">
        <v>28.077</v>
      </c>
      <c r="G1421">
        <v>226050.59</v>
      </c>
      <c r="H1421" s="1">
        <v>40196</v>
      </c>
      <c r="I1421" s="1">
        <v>40197</v>
      </c>
      <c r="J1421">
        <v>0</v>
      </c>
      <c r="K1421">
        <v>10</v>
      </c>
      <c r="L1421">
        <v>7000</v>
      </c>
      <c r="M1421" t="s">
        <v>52</v>
      </c>
      <c r="N1421">
        <v>1.5</v>
      </c>
    </row>
    <row r="1422" hidden="1" spans="1:14">
      <c r="A1422">
        <v>4305</v>
      </c>
      <c r="C1422" t="s">
        <v>382</v>
      </c>
      <c r="E1422">
        <v>30.4819</v>
      </c>
      <c r="F1422">
        <v>31.0422</v>
      </c>
      <c r="G1422">
        <v>8231.84</v>
      </c>
      <c r="H1422" s="1">
        <v>42301</v>
      </c>
      <c r="I1422" s="1">
        <v>42305</v>
      </c>
      <c r="J1422" t="s">
        <v>15</v>
      </c>
      <c r="K1422">
        <v>0</v>
      </c>
      <c r="L1422">
        <v>6</v>
      </c>
      <c r="M1422" t="s">
        <v>52</v>
      </c>
      <c r="N1422">
        <v>1.5</v>
      </c>
    </row>
    <row r="1423" hidden="1" spans="1:14">
      <c r="A1423">
        <v>4411</v>
      </c>
      <c r="B1423" t="s">
        <v>384</v>
      </c>
      <c r="C1423" t="s">
        <v>382</v>
      </c>
      <c r="E1423">
        <v>34.7625</v>
      </c>
      <c r="F1423">
        <v>24.3954</v>
      </c>
      <c r="G1423">
        <v>28260.17</v>
      </c>
      <c r="H1423" s="1">
        <v>42671</v>
      </c>
      <c r="I1423" s="1">
        <v>42681</v>
      </c>
      <c r="J1423" t="s">
        <v>15</v>
      </c>
      <c r="K1423">
        <v>22</v>
      </c>
      <c r="L1423">
        <v>0</v>
      </c>
      <c r="M1423" t="s">
        <v>52</v>
      </c>
      <c r="N1423">
        <v>1.5</v>
      </c>
    </row>
    <row r="1424" hidden="1" spans="1:14">
      <c r="A1424">
        <v>4881</v>
      </c>
      <c r="C1424" t="s">
        <v>382</v>
      </c>
      <c r="E1424">
        <v>30.7541</v>
      </c>
      <c r="F1424">
        <v>29.0213</v>
      </c>
      <c r="G1424">
        <v>22124.19</v>
      </c>
      <c r="H1424" s="1">
        <v>43902</v>
      </c>
      <c r="I1424" s="1">
        <v>43905</v>
      </c>
      <c r="J1424" t="s">
        <v>56</v>
      </c>
      <c r="K1424">
        <v>5</v>
      </c>
      <c r="L1424">
        <v>0</v>
      </c>
      <c r="M1424" t="s">
        <v>49</v>
      </c>
      <c r="N1424">
        <v>1</v>
      </c>
    </row>
    <row r="1425" hidden="1" spans="1:14">
      <c r="A1425">
        <v>701</v>
      </c>
      <c r="B1425">
        <v>0</v>
      </c>
      <c r="C1425" t="s">
        <v>385</v>
      </c>
      <c r="D1425" t="s">
        <v>386</v>
      </c>
      <c r="E1425">
        <v>-98.3441</v>
      </c>
      <c r="F1425">
        <v>19.0255</v>
      </c>
      <c r="G1425">
        <v>94598.52</v>
      </c>
      <c r="H1425" s="1">
        <v>33875</v>
      </c>
      <c r="I1425" s="1">
        <v>33879</v>
      </c>
      <c r="J1425" t="s">
        <v>15</v>
      </c>
      <c r="K1425">
        <v>7</v>
      </c>
      <c r="L1425">
        <v>8000</v>
      </c>
      <c r="M1425" t="s">
        <v>16</v>
      </c>
      <c r="N1425">
        <v>1</v>
      </c>
    </row>
    <row r="1426" hidden="1" spans="1:14">
      <c r="A1426">
        <v>1011</v>
      </c>
      <c r="B1426">
        <v>0</v>
      </c>
      <c r="C1426" t="s">
        <v>385</v>
      </c>
      <c r="D1426">
        <v>0</v>
      </c>
      <c r="E1426">
        <v>-88.8253</v>
      </c>
      <c r="F1426">
        <v>13.7105</v>
      </c>
      <c r="G1426">
        <v>18228.56</v>
      </c>
      <c r="H1426" s="1">
        <v>34969</v>
      </c>
      <c r="I1426" s="1">
        <v>34984</v>
      </c>
      <c r="J1426" t="s">
        <v>15</v>
      </c>
      <c r="K1426">
        <v>8</v>
      </c>
      <c r="L1426">
        <v>10000</v>
      </c>
      <c r="M1426" t="s">
        <v>16</v>
      </c>
      <c r="N1426">
        <v>1</v>
      </c>
    </row>
    <row r="1427" hidden="1" spans="1:14">
      <c r="A1427">
        <v>1247</v>
      </c>
      <c r="B1427">
        <v>0</v>
      </c>
      <c r="C1427" t="s">
        <v>385</v>
      </c>
      <c r="D1427">
        <v>0</v>
      </c>
      <c r="E1427">
        <v>-88.4334</v>
      </c>
      <c r="F1427">
        <v>13.4435</v>
      </c>
      <c r="G1427">
        <v>3052.89</v>
      </c>
      <c r="H1427" s="1">
        <v>35587</v>
      </c>
      <c r="I1427" s="1">
        <v>35590</v>
      </c>
      <c r="J1427" t="s">
        <v>15</v>
      </c>
      <c r="K1427">
        <v>4</v>
      </c>
      <c r="L1427">
        <v>0</v>
      </c>
      <c r="M1427" t="s">
        <v>86</v>
      </c>
      <c r="N1427">
        <v>1</v>
      </c>
    </row>
    <row r="1428" hidden="1" spans="1:14">
      <c r="A1428">
        <v>2677</v>
      </c>
      <c r="B1428">
        <v>0</v>
      </c>
      <c r="C1428" t="s">
        <v>385</v>
      </c>
      <c r="D1428" t="s">
        <v>386</v>
      </c>
      <c r="E1428">
        <v>-88.1982</v>
      </c>
      <c r="F1428">
        <v>13.9466</v>
      </c>
      <c r="G1428">
        <v>35359.18</v>
      </c>
      <c r="H1428" s="1">
        <v>38527</v>
      </c>
      <c r="I1428" s="1">
        <v>38530</v>
      </c>
      <c r="J1428" t="s">
        <v>15</v>
      </c>
      <c r="K1428">
        <v>41</v>
      </c>
      <c r="L1428">
        <v>1500</v>
      </c>
      <c r="M1428" t="s">
        <v>16</v>
      </c>
      <c r="N1428">
        <v>1</v>
      </c>
    </row>
    <row r="1429" hidden="1" spans="1:14">
      <c r="A1429">
        <v>2744</v>
      </c>
      <c r="B1429">
        <v>0</v>
      </c>
      <c r="C1429" t="s">
        <v>385</v>
      </c>
      <c r="D1429" t="s">
        <v>387</v>
      </c>
      <c r="E1429">
        <v>-89.5951</v>
      </c>
      <c r="F1429">
        <v>13.9797</v>
      </c>
      <c r="G1429">
        <v>211256.78</v>
      </c>
      <c r="H1429" s="1">
        <v>38626</v>
      </c>
      <c r="I1429" s="1">
        <v>38641</v>
      </c>
      <c r="J1429" t="s">
        <v>15</v>
      </c>
      <c r="K1429">
        <v>2000</v>
      </c>
      <c r="L1429">
        <v>250000</v>
      </c>
      <c r="M1429" t="s">
        <v>86</v>
      </c>
      <c r="N1429">
        <v>2</v>
      </c>
    </row>
    <row r="1430" hidden="1" spans="1:14">
      <c r="A1430">
        <v>3090</v>
      </c>
      <c r="B1430">
        <v>0</v>
      </c>
      <c r="C1430" t="s">
        <v>385</v>
      </c>
      <c r="D1430">
        <v>0</v>
      </c>
      <c r="E1430">
        <v>-88.6205</v>
      </c>
      <c r="F1430">
        <v>13.3836</v>
      </c>
      <c r="G1430">
        <v>4514.95</v>
      </c>
      <c r="H1430" s="1">
        <v>39232</v>
      </c>
      <c r="I1430" s="1">
        <v>39233</v>
      </c>
      <c r="J1430" t="s">
        <v>15</v>
      </c>
      <c r="K1430">
        <v>4</v>
      </c>
      <c r="L1430">
        <v>0</v>
      </c>
      <c r="M1430" t="s">
        <v>86</v>
      </c>
      <c r="N1430">
        <v>1</v>
      </c>
    </row>
    <row r="1431" hidden="1" spans="1:14">
      <c r="A1431">
        <v>3563</v>
      </c>
      <c r="B1431" t="s">
        <v>388</v>
      </c>
      <c r="C1431" t="s">
        <v>385</v>
      </c>
      <c r="D1431">
        <v>0</v>
      </c>
      <c r="E1431">
        <v>-89.0023</v>
      </c>
      <c r="F1431">
        <v>13.7691</v>
      </c>
      <c r="G1431">
        <v>5541.42</v>
      </c>
      <c r="H1431" s="1">
        <v>40124</v>
      </c>
      <c r="I1431" s="1">
        <v>40126</v>
      </c>
      <c r="J1431">
        <v>0</v>
      </c>
      <c r="K1431">
        <v>192</v>
      </c>
      <c r="L1431">
        <v>35000</v>
      </c>
      <c r="M1431" t="s">
        <v>49</v>
      </c>
      <c r="N1431">
        <v>2</v>
      </c>
    </row>
    <row r="1432" hidden="1" spans="1:14">
      <c r="A1432">
        <v>4928</v>
      </c>
      <c r="C1432" t="s">
        <v>385</v>
      </c>
      <c r="D1432" t="s">
        <v>387</v>
      </c>
      <c r="E1432">
        <v>-89.623</v>
      </c>
      <c r="F1432">
        <v>17.3911</v>
      </c>
      <c r="G1432">
        <v>253817.46</v>
      </c>
      <c r="H1432" s="1">
        <v>43984</v>
      </c>
      <c r="I1432" s="1">
        <v>43985</v>
      </c>
      <c r="J1432" t="s">
        <v>389</v>
      </c>
      <c r="K1432">
        <v>0</v>
      </c>
      <c r="L1432">
        <v>0</v>
      </c>
      <c r="M1432" t="s">
        <v>371</v>
      </c>
      <c r="N1432">
        <v>1.5</v>
      </c>
    </row>
    <row r="1433" hidden="1" spans="1:14">
      <c r="A1433">
        <v>1552</v>
      </c>
      <c r="B1433">
        <v>0</v>
      </c>
      <c r="C1433" t="s">
        <v>390</v>
      </c>
      <c r="D1433">
        <v>0</v>
      </c>
      <c r="E1433">
        <v>-90.5833</v>
      </c>
      <c r="F1433">
        <v>14.8768</v>
      </c>
      <c r="G1433">
        <v>19146.13</v>
      </c>
      <c r="H1433" s="1">
        <v>36413</v>
      </c>
      <c r="I1433" s="1">
        <v>36416</v>
      </c>
      <c r="J1433" t="s">
        <v>15</v>
      </c>
      <c r="K1433">
        <v>4</v>
      </c>
      <c r="L1433">
        <v>5000</v>
      </c>
      <c r="M1433" t="s">
        <v>16</v>
      </c>
      <c r="N1433">
        <v>1</v>
      </c>
    </row>
    <row r="1434" hidden="1" spans="1:14">
      <c r="A1434">
        <v>1633</v>
      </c>
      <c r="B1434">
        <v>0</v>
      </c>
      <c r="C1434" t="s">
        <v>390</v>
      </c>
      <c r="D1434">
        <v>0</v>
      </c>
      <c r="E1434">
        <v>-88.6266</v>
      </c>
      <c r="F1434">
        <v>13.7974</v>
      </c>
      <c r="G1434">
        <v>8638.21</v>
      </c>
      <c r="H1434" s="1">
        <v>36774</v>
      </c>
      <c r="I1434" s="1">
        <v>36777</v>
      </c>
      <c r="J1434" t="s">
        <v>15</v>
      </c>
      <c r="K1434">
        <v>2</v>
      </c>
      <c r="L1434">
        <v>400</v>
      </c>
      <c r="M1434" t="s">
        <v>16</v>
      </c>
      <c r="N1434">
        <v>1</v>
      </c>
    </row>
    <row r="1435" hidden="1" spans="1:14">
      <c r="A1435">
        <v>1730</v>
      </c>
      <c r="B1435">
        <v>0</v>
      </c>
      <c r="C1435" t="s">
        <v>390</v>
      </c>
      <c r="D1435">
        <v>0</v>
      </c>
      <c r="E1435">
        <v>-89.1824</v>
      </c>
      <c r="F1435">
        <v>13.7261</v>
      </c>
      <c r="G1435">
        <v>158.746</v>
      </c>
      <c r="H1435" s="1">
        <v>37036</v>
      </c>
      <c r="I1435" s="1">
        <v>37041</v>
      </c>
      <c r="J1435" t="s">
        <v>15</v>
      </c>
      <c r="K1435">
        <v>2</v>
      </c>
      <c r="L1435">
        <v>0</v>
      </c>
      <c r="M1435" t="s">
        <v>16</v>
      </c>
      <c r="N1435">
        <v>1</v>
      </c>
    </row>
    <row r="1436" hidden="1" spans="1:14">
      <c r="A1436">
        <v>237</v>
      </c>
      <c r="B1436">
        <v>0</v>
      </c>
      <c r="C1436" t="s">
        <v>391</v>
      </c>
      <c r="D1436">
        <v>0</v>
      </c>
      <c r="E1436">
        <v>-88.8546</v>
      </c>
      <c r="F1436">
        <v>13.6283</v>
      </c>
      <c r="G1436">
        <v>17910.11</v>
      </c>
      <c r="H1436" s="1">
        <v>32380</v>
      </c>
      <c r="I1436" s="1">
        <v>32384</v>
      </c>
      <c r="J1436" t="s">
        <v>15</v>
      </c>
      <c r="K1436">
        <v>50</v>
      </c>
      <c r="L1436">
        <v>25850</v>
      </c>
      <c r="M1436" t="s">
        <v>16</v>
      </c>
      <c r="N1436">
        <v>1</v>
      </c>
    </row>
    <row r="1437" hidden="1" spans="1:14">
      <c r="A1437">
        <v>485</v>
      </c>
      <c r="B1437">
        <v>0</v>
      </c>
      <c r="C1437" t="s">
        <v>392</v>
      </c>
      <c r="D1437">
        <v>0</v>
      </c>
      <c r="E1437">
        <v>-2.14882</v>
      </c>
      <c r="F1437">
        <v>53.7195</v>
      </c>
      <c r="G1437">
        <v>47107.46</v>
      </c>
      <c r="H1437" s="1">
        <v>33232</v>
      </c>
      <c r="I1437" s="1">
        <v>33235</v>
      </c>
      <c r="J1437" t="s">
        <v>15</v>
      </c>
      <c r="K1437">
        <v>3</v>
      </c>
      <c r="L1437">
        <v>0</v>
      </c>
      <c r="M1437" t="s">
        <v>16</v>
      </c>
      <c r="N1437">
        <v>1</v>
      </c>
    </row>
    <row r="1438" hidden="1" spans="1:14">
      <c r="A1438">
        <v>669</v>
      </c>
      <c r="B1438">
        <v>0</v>
      </c>
      <c r="C1438" t="s">
        <v>392</v>
      </c>
      <c r="D1438">
        <v>0</v>
      </c>
      <c r="E1438">
        <v>-0.349411</v>
      </c>
      <c r="F1438">
        <v>50.9783</v>
      </c>
      <c r="G1438">
        <v>15062.72</v>
      </c>
      <c r="H1438" s="1">
        <v>33805</v>
      </c>
      <c r="I1438" s="1">
        <v>33805</v>
      </c>
      <c r="J1438" t="s">
        <v>15</v>
      </c>
      <c r="K1438">
        <v>0</v>
      </c>
      <c r="L1438">
        <v>120</v>
      </c>
      <c r="M1438" t="s">
        <v>16</v>
      </c>
      <c r="N1438">
        <v>1</v>
      </c>
    </row>
    <row r="1439" hidden="1" spans="1:14">
      <c r="A1439">
        <v>677</v>
      </c>
      <c r="B1439">
        <v>0</v>
      </c>
      <c r="C1439" t="s">
        <v>392</v>
      </c>
      <c r="D1439">
        <v>0</v>
      </c>
      <c r="E1439">
        <v>-0.827224</v>
      </c>
      <c r="F1439">
        <v>52.7319</v>
      </c>
      <c r="G1439">
        <v>23847.54</v>
      </c>
      <c r="H1439" s="1">
        <v>33825</v>
      </c>
      <c r="I1439" s="1">
        <v>33825</v>
      </c>
      <c r="J1439" t="s">
        <v>15</v>
      </c>
      <c r="K1439">
        <v>9</v>
      </c>
      <c r="L1439">
        <v>0</v>
      </c>
      <c r="M1439" t="s">
        <v>16</v>
      </c>
      <c r="N1439">
        <v>2</v>
      </c>
    </row>
    <row r="1440" hidden="1" spans="1:14">
      <c r="A1440">
        <v>708</v>
      </c>
      <c r="B1440">
        <v>0</v>
      </c>
      <c r="C1440" t="s">
        <v>392</v>
      </c>
      <c r="D1440">
        <v>0</v>
      </c>
      <c r="E1440">
        <v>-0.054612</v>
      </c>
      <c r="F1440">
        <v>51.7363</v>
      </c>
      <c r="G1440">
        <v>12300</v>
      </c>
      <c r="H1440" s="1">
        <v>33897</v>
      </c>
      <c r="I1440" s="1">
        <v>33898</v>
      </c>
      <c r="J1440" t="s">
        <v>15</v>
      </c>
      <c r="K1440">
        <v>3</v>
      </c>
      <c r="L1440">
        <v>0</v>
      </c>
      <c r="M1440" t="s">
        <v>16</v>
      </c>
      <c r="N1440">
        <v>1</v>
      </c>
    </row>
    <row r="1441" hidden="1" spans="1:14">
      <c r="A1441">
        <v>2309</v>
      </c>
      <c r="B1441">
        <v>0</v>
      </c>
      <c r="C1441" t="s">
        <v>393</v>
      </c>
      <c r="D1441">
        <v>0</v>
      </c>
      <c r="E1441">
        <v>27.3605</v>
      </c>
      <c r="F1441">
        <v>59.1934</v>
      </c>
      <c r="G1441">
        <v>3162.75</v>
      </c>
      <c r="H1441" s="1">
        <v>37838</v>
      </c>
      <c r="I1441" s="1">
        <v>37839</v>
      </c>
      <c r="J1441" t="s">
        <v>15</v>
      </c>
      <c r="K1441">
        <v>0</v>
      </c>
      <c r="L1441">
        <v>0</v>
      </c>
      <c r="M1441" t="s">
        <v>16</v>
      </c>
      <c r="N1441">
        <v>1</v>
      </c>
    </row>
    <row r="1442" hidden="1" spans="1:14">
      <c r="A1442">
        <v>43</v>
      </c>
      <c r="B1442">
        <v>0</v>
      </c>
      <c r="C1442" t="s">
        <v>394</v>
      </c>
      <c r="D1442">
        <v>0</v>
      </c>
      <c r="E1442">
        <v>39.7851</v>
      </c>
      <c r="F1442">
        <v>11.0514</v>
      </c>
      <c r="G1442">
        <v>92580.07</v>
      </c>
      <c r="H1442" s="1">
        <v>31276</v>
      </c>
      <c r="I1442" s="1">
        <v>31278</v>
      </c>
      <c r="J1442" t="s">
        <v>15</v>
      </c>
      <c r="K1442">
        <v>0</v>
      </c>
      <c r="L1442">
        <v>8000</v>
      </c>
      <c r="M1442" t="s">
        <v>16</v>
      </c>
      <c r="N1442">
        <v>1</v>
      </c>
    </row>
    <row r="1443" hidden="1" spans="1:14">
      <c r="A1443">
        <v>455</v>
      </c>
      <c r="B1443">
        <v>0</v>
      </c>
      <c r="C1443" t="s">
        <v>394</v>
      </c>
      <c r="D1443">
        <v>0</v>
      </c>
      <c r="E1443">
        <v>35.1973</v>
      </c>
      <c r="F1443">
        <v>7.00329</v>
      </c>
      <c r="G1443">
        <v>167068.59</v>
      </c>
      <c r="H1443" s="1">
        <v>33112</v>
      </c>
      <c r="I1443" s="1">
        <v>33117</v>
      </c>
      <c r="J1443" t="s">
        <v>15</v>
      </c>
      <c r="K1443">
        <v>0</v>
      </c>
      <c r="L1443">
        <v>50300</v>
      </c>
      <c r="M1443" t="s">
        <v>16</v>
      </c>
      <c r="N1443">
        <v>1</v>
      </c>
    </row>
    <row r="1444" hidden="1" spans="1:14">
      <c r="A1444">
        <v>550</v>
      </c>
      <c r="B1444">
        <v>0</v>
      </c>
      <c r="C1444" t="s">
        <v>394</v>
      </c>
      <c r="D1444">
        <v>0</v>
      </c>
      <c r="E1444">
        <v>41.1624</v>
      </c>
      <c r="F1444">
        <v>14.1556</v>
      </c>
      <c r="G1444">
        <v>54883.35</v>
      </c>
      <c r="H1444" s="1">
        <v>33444</v>
      </c>
      <c r="I1444" s="1">
        <v>33445</v>
      </c>
      <c r="J1444" t="s">
        <v>15</v>
      </c>
      <c r="K1444">
        <v>2</v>
      </c>
      <c r="L1444">
        <v>0</v>
      </c>
      <c r="M1444" t="s">
        <v>16</v>
      </c>
      <c r="N1444">
        <v>1</v>
      </c>
    </row>
    <row r="1445" hidden="1" spans="1:14">
      <c r="A1445">
        <v>696</v>
      </c>
      <c r="B1445">
        <v>0</v>
      </c>
      <c r="C1445" t="s">
        <v>394</v>
      </c>
      <c r="D1445">
        <v>0</v>
      </c>
      <c r="E1445">
        <v>35.8071</v>
      </c>
      <c r="F1445">
        <v>7.11522</v>
      </c>
      <c r="G1445">
        <v>87638.04</v>
      </c>
      <c r="H1445" s="1">
        <v>33867</v>
      </c>
      <c r="I1445" s="1">
        <v>33871</v>
      </c>
      <c r="J1445" t="s">
        <v>15</v>
      </c>
      <c r="K1445">
        <v>0</v>
      </c>
      <c r="L1445">
        <v>300</v>
      </c>
      <c r="M1445" t="s">
        <v>16</v>
      </c>
      <c r="N1445">
        <v>1</v>
      </c>
    </row>
    <row r="1446" hidden="1" spans="1:14">
      <c r="A1446">
        <v>870</v>
      </c>
      <c r="B1446">
        <v>0</v>
      </c>
      <c r="C1446" t="s">
        <v>394</v>
      </c>
      <c r="D1446">
        <v>0</v>
      </c>
      <c r="E1446">
        <v>40.9756</v>
      </c>
      <c r="F1446">
        <v>11.6671</v>
      </c>
      <c r="G1446">
        <v>20898.85</v>
      </c>
      <c r="H1446" s="1">
        <v>34543</v>
      </c>
      <c r="I1446" s="1">
        <v>34549</v>
      </c>
      <c r="J1446" t="s">
        <v>15</v>
      </c>
      <c r="K1446">
        <v>4</v>
      </c>
      <c r="L1446">
        <v>30000</v>
      </c>
      <c r="M1446" t="s">
        <v>16</v>
      </c>
      <c r="N1446">
        <v>1</v>
      </c>
    </row>
    <row r="1447" hidden="1" spans="1:14">
      <c r="A1447">
        <v>885</v>
      </c>
      <c r="B1447">
        <v>0</v>
      </c>
      <c r="C1447" t="s">
        <v>394</v>
      </c>
      <c r="D1447">
        <v>0</v>
      </c>
      <c r="E1447">
        <v>38.0793</v>
      </c>
      <c r="F1447">
        <v>11.8465</v>
      </c>
      <c r="G1447">
        <v>21306.15</v>
      </c>
      <c r="H1447" s="1">
        <v>34561</v>
      </c>
      <c r="I1447" s="1">
        <v>34564</v>
      </c>
      <c r="J1447" t="s">
        <v>15</v>
      </c>
      <c r="K1447">
        <v>18</v>
      </c>
      <c r="L1447">
        <v>0</v>
      </c>
      <c r="M1447" t="s">
        <v>16</v>
      </c>
      <c r="N1447">
        <v>1</v>
      </c>
    </row>
    <row r="1448" hidden="1" spans="1:14">
      <c r="A1448">
        <v>890</v>
      </c>
      <c r="B1448">
        <v>0</v>
      </c>
      <c r="C1448" t="s">
        <v>394</v>
      </c>
      <c r="D1448">
        <v>0</v>
      </c>
      <c r="E1448">
        <v>40.3477</v>
      </c>
      <c r="F1448">
        <v>10.664</v>
      </c>
      <c r="G1448">
        <v>163207.32</v>
      </c>
      <c r="H1448" s="1">
        <v>34571</v>
      </c>
      <c r="I1448" s="1">
        <v>34577</v>
      </c>
      <c r="J1448" t="s">
        <v>15</v>
      </c>
      <c r="K1448">
        <v>87</v>
      </c>
      <c r="L1448">
        <v>6000</v>
      </c>
      <c r="M1448" t="s">
        <v>16</v>
      </c>
      <c r="N1448">
        <v>1</v>
      </c>
    </row>
    <row r="1449" hidden="1" spans="1:14">
      <c r="A1449">
        <v>920</v>
      </c>
      <c r="B1449">
        <v>0</v>
      </c>
      <c r="C1449" t="s">
        <v>394</v>
      </c>
      <c r="D1449">
        <v>0</v>
      </c>
      <c r="E1449">
        <v>37.8668</v>
      </c>
      <c r="F1449">
        <v>7.67392</v>
      </c>
      <c r="G1449">
        <v>20499.85</v>
      </c>
      <c r="H1449" s="1">
        <v>34650</v>
      </c>
      <c r="I1449" s="1">
        <v>34656</v>
      </c>
      <c r="J1449" t="s">
        <v>15</v>
      </c>
      <c r="K1449">
        <v>22</v>
      </c>
      <c r="L1449">
        <v>0</v>
      </c>
      <c r="M1449" t="s">
        <v>16</v>
      </c>
      <c r="N1449">
        <v>1</v>
      </c>
    </row>
    <row r="1450" hidden="1" spans="1:14">
      <c r="A1450">
        <v>947</v>
      </c>
      <c r="B1450">
        <v>0</v>
      </c>
      <c r="C1450" t="s">
        <v>394</v>
      </c>
      <c r="D1450">
        <v>0</v>
      </c>
      <c r="E1450">
        <v>43.2278</v>
      </c>
      <c r="F1450">
        <v>5.17608</v>
      </c>
      <c r="G1450">
        <v>67450.15</v>
      </c>
      <c r="H1450" s="1">
        <v>34817</v>
      </c>
      <c r="I1450" s="1">
        <v>34834</v>
      </c>
      <c r="J1450" t="s">
        <v>15</v>
      </c>
      <c r="K1450">
        <v>27</v>
      </c>
      <c r="L1450">
        <v>89875</v>
      </c>
      <c r="M1450" t="s">
        <v>16</v>
      </c>
      <c r="N1450">
        <v>2</v>
      </c>
    </row>
    <row r="1451" hidden="1" spans="1:14">
      <c r="A1451">
        <v>981</v>
      </c>
      <c r="B1451">
        <v>0</v>
      </c>
      <c r="C1451" t="s">
        <v>394</v>
      </c>
      <c r="D1451">
        <v>0</v>
      </c>
      <c r="E1451">
        <v>39.9431</v>
      </c>
      <c r="F1451">
        <v>10.577</v>
      </c>
      <c r="G1451">
        <v>195893.72</v>
      </c>
      <c r="H1451" s="1">
        <v>34922</v>
      </c>
      <c r="I1451" s="1">
        <v>34929</v>
      </c>
      <c r="J1451" t="s">
        <v>15</v>
      </c>
      <c r="K1451">
        <v>44</v>
      </c>
      <c r="L1451">
        <v>2000</v>
      </c>
      <c r="M1451" t="s">
        <v>16</v>
      </c>
      <c r="N1451">
        <v>1</v>
      </c>
    </row>
    <row r="1452" hidden="1" spans="1:14">
      <c r="A1452">
        <v>1075</v>
      </c>
      <c r="B1452">
        <v>0</v>
      </c>
      <c r="C1452" t="s">
        <v>394</v>
      </c>
      <c r="D1452">
        <v>0</v>
      </c>
      <c r="E1452">
        <v>41.9351</v>
      </c>
      <c r="F1452">
        <v>9.4547</v>
      </c>
      <c r="G1452">
        <v>355425.81</v>
      </c>
      <c r="H1452" s="1">
        <v>35214</v>
      </c>
      <c r="I1452" s="1">
        <v>35226</v>
      </c>
      <c r="J1452" t="s">
        <v>15</v>
      </c>
      <c r="K1452">
        <v>40</v>
      </c>
      <c r="L1452">
        <v>50000</v>
      </c>
      <c r="M1452" t="s">
        <v>16</v>
      </c>
      <c r="N1452">
        <v>1</v>
      </c>
    </row>
    <row r="1453" hidden="1" spans="1:14">
      <c r="A1453">
        <v>1103</v>
      </c>
      <c r="B1453">
        <v>0</v>
      </c>
      <c r="C1453" t="s">
        <v>394</v>
      </c>
      <c r="D1453">
        <v>0</v>
      </c>
      <c r="E1453">
        <v>38.95</v>
      </c>
      <c r="F1453">
        <v>11.558</v>
      </c>
      <c r="G1453">
        <v>468886.77</v>
      </c>
      <c r="H1453" s="1">
        <v>35289</v>
      </c>
      <c r="I1453" s="1">
        <v>35307</v>
      </c>
      <c r="J1453" t="s">
        <v>15</v>
      </c>
      <c r="K1453">
        <v>0</v>
      </c>
      <c r="L1453">
        <v>30000</v>
      </c>
      <c r="M1453" t="s">
        <v>49</v>
      </c>
      <c r="N1453">
        <v>2</v>
      </c>
    </row>
    <row r="1454" hidden="1" spans="1:14">
      <c r="A1454">
        <v>1223</v>
      </c>
      <c r="B1454">
        <v>0</v>
      </c>
      <c r="C1454" t="s">
        <v>394</v>
      </c>
      <c r="D1454">
        <v>0</v>
      </c>
      <c r="E1454">
        <v>37.5439</v>
      </c>
      <c r="F1454">
        <v>5.99224</v>
      </c>
      <c r="G1454">
        <v>12361.43</v>
      </c>
      <c r="H1454" s="1">
        <v>35539</v>
      </c>
      <c r="I1454" s="1">
        <v>35542</v>
      </c>
      <c r="J1454" t="s">
        <v>15</v>
      </c>
      <c r="K1454">
        <v>29</v>
      </c>
      <c r="L1454">
        <v>0</v>
      </c>
      <c r="M1454" t="s">
        <v>16</v>
      </c>
      <c r="N1454">
        <v>1</v>
      </c>
    </row>
    <row r="1455" hidden="1" spans="1:14">
      <c r="A1455">
        <v>1430</v>
      </c>
      <c r="B1455">
        <v>0</v>
      </c>
      <c r="C1455" t="s">
        <v>394</v>
      </c>
      <c r="D1455">
        <v>0</v>
      </c>
      <c r="E1455">
        <v>34.023</v>
      </c>
      <c r="F1455">
        <v>7.75432</v>
      </c>
      <c r="G1455">
        <v>28907.15</v>
      </c>
      <c r="H1455" s="1">
        <v>36017</v>
      </c>
      <c r="I1455" s="1">
        <v>36024</v>
      </c>
      <c r="J1455" t="s">
        <v>15</v>
      </c>
      <c r="K1455">
        <v>3</v>
      </c>
      <c r="L1455">
        <v>66000</v>
      </c>
      <c r="M1455" t="s">
        <v>18</v>
      </c>
      <c r="N1455">
        <v>1</v>
      </c>
    </row>
    <row r="1456" hidden="1" spans="1:14">
      <c r="A1456">
        <v>1550</v>
      </c>
      <c r="B1456">
        <v>0</v>
      </c>
      <c r="C1456" t="s">
        <v>394</v>
      </c>
      <c r="D1456">
        <v>0</v>
      </c>
      <c r="E1456">
        <v>39.2098</v>
      </c>
      <c r="F1456">
        <v>9.64183</v>
      </c>
      <c r="G1456">
        <v>216423.75</v>
      </c>
      <c r="H1456" s="1">
        <v>36395</v>
      </c>
      <c r="I1456" s="1">
        <v>36410</v>
      </c>
      <c r="J1456" t="s">
        <v>15</v>
      </c>
      <c r="K1456">
        <v>0</v>
      </c>
      <c r="L1456">
        <v>6755</v>
      </c>
      <c r="M1456" t="s">
        <v>16</v>
      </c>
      <c r="N1456">
        <v>1</v>
      </c>
    </row>
    <row r="1457" hidden="1" spans="1:14">
      <c r="A1457">
        <v>1566</v>
      </c>
      <c r="B1457">
        <v>0</v>
      </c>
      <c r="C1457" t="s">
        <v>394</v>
      </c>
      <c r="D1457">
        <v>0</v>
      </c>
      <c r="E1457">
        <v>37.5862</v>
      </c>
      <c r="F1457">
        <v>3.69145</v>
      </c>
      <c r="G1457">
        <v>197601.55</v>
      </c>
      <c r="H1457" s="1">
        <v>36463</v>
      </c>
      <c r="I1457" s="1">
        <v>36466</v>
      </c>
      <c r="J1457" t="s">
        <v>15</v>
      </c>
      <c r="K1457">
        <v>34</v>
      </c>
      <c r="L1457">
        <v>79000</v>
      </c>
      <c r="M1457" t="s">
        <v>18</v>
      </c>
      <c r="N1457">
        <v>1</v>
      </c>
    </row>
    <row r="1458" hidden="1" spans="1:14">
      <c r="A1458">
        <v>1907</v>
      </c>
      <c r="B1458">
        <v>0</v>
      </c>
      <c r="C1458" t="s">
        <v>394</v>
      </c>
      <c r="D1458">
        <v>0</v>
      </c>
      <c r="E1458">
        <v>43.0631</v>
      </c>
      <c r="F1458">
        <v>7.3106</v>
      </c>
      <c r="G1458">
        <v>282524.65</v>
      </c>
      <c r="H1458" s="1">
        <v>37362</v>
      </c>
      <c r="I1458" s="1">
        <v>37367</v>
      </c>
      <c r="J1458" t="s">
        <v>15</v>
      </c>
      <c r="K1458">
        <v>0</v>
      </c>
      <c r="L1458">
        <v>4000</v>
      </c>
      <c r="M1458" t="s">
        <v>16</v>
      </c>
      <c r="N1458">
        <v>1</v>
      </c>
    </row>
    <row r="1459" hidden="1" spans="1:14">
      <c r="A1459">
        <v>2224</v>
      </c>
      <c r="B1459">
        <v>0</v>
      </c>
      <c r="C1459" t="s">
        <v>394</v>
      </c>
      <c r="D1459" t="s">
        <v>395</v>
      </c>
      <c r="E1459">
        <v>44.6354</v>
      </c>
      <c r="F1459">
        <v>5.37112</v>
      </c>
      <c r="G1459">
        <v>52987.31</v>
      </c>
      <c r="H1459" s="1">
        <v>37745</v>
      </c>
      <c r="I1459" s="1">
        <v>37761</v>
      </c>
      <c r="J1459" t="s">
        <v>15</v>
      </c>
      <c r="K1459">
        <v>106</v>
      </c>
      <c r="L1459">
        <v>111000</v>
      </c>
      <c r="M1459" t="s">
        <v>16</v>
      </c>
      <c r="N1459">
        <v>1</v>
      </c>
    </row>
    <row r="1460" hidden="1" spans="1:14">
      <c r="A1460">
        <v>2285</v>
      </c>
      <c r="B1460">
        <v>0</v>
      </c>
      <c r="C1460" t="s">
        <v>394</v>
      </c>
      <c r="D1460">
        <v>0</v>
      </c>
      <c r="E1460">
        <v>41.0562</v>
      </c>
      <c r="F1460">
        <v>10.9021</v>
      </c>
      <c r="G1460">
        <v>53538.05</v>
      </c>
      <c r="H1460" s="1">
        <v>37821</v>
      </c>
      <c r="I1460" s="1">
        <v>37834</v>
      </c>
      <c r="J1460" t="s">
        <v>15</v>
      </c>
      <c r="K1460">
        <v>2</v>
      </c>
      <c r="L1460">
        <v>7000</v>
      </c>
      <c r="M1460" t="s">
        <v>16</v>
      </c>
      <c r="N1460">
        <v>1</v>
      </c>
    </row>
    <row r="1461" hidden="1" spans="1:14">
      <c r="A1461">
        <v>3310</v>
      </c>
      <c r="B1461">
        <v>0</v>
      </c>
      <c r="C1461" t="s">
        <v>394</v>
      </c>
      <c r="D1461">
        <v>0</v>
      </c>
      <c r="E1461">
        <v>40.4424</v>
      </c>
      <c r="F1461">
        <v>10.4016</v>
      </c>
      <c r="G1461">
        <v>63924.49</v>
      </c>
      <c r="H1461" s="1">
        <v>37852</v>
      </c>
      <c r="I1461" s="1">
        <v>37873</v>
      </c>
      <c r="J1461" t="s">
        <v>15</v>
      </c>
      <c r="K1461">
        <v>0</v>
      </c>
      <c r="L1461">
        <v>7000</v>
      </c>
      <c r="M1461" t="s">
        <v>16</v>
      </c>
      <c r="N1461">
        <v>1</v>
      </c>
    </row>
    <row r="1462" hidden="1" spans="1:14">
      <c r="A1462">
        <v>2344</v>
      </c>
      <c r="B1462">
        <v>0</v>
      </c>
      <c r="C1462" t="s">
        <v>394</v>
      </c>
      <c r="D1462">
        <v>0</v>
      </c>
      <c r="E1462">
        <v>37.868</v>
      </c>
      <c r="F1462">
        <v>10.5406</v>
      </c>
      <c r="G1462">
        <v>10530.39</v>
      </c>
      <c r="H1462" s="1">
        <v>37869</v>
      </c>
      <c r="I1462" s="1">
        <v>37869</v>
      </c>
      <c r="J1462" t="s">
        <v>15</v>
      </c>
      <c r="K1462">
        <v>7</v>
      </c>
      <c r="L1462">
        <v>0</v>
      </c>
      <c r="M1462" t="s">
        <v>18</v>
      </c>
      <c r="N1462">
        <v>1</v>
      </c>
    </row>
    <row r="1463" hidden="1" spans="1:14">
      <c r="A1463">
        <v>2477</v>
      </c>
      <c r="B1463">
        <v>0</v>
      </c>
      <c r="C1463" t="s">
        <v>394</v>
      </c>
      <c r="D1463">
        <v>0</v>
      </c>
      <c r="E1463">
        <v>40.7733</v>
      </c>
      <c r="F1463">
        <v>11.2164</v>
      </c>
      <c r="G1463">
        <v>4312.8</v>
      </c>
      <c r="H1463" s="1">
        <v>38102</v>
      </c>
      <c r="I1463" s="1">
        <v>38102</v>
      </c>
      <c r="J1463" t="s">
        <v>15</v>
      </c>
      <c r="K1463">
        <v>7</v>
      </c>
      <c r="L1463">
        <v>0</v>
      </c>
      <c r="M1463" t="s">
        <v>18</v>
      </c>
      <c r="N1463">
        <v>1</v>
      </c>
    </row>
    <row r="1464" hidden="1" spans="1:14">
      <c r="A1464">
        <v>2649</v>
      </c>
      <c r="B1464">
        <v>0</v>
      </c>
      <c r="C1464" t="s">
        <v>394</v>
      </c>
      <c r="D1464" t="s">
        <v>395</v>
      </c>
      <c r="E1464">
        <v>43.2861</v>
      </c>
      <c r="F1464">
        <v>6.2723</v>
      </c>
      <c r="G1464">
        <v>336115.19</v>
      </c>
      <c r="H1464" s="1">
        <v>38465</v>
      </c>
      <c r="I1464" s="1">
        <v>38517</v>
      </c>
      <c r="J1464" t="s">
        <v>15</v>
      </c>
      <c r="K1464">
        <v>177</v>
      </c>
      <c r="L1464">
        <v>260000</v>
      </c>
      <c r="M1464" t="s">
        <v>16</v>
      </c>
      <c r="N1464">
        <v>2</v>
      </c>
    </row>
    <row r="1465" hidden="1" spans="1:14">
      <c r="A1465">
        <v>2715</v>
      </c>
      <c r="B1465">
        <v>0</v>
      </c>
      <c r="C1465" t="s">
        <v>394</v>
      </c>
      <c r="D1465">
        <v>0</v>
      </c>
      <c r="E1465">
        <v>38.729</v>
      </c>
      <c r="F1465">
        <v>7.35224</v>
      </c>
      <c r="G1465">
        <v>52560.03</v>
      </c>
      <c r="H1465" s="1">
        <v>38584</v>
      </c>
      <c r="I1465" s="1">
        <v>38602</v>
      </c>
      <c r="J1465" t="s">
        <v>15</v>
      </c>
      <c r="K1465">
        <v>3</v>
      </c>
      <c r="L1465">
        <v>7000</v>
      </c>
      <c r="M1465" t="s">
        <v>16</v>
      </c>
      <c r="N1465">
        <v>1</v>
      </c>
    </row>
    <row r="1466" hidden="1" spans="1:14">
      <c r="A1466">
        <v>2847</v>
      </c>
      <c r="B1466">
        <v>0</v>
      </c>
      <c r="C1466" t="s">
        <v>394</v>
      </c>
      <c r="D1466">
        <v>0</v>
      </c>
      <c r="E1466">
        <v>41.6293</v>
      </c>
      <c r="F1466">
        <v>10.9861</v>
      </c>
      <c r="G1466">
        <v>83386.69</v>
      </c>
      <c r="H1466" s="1">
        <v>38816</v>
      </c>
      <c r="I1466" s="1">
        <v>38832</v>
      </c>
      <c r="J1466" t="s">
        <v>15</v>
      </c>
      <c r="K1466">
        <v>0</v>
      </c>
      <c r="L1466">
        <v>10000</v>
      </c>
      <c r="M1466" t="s">
        <v>16</v>
      </c>
      <c r="N1466">
        <v>1</v>
      </c>
    </row>
    <row r="1467" hidden="1" spans="1:14">
      <c r="A1467">
        <v>2943</v>
      </c>
      <c r="B1467" t="s">
        <v>396</v>
      </c>
      <c r="C1467" t="s">
        <v>394</v>
      </c>
      <c r="D1467">
        <v>0</v>
      </c>
      <c r="E1467">
        <v>42.1857</v>
      </c>
      <c r="F1467">
        <v>9.67362</v>
      </c>
      <c r="G1467">
        <v>4225.43</v>
      </c>
      <c r="H1467" s="1">
        <v>38934</v>
      </c>
      <c r="I1467" s="1">
        <v>38937</v>
      </c>
      <c r="J1467" t="s">
        <v>15</v>
      </c>
      <c r="K1467">
        <v>256</v>
      </c>
      <c r="L1467">
        <v>10000</v>
      </c>
      <c r="M1467" t="s">
        <v>16</v>
      </c>
      <c r="N1467">
        <v>1</v>
      </c>
    </row>
    <row r="1468" hidden="1" spans="1:14">
      <c r="A1468">
        <v>2946</v>
      </c>
      <c r="B1468" t="s">
        <v>397</v>
      </c>
      <c r="C1468" t="s">
        <v>394</v>
      </c>
      <c r="D1468">
        <v>0</v>
      </c>
      <c r="E1468">
        <v>36.2146</v>
      </c>
      <c r="F1468">
        <v>5.23956</v>
      </c>
      <c r="G1468">
        <v>15925.76</v>
      </c>
      <c r="H1468" s="1">
        <v>38942</v>
      </c>
      <c r="I1468" s="1">
        <v>38971</v>
      </c>
      <c r="J1468" t="s">
        <v>15</v>
      </c>
      <c r="K1468">
        <v>364</v>
      </c>
      <c r="L1468">
        <v>20000</v>
      </c>
      <c r="M1468" t="s">
        <v>16</v>
      </c>
      <c r="N1468">
        <v>1</v>
      </c>
    </row>
    <row r="1469" hidden="1" spans="1:14">
      <c r="A1469">
        <v>2986</v>
      </c>
      <c r="B1469" t="s">
        <v>398</v>
      </c>
      <c r="C1469" t="s">
        <v>394</v>
      </c>
      <c r="D1469" t="s">
        <v>395</v>
      </c>
      <c r="E1469">
        <v>44.6043</v>
      </c>
      <c r="F1469">
        <v>4.63506</v>
      </c>
      <c r="G1469">
        <v>504018.95</v>
      </c>
      <c r="H1469" s="1">
        <v>39017</v>
      </c>
      <c r="I1469" s="1">
        <v>39076</v>
      </c>
      <c r="J1469" t="s">
        <v>15</v>
      </c>
      <c r="K1469">
        <v>132</v>
      </c>
      <c r="L1469">
        <v>410000</v>
      </c>
      <c r="M1469" t="s">
        <v>16</v>
      </c>
      <c r="N1469">
        <v>2</v>
      </c>
    </row>
    <row r="1470" hidden="1" spans="1:14">
      <c r="A1470">
        <v>3126</v>
      </c>
      <c r="B1470">
        <v>0</v>
      </c>
      <c r="C1470" t="s">
        <v>394</v>
      </c>
      <c r="D1470">
        <v>0</v>
      </c>
      <c r="E1470">
        <v>37.1154</v>
      </c>
      <c r="F1470">
        <v>5.44555</v>
      </c>
      <c r="G1470">
        <v>19512.28</v>
      </c>
      <c r="H1470" s="1">
        <v>39269</v>
      </c>
      <c r="I1470" s="1">
        <v>39274</v>
      </c>
      <c r="J1470" t="s">
        <v>15</v>
      </c>
      <c r="K1470">
        <v>0</v>
      </c>
      <c r="L1470">
        <v>5800</v>
      </c>
      <c r="M1470" t="s">
        <v>16</v>
      </c>
      <c r="N1470">
        <v>1</v>
      </c>
    </row>
    <row r="1471" hidden="1" spans="1:14">
      <c r="A1471">
        <v>3146</v>
      </c>
      <c r="B1471" t="s">
        <v>399</v>
      </c>
      <c r="C1471" t="s">
        <v>394</v>
      </c>
      <c r="D1471">
        <v>0</v>
      </c>
      <c r="E1471">
        <v>34.5</v>
      </c>
      <c r="F1471">
        <v>8.33141</v>
      </c>
      <c r="G1471">
        <v>714220.19</v>
      </c>
      <c r="H1471" s="1">
        <v>39292</v>
      </c>
      <c r="I1471" s="1">
        <v>39360</v>
      </c>
      <c r="J1471" t="s">
        <v>15</v>
      </c>
      <c r="K1471">
        <v>17</v>
      </c>
      <c r="L1471">
        <v>42000</v>
      </c>
      <c r="M1471" t="s">
        <v>16</v>
      </c>
      <c r="N1471">
        <v>1</v>
      </c>
    </row>
    <row r="1472" hidden="1" spans="1:14">
      <c r="A1472">
        <v>3367</v>
      </c>
      <c r="B1472">
        <v>0</v>
      </c>
      <c r="C1472" t="s">
        <v>394</v>
      </c>
      <c r="D1472">
        <v>0</v>
      </c>
      <c r="E1472">
        <v>33.3146</v>
      </c>
      <c r="F1472">
        <v>7.5848</v>
      </c>
      <c r="G1472">
        <v>69636.6</v>
      </c>
      <c r="H1472" s="1">
        <v>39680</v>
      </c>
      <c r="I1472" s="1">
        <v>39688</v>
      </c>
      <c r="J1472" t="s">
        <v>15</v>
      </c>
      <c r="K1472">
        <v>3</v>
      </c>
      <c r="L1472">
        <v>18000</v>
      </c>
      <c r="M1472" t="s">
        <v>266</v>
      </c>
      <c r="N1472">
        <v>1.5</v>
      </c>
    </row>
    <row r="1473" hidden="1" spans="1:14">
      <c r="A1473">
        <v>3404</v>
      </c>
      <c r="B1473">
        <v>0</v>
      </c>
      <c r="C1473" t="s">
        <v>394</v>
      </c>
      <c r="D1473">
        <v>0</v>
      </c>
      <c r="E1473">
        <v>43.0595</v>
      </c>
      <c r="F1473">
        <v>0.82945</v>
      </c>
      <c r="G1473">
        <v>25490.96</v>
      </c>
      <c r="H1473" s="1">
        <v>39768</v>
      </c>
      <c r="I1473" s="1">
        <v>39772</v>
      </c>
      <c r="J1473" t="s">
        <v>15</v>
      </c>
      <c r="K1473">
        <v>11</v>
      </c>
      <c r="L1473">
        <v>500</v>
      </c>
      <c r="M1473" t="s">
        <v>49</v>
      </c>
      <c r="N1473">
        <v>1</v>
      </c>
    </row>
    <row r="1474" hidden="1" spans="1:14">
      <c r="A1474">
        <v>3617</v>
      </c>
      <c r="B1474" t="s">
        <v>400</v>
      </c>
      <c r="C1474" t="s">
        <v>394</v>
      </c>
      <c r="E1474">
        <v>45.4942</v>
      </c>
      <c r="F1474">
        <v>9.19708</v>
      </c>
      <c r="G1474">
        <v>104208.15</v>
      </c>
      <c r="H1474" s="1">
        <v>40238</v>
      </c>
      <c r="I1474" s="1">
        <v>40248</v>
      </c>
      <c r="J1474">
        <v>0</v>
      </c>
      <c r="K1474">
        <v>0</v>
      </c>
      <c r="L1474">
        <v>16000</v>
      </c>
      <c r="M1474" t="s">
        <v>49</v>
      </c>
      <c r="N1474">
        <v>1</v>
      </c>
    </row>
    <row r="1475" hidden="1" spans="1:14">
      <c r="A1475">
        <v>4343</v>
      </c>
      <c r="C1475" t="s">
        <v>394</v>
      </c>
      <c r="E1475">
        <v>41.6907</v>
      </c>
      <c r="F1475">
        <v>9.26816</v>
      </c>
      <c r="G1475">
        <v>244002.48</v>
      </c>
      <c r="H1475" s="1">
        <v>42464</v>
      </c>
      <c r="I1475" s="1">
        <v>42473</v>
      </c>
      <c r="J1475" t="s">
        <v>15</v>
      </c>
      <c r="K1475">
        <v>28</v>
      </c>
      <c r="L1475">
        <v>2400</v>
      </c>
      <c r="M1475" t="s">
        <v>49</v>
      </c>
      <c r="N1475">
        <v>1.5</v>
      </c>
    </row>
    <row r="1476" hidden="1" spans="1:14">
      <c r="A1476">
        <v>5068</v>
      </c>
      <c r="C1476" t="s">
        <v>394</v>
      </c>
      <c r="E1476">
        <v>37.2616</v>
      </c>
      <c r="F1476">
        <v>7.53523</v>
      </c>
      <c r="G1476">
        <v>176121.08</v>
      </c>
      <c r="H1476" s="1">
        <v>44312</v>
      </c>
      <c r="I1476" s="1">
        <v>44326</v>
      </c>
      <c r="J1476" t="s">
        <v>56</v>
      </c>
      <c r="K1476">
        <v>7</v>
      </c>
      <c r="L1476">
        <v>27400</v>
      </c>
      <c r="M1476" t="s">
        <v>49</v>
      </c>
      <c r="N1476">
        <v>1.5</v>
      </c>
    </row>
    <row r="1477" hidden="1" spans="1:14">
      <c r="A1477">
        <v>760</v>
      </c>
      <c r="B1477">
        <v>0</v>
      </c>
      <c r="C1477" t="s">
        <v>401</v>
      </c>
      <c r="D1477">
        <v>0</v>
      </c>
      <c r="E1477">
        <v>39.3187</v>
      </c>
      <c r="F1477">
        <v>5.07375</v>
      </c>
      <c r="G1477">
        <v>180415.06</v>
      </c>
      <c r="H1477" s="1">
        <v>34155</v>
      </c>
      <c r="I1477" s="1">
        <v>34165</v>
      </c>
      <c r="J1477" t="s">
        <v>15</v>
      </c>
      <c r="K1477">
        <v>0</v>
      </c>
      <c r="L1477">
        <v>120000</v>
      </c>
      <c r="M1477" t="s">
        <v>16</v>
      </c>
      <c r="N1477">
        <v>1</v>
      </c>
    </row>
    <row r="1478" hidden="1" spans="1:14">
      <c r="A1478">
        <v>1942</v>
      </c>
      <c r="B1478">
        <v>0</v>
      </c>
      <c r="C1478" t="s">
        <v>402</v>
      </c>
      <c r="D1478">
        <v>0</v>
      </c>
      <c r="E1478">
        <v>10.6119</v>
      </c>
      <c r="F1478">
        <v>47.137</v>
      </c>
      <c r="G1478">
        <v>103705.05</v>
      </c>
      <c r="H1478" s="1">
        <v>37413</v>
      </c>
      <c r="I1478" s="1">
        <v>37416</v>
      </c>
      <c r="J1478" t="s">
        <v>15</v>
      </c>
      <c r="K1478">
        <v>8</v>
      </c>
      <c r="L1478">
        <v>100</v>
      </c>
      <c r="M1478" t="s">
        <v>18</v>
      </c>
      <c r="N1478">
        <v>1</v>
      </c>
    </row>
    <row r="1479" hidden="1" spans="1:14">
      <c r="A1479">
        <v>341</v>
      </c>
      <c r="B1479">
        <v>0</v>
      </c>
      <c r="C1479" t="s">
        <v>403</v>
      </c>
      <c r="D1479">
        <v>0</v>
      </c>
      <c r="E1479">
        <v>178.083</v>
      </c>
      <c r="F1479">
        <v>-17.9568</v>
      </c>
      <c r="G1479">
        <v>5952.09</v>
      </c>
      <c r="H1479" s="1">
        <v>32718</v>
      </c>
      <c r="I1479" s="1">
        <v>32722</v>
      </c>
      <c r="J1479" t="s">
        <v>15</v>
      </c>
      <c r="K1479">
        <v>15</v>
      </c>
      <c r="L1479">
        <v>0</v>
      </c>
      <c r="M1479" t="s">
        <v>16</v>
      </c>
      <c r="N1479">
        <v>1</v>
      </c>
    </row>
    <row r="1480" hidden="1" spans="1:14">
      <c r="A1480">
        <v>721</v>
      </c>
      <c r="B1480">
        <v>0</v>
      </c>
      <c r="C1480" t="s">
        <v>403</v>
      </c>
      <c r="D1480" t="s">
        <v>404</v>
      </c>
      <c r="E1480">
        <v>178.001</v>
      </c>
      <c r="F1480">
        <v>-17.8368</v>
      </c>
      <c r="G1480">
        <v>9803.68</v>
      </c>
      <c r="H1480" s="1">
        <v>33970</v>
      </c>
      <c r="I1480" s="1">
        <v>33972</v>
      </c>
      <c r="J1480" t="s">
        <v>15</v>
      </c>
      <c r="K1480">
        <v>21</v>
      </c>
      <c r="L1480">
        <v>10000</v>
      </c>
      <c r="M1480" t="s">
        <v>86</v>
      </c>
      <c r="N1480">
        <v>1</v>
      </c>
    </row>
    <row r="1481" hidden="1" spans="1:14">
      <c r="A1481">
        <v>1216</v>
      </c>
      <c r="B1481">
        <v>0</v>
      </c>
      <c r="C1481" t="s">
        <v>403</v>
      </c>
      <c r="D1481">
        <v>0</v>
      </c>
      <c r="E1481">
        <v>178.043</v>
      </c>
      <c r="F1481">
        <v>-17.8225</v>
      </c>
      <c r="G1481">
        <v>13551.97</v>
      </c>
      <c r="H1481" s="1">
        <v>35495</v>
      </c>
      <c r="I1481" s="1">
        <v>35497</v>
      </c>
      <c r="J1481" t="s">
        <v>15</v>
      </c>
      <c r="K1481">
        <v>17</v>
      </c>
      <c r="L1481">
        <v>1300</v>
      </c>
      <c r="M1481" t="s">
        <v>86</v>
      </c>
      <c r="N1481">
        <v>1</v>
      </c>
    </row>
    <row r="1482" hidden="1" spans="1:14">
      <c r="A1482">
        <v>1887</v>
      </c>
      <c r="B1482">
        <v>0</v>
      </c>
      <c r="C1482" t="s">
        <v>403</v>
      </c>
      <c r="D1482">
        <v>0</v>
      </c>
      <c r="E1482">
        <v>178.456</v>
      </c>
      <c r="F1482">
        <v>-17.7692</v>
      </c>
      <c r="G1482">
        <v>1083.91</v>
      </c>
      <c r="H1482" s="1">
        <v>37310</v>
      </c>
      <c r="I1482" s="1">
        <v>37312</v>
      </c>
      <c r="J1482" t="s">
        <v>15</v>
      </c>
      <c r="K1482">
        <v>1</v>
      </c>
      <c r="L1482">
        <v>0</v>
      </c>
      <c r="M1482" t="s">
        <v>16</v>
      </c>
      <c r="N1482">
        <v>1</v>
      </c>
    </row>
    <row r="1483" hidden="1" spans="1:14">
      <c r="A1483">
        <v>2126</v>
      </c>
      <c r="B1483">
        <v>0</v>
      </c>
      <c r="C1483" t="s">
        <v>403</v>
      </c>
      <c r="D1483">
        <v>0</v>
      </c>
      <c r="E1483">
        <v>179.528</v>
      </c>
      <c r="F1483">
        <v>-16.4711</v>
      </c>
      <c r="G1483">
        <v>1873.41</v>
      </c>
      <c r="H1483" s="1">
        <v>37635</v>
      </c>
      <c r="I1483" s="1">
        <v>37637</v>
      </c>
      <c r="J1483" t="s">
        <v>15</v>
      </c>
      <c r="K1483">
        <v>15</v>
      </c>
      <c r="L1483">
        <v>0</v>
      </c>
      <c r="M1483" t="s">
        <v>16</v>
      </c>
      <c r="N1483">
        <v>1</v>
      </c>
    </row>
    <row r="1484" hidden="1" spans="1:14">
      <c r="A1484">
        <v>2465</v>
      </c>
      <c r="B1484">
        <v>0</v>
      </c>
      <c r="C1484" t="s">
        <v>403</v>
      </c>
      <c r="D1484">
        <v>0</v>
      </c>
      <c r="E1484">
        <v>177.926</v>
      </c>
      <c r="F1484">
        <v>-17.7817</v>
      </c>
      <c r="G1484">
        <v>9448.2</v>
      </c>
      <c r="H1484" s="1">
        <v>38085</v>
      </c>
      <c r="I1484" s="1">
        <v>38095</v>
      </c>
      <c r="J1484" t="s">
        <v>15</v>
      </c>
      <c r="K1484">
        <v>10</v>
      </c>
      <c r="L1484">
        <v>2760</v>
      </c>
      <c r="M1484" t="s">
        <v>86</v>
      </c>
      <c r="N1484">
        <v>1</v>
      </c>
    </row>
    <row r="1485" hidden="1" spans="1:14">
      <c r="A1485">
        <v>2791</v>
      </c>
      <c r="B1485">
        <v>0</v>
      </c>
      <c r="C1485" t="s">
        <v>403</v>
      </c>
      <c r="D1485">
        <v>0</v>
      </c>
      <c r="E1485">
        <v>177.68</v>
      </c>
      <c r="F1485">
        <v>-17.8194</v>
      </c>
      <c r="G1485">
        <v>6258.01</v>
      </c>
      <c r="H1485" s="1">
        <v>38746</v>
      </c>
      <c r="I1485" s="1">
        <v>38754</v>
      </c>
      <c r="J1485" t="s">
        <v>15</v>
      </c>
      <c r="K1485">
        <v>0</v>
      </c>
      <c r="L1485">
        <v>168</v>
      </c>
      <c r="M1485" t="s">
        <v>103</v>
      </c>
      <c r="N1485">
        <v>1</v>
      </c>
    </row>
    <row r="1486" hidden="1" spans="1:14">
      <c r="A1486">
        <v>2794</v>
      </c>
      <c r="B1486">
        <v>0</v>
      </c>
      <c r="C1486" t="s">
        <v>403</v>
      </c>
      <c r="D1486">
        <v>0</v>
      </c>
      <c r="E1486">
        <v>179.651</v>
      </c>
      <c r="F1486">
        <v>-16.4518</v>
      </c>
      <c r="G1486">
        <v>2372.59</v>
      </c>
      <c r="H1486" s="1">
        <v>38752</v>
      </c>
      <c r="I1486" s="1">
        <v>38757</v>
      </c>
      <c r="J1486" t="s">
        <v>15</v>
      </c>
      <c r="K1486">
        <v>4</v>
      </c>
      <c r="L1486">
        <v>224</v>
      </c>
      <c r="M1486" t="s">
        <v>16</v>
      </c>
      <c r="N1486">
        <v>1</v>
      </c>
    </row>
    <row r="1487" hidden="1" spans="1:14">
      <c r="A1487">
        <v>3029</v>
      </c>
      <c r="B1487" t="s">
        <v>405</v>
      </c>
      <c r="C1487" t="s">
        <v>403</v>
      </c>
      <c r="D1487">
        <v>0</v>
      </c>
      <c r="E1487">
        <v>177.483</v>
      </c>
      <c r="F1487">
        <v>-17.7712</v>
      </c>
      <c r="G1487">
        <v>2552.4</v>
      </c>
      <c r="H1487" s="1">
        <v>39116</v>
      </c>
      <c r="I1487" s="1">
        <v>39133</v>
      </c>
      <c r="J1487" t="s">
        <v>15</v>
      </c>
      <c r="K1487">
        <v>1</v>
      </c>
      <c r="L1487">
        <v>900</v>
      </c>
      <c r="M1487" t="s">
        <v>16</v>
      </c>
      <c r="N1487">
        <v>1</v>
      </c>
    </row>
    <row r="1488" hidden="1" spans="1:14">
      <c r="A1488">
        <v>3036</v>
      </c>
      <c r="B1488" t="s">
        <v>406</v>
      </c>
      <c r="C1488" t="s">
        <v>403</v>
      </c>
      <c r="D1488">
        <v>0</v>
      </c>
      <c r="E1488">
        <v>177.483</v>
      </c>
      <c r="F1488">
        <v>-17.7712</v>
      </c>
      <c r="G1488">
        <v>2552.4</v>
      </c>
      <c r="H1488" s="1">
        <v>39150</v>
      </c>
      <c r="I1488" s="1">
        <v>39153</v>
      </c>
      <c r="J1488" t="s">
        <v>15</v>
      </c>
      <c r="K1488">
        <v>5</v>
      </c>
      <c r="L1488">
        <v>0</v>
      </c>
      <c r="M1488" t="s">
        <v>16</v>
      </c>
      <c r="N1488">
        <v>1</v>
      </c>
    </row>
    <row r="1489" hidden="1" spans="1:14">
      <c r="A1489">
        <v>3432</v>
      </c>
      <c r="B1489" t="s">
        <v>407</v>
      </c>
      <c r="C1489" t="s">
        <v>403</v>
      </c>
      <c r="D1489">
        <v>0</v>
      </c>
      <c r="E1489">
        <v>178.047</v>
      </c>
      <c r="F1489">
        <v>-17.7394</v>
      </c>
      <c r="G1489">
        <v>7293.87</v>
      </c>
      <c r="H1489" s="1">
        <v>39807</v>
      </c>
      <c r="I1489" s="1">
        <v>39818</v>
      </c>
      <c r="J1489" t="s">
        <v>15</v>
      </c>
      <c r="K1489">
        <v>9</v>
      </c>
      <c r="L1489">
        <v>20000</v>
      </c>
      <c r="M1489" t="s">
        <v>49</v>
      </c>
      <c r="N1489">
        <v>1</v>
      </c>
    </row>
    <row r="1490" hidden="1" spans="1:14">
      <c r="A1490">
        <v>3581</v>
      </c>
      <c r="B1490" t="s">
        <v>408</v>
      </c>
      <c r="C1490" t="s">
        <v>403</v>
      </c>
      <c r="D1490">
        <v>0</v>
      </c>
      <c r="E1490">
        <v>177.919</v>
      </c>
      <c r="F1490">
        <v>-17.7451</v>
      </c>
      <c r="G1490">
        <v>4708.95</v>
      </c>
      <c r="H1490" s="1">
        <v>40161</v>
      </c>
      <c r="I1490" s="1">
        <v>40162</v>
      </c>
      <c r="J1490">
        <v>0</v>
      </c>
      <c r="K1490">
        <v>3</v>
      </c>
      <c r="L1490">
        <v>700</v>
      </c>
      <c r="M1490" t="s">
        <v>409</v>
      </c>
      <c r="N1490">
        <v>1</v>
      </c>
    </row>
    <row r="1491" hidden="1" spans="1:14">
      <c r="A1491">
        <v>3893</v>
      </c>
      <c r="C1491" t="s">
        <v>403</v>
      </c>
      <c r="E1491">
        <v>178.076</v>
      </c>
      <c r="F1491">
        <v>-17.784</v>
      </c>
      <c r="G1491">
        <v>4927.68</v>
      </c>
      <c r="H1491" s="1">
        <v>40930</v>
      </c>
      <c r="I1491" s="1">
        <v>40945</v>
      </c>
      <c r="J1491" t="s">
        <v>15</v>
      </c>
      <c r="K1491">
        <v>8</v>
      </c>
      <c r="L1491">
        <v>3500</v>
      </c>
      <c r="M1491" t="s">
        <v>49</v>
      </c>
      <c r="N1491">
        <v>1.5</v>
      </c>
    </row>
    <row r="1492" hidden="1" spans="1:14">
      <c r="A1492">
        <v>3912</v>
      </c>
      <c r="C1492" t="s">
        <v>403</v>
      </c>
      <c r="E1492">
        <v>178.017</v>
      </c>
      <c r="F1492">
        <v>-17.7982</v>
      </c>
      <c r="G1492">
        <v>5579.97</v>
      </c>
      <c r="H1492" s="1">
        <v>40997</v>
      </c>
      <c r="I1492" s="1">
        <v>41017</v>
      </c>
      <c r="J1492" t="s">
        <v>15</v>
      </c>
      <c r="K1492">
        <v>6</v>
      </c>
      <c r="L1492">
        <v>14000</v>
      </c>
      <c r="M1492" t="s">
        <v>49</v>
      </c>
      <c r="N1492">
        <v>2</v>
      </c>
    </row>
    <row r="1493" hidden="1" spans="1:14">
      <c r="A1493">
        <v>4329</v>
      </c>
      <c r="B1493" t="s">
        <v>410</v>
      </c>
      <c r="C1493" t="s">
        <v>403</v>
      </c>
      <c r="E1493">
        <v>177.928</v>
      </c>
      <c r="F1493">
        <v>-17.7754</v>
      </c>
      <c r="G1493">
        <v>15026.05</v>
      </c>
      <c r="H1493" s="1">
        <v>42420</v>
      </c>
      <c r="I1493" s="1">
        <v>42423</v>
      </c>
      <c r="J1493" t="s">
        <v>15</v>
      </c>
      <c r="K1493">
        <v>21</v>
      </c>
      <c r="L1493">
        <v>0</v>
      </c>
      <c r="M1493" t="s">
        <v>411</v>
      </c>
      <c r="N1493">
        <v>1.5</v>
      </c>
    </row>
    <row r="1494" hidden="1" spans="1:14">
      <c r="A1494">
        <v>5022</v>
      </c>
      <c r="C1494" t="s">
        <v>403</v>
      </c>
      <c r="E1494">
        <v>177.842</v>
      </c>
      <c r="F1494">
        <v>-17.7443</v>
      </c>
      <c r="G1494">
        <v>14273.41</v>
      </c>
      <c r="H1494" s="1">
        <v>44227</v>
      </c>
      <c r="I1494" s="1">
        <v>44230</v>
      </c>
      <c r="J1494" t="s">
        <v>56</v>
      </c>
      <c r="K1494">
        <v>1</v>
      </c>
      <c r="L1494">
        <v>7000</v>
      </c>
      <c r="M1494" t="s">
        <v>412</v>
      </c>
      <c r="N1494">
        <v>1.5</v>
      </c>
    </row>
    <row r="1495" hidden="1" spans="1:14">
      <c r="A1495">
        <v>2658</v>
      </c>
      <c r="B1495">
        <v>0</v>
      </c>
      <c r="C1495" t="s">
        <v>413</v>
      </c>
      <c r="D1495">
        <v>0</v>
      </c>
      <c r="E1495">
        <v>26.3662</v>
      </c>
      <c r="F1495">
        <v>67.4743</v>
      </c>
      <c r="G1495">
        <v>24898.89</v>
      </c>
      <c r="H1495" s="1">
        <v>38497</v>
      </c>
      <c r="I1495" s="1">
        <v>38503</v>
      </c>
      <c r="J1495" t="s">
        <v>15</v>
      </c>
      <c r="K1495">
        <v>0</v>
      </c>
      <c r="L1495">
        <v>400</v>
      </c>
      <c r="M1495" t="s">
        <v>39</v>
      </c>
      <c r="N1495">
        <v>1</v>
      </c>
    </row>
    <row r="1496" hidden="1" spans="1:14">
      <c r="A1496">
        <v>395</v>
      </c>
      <c r="B1496">
        <v>0</v>
      </c>
      <c r="C1496" t="s">
        <v>414</v>
      </c>
      <c r="D1496">
        <v>0</v>
      </c>
      <c r="E1496">
        <v>6.48067</v>
      </c>
      <c r="F1496">
        <v>45.6107</v>
      </c>
      <c r="G1496">
        <v>9561.69</v>
      </c>
      <c r="H1496" s="1">
        <v>32919</v>
      </c>
      <c r="I1496" s="1">
        <v>32921</v>
      </c>
      <c r="J1496" t="s">
        <v>15</v>
      </c>
      <c r="K1496">
        <v>14</v>
      </c>
      <c r="L1496">
        <v>0</v>
      </c>
      <c r="M1496" t="s">
        <v>312</v>
      </c>
      <c r="N1496">
        <v>1</v>
      </c>
    </row>
    <row r="1497" hidden="1" spans="1:14">
      <c r="A1497">
        <v>473</v>
      </c>
      <c r="B1497">
        <v>0</v>
      </c>
      <c r="C1497" t="s">
        <v>414</v>
      </c>
      <c r="D1497">
        <v>0</v>
      </c>
      <c r="E1497">
        <v>6.20383</v>
      </c>
      <c r="F1497">
        <v>43.5014</v>
      </c>
      <c r="G1497">
        <v>9563.94</v>
      </c>
      <c r="H1497" s="1">
        <v>33164</v>
      </c>
      <c r="I1497" s="1">
        <v>33165</v>
      </c>
      <c r="J1497" t="s">
        <v>15</v>
      </c>
      <c r="K1497">
        <v>1</v>
      </c>
      <c r="L1497">
        <v>0</v>
      </c>
      <c r="M1497" t="s">
        <v>16</v>
      </c>
      <c r="N1497">
        <v>1</v>
      </c>
    </row>
    <row r="1498" hidden="1" spans="1:14">
      <c r="A1498">
        <v>699</v>
      </c>
      <c r="B1498">
        <v>0</v>
      </c>
      <c r="C1498" t="s">
        <v>414</v>
      </c>
      <c r="D1498">
        <v>0</v>
      </c>
      <c r="E1498">
        <v>5.83747</v>
      </c>
      <c r="F1498">
        <v>44.5158</v>
      </c>
      <c r="G1498">
        <v>22746.16</v>
      </c>
      <c r="H1498" s="1">
        <v>33869</v>
      </c>
      <c r="I1498" s="1">
        <v>33869</v>
      </c>
      <c r="J1498" t="s">
        <v>15</v>
      </c>
      <c r="K1498">
        <v>38</v>
      </c>
      <c r="L1498">
        <v>2000</v>
      </c>
      <c r="M1498" t="s">
        <v>64</v>
      </c>
      <c r="N1498">
        <v>2</v>
      </c>
    </row>
    <row r="1499" hidden="1" spans="1:14">
      <c r="A1499">
        <v>700</v>
      </c>
      <c r="B1499">
        <v>0</v>
      </c>
      <c r="C1499" t="s">
        <v>414</v>
      </c>
      <c r="D1499">
        <v>0</v>
      </c>
      <c r="E1499">
        <v>2.93545</v>
      </c>
      <c r="F1499">
        <v>43.1605</v>
      </c>
      <c r="G1499">
        <v>23383.79</v>
      </c>
      <c r="H1499" s="1">
        <v>33874</v>
      </c>
      <c r="I1499" s="1">
        <v>33874</v>
      </c>
      <c r="J1499" t="s">
        <v>15</v>
      </c>
      <c r="K1499">
        <v>3</v>
      </c>
      <c r="L1499">
        <v>0</v>
      </c>
      <c r="M1499" t="s">
        <v>16</v>
      </c>
      <c r="N1499">
        <v>1</v>
      </c>
    </row>
    <row r="1500" hidden="1" spans="1:14">
      <c r="A1500">
        <v>704</v>
      </c>
      <c r="B1500">
        <v>0</v>
      </c>
      <c r="C1500" t="s">
        <v>414</v>
      </c>
      <c r="D1500" t="s">
        <v>415</v>
      </c>
      <c r="E1500">
        <v>11.2843</v>
      </c>
      <c r="F1500">
        <v>42.7699</v>
      </c>
      <c r="G1500">
        <v>135575.31</v>
      </c>
      <c r="H1500" s="1">
        <v>33875</v>
      </c>
      <c r="I1500" s="1">
        <v>33885</v>
      </c>
      <c r="J1500" t="s">
        <v>15</v>
      </c>
      <c r="K1500">
        <v>12</v>
      </c>
      <c r="L1500">
        <v>120</v>
      </c>
      <c r="M1500" t="s">
        <v>16</v>
      </c>
      <c r="N1500">
        <v>1</v>
      </c>
    </row>
    <row r="1501" hidden="1" spans="1:14">
      <c r="A1501">
        <v>781</v>
      </c>
      <c r="B1501">
        <v>0</v>
      </c>
      <c r="C1501" t="s">
        <v>414</v>
      </c>
      <c r="D1501" t="s">
        <v>415</v>
      </c>
      <c r="E1501">
        <v>7.36304</v>
      </c>
      <c r="F1501">
        <v>45.1072</v>
      </c>
      <c r="G1501">
        <v>51313.99</v>
      </c>
      <c r="H1501" s="1">
        <v>34234</v>
      </c>
      <c r="I1501" s="1">
        <v>34250</v>
      </c>
      <c r="J1501" t="s">
        <v>15</v>
      </c>
      <c r="K1501">
        <v>17</v>
      </c>
      <c r="L1501">
        <v>1700</v>
      </c>
      <c r="M1501" t="s">
        <v>64</v>
      </c>
      <c r="N1501">
        <v>2</v>
      </c>
    </row>
    <row r="1502" hidden="1" spans="1:14">
      <c r="A1502">
        <v>793</v>
      </c>
      <c r="B1502">
        <v>0</v>
      </c>
      <c r="C1502" t="s">
        <v>414</v>
      </c>
      <c r="D1502">
        <v>0</v>
      </c>
      <c r="E1502">
        <v>9.06044</v>
      </c>
      <c r="F1502">
        <v>41.5666</v>
      </c>
      <c r="G1502">
        <v>1692.24</v>
      </c>
      <c r="H1502" s="1">
        <v>34273</v>
      </c>
      <c r="I1502" s="1">
        <v>34275</v>
      </c>
      <c r="J1502" t="s">
        <v>15</v>
      </c>
      <c r="K1502">
        <v>4</v>
      </c>
      <c r="L1502">
        <v>0</v>
      </c>
      <c r="M1502" t="s">
        <v>64</v>
      </c>
      <c r="N1502">
        <v>1</v>
      </c>
    </row>
    <row r="1503" hidden="1" spans="1:14">
      <c r="A1503">
        <v>812</v>
      </c>
      <c r="B1503">
        <v>0</v>
      </c>
      <c r="C1503" t="s">
        <v>414</v>
      </c>
      <c r="D1503" t="s">
        <v>350</v>
      </c>
      <c r="E1503">
        <v>5.76827</v>
      </c>
      <c r="F1503">
        <v>50.3802</v>
      </c>
      <c r="G1503">
        <v>261149.34</v>
      </c>
      <c r="H1503" s="1">
        <v>34324</v>
      </c>
      <c r="I1503" s="1">
        <v>34334</v>
      </c>
      <c r="J1503" t="s">
        <v>15</v>
      </c>
      <c r="K1503">
        <v>11</v>
      </c>
      <c r="L1503">
        <v>48000</v>
      </c>
      <c r="M1503" t="s">
        <v>64</v>
      </c>
      <c r="N1503">
        <v>2</v>
      </c>
    </row>
    <row r="1504" hidden="1" spans="1:14">
      <c r="A1504">
        <v>932</v>
      </c>
      <c r="B1504">
        <v>0</v>
      </c>
      <c r="C1504" t="s">
        <v>414</v>
      </c>
      <c r="D1504">
        <v>0</v>
      </c>
      <c r="E1504">
        <v>-2.89661</v>
      </c>
      <c r="F1504">
        <v>48.1547</v>
      </c>
      <c r="G1504">
        <v>27724.7</v>
      </c>
      <c r="H1504" s="1">
        <v>34719</v>
      </c>
      <c r="I1504" s="1">
        <v>34729</v>
      </c>
      <c r="J1504" t="s">
        <v>15</v>
      </c>
      <c r="K1504">
        <v>16</v>
      </c>
      <c r="L1504">
        <v>5000</v>
      </c>
      <c r="M1504" t="s">
        <v>38</v>
      </c>
      <c r="N1504">
        <v>2</v>
      </c>
    </row>
    <row r="1505" hidden="1" spans="1:14">
      <c r="A1505">
        <v>933</v>
      </c>
      <c r="B1505">
        <v>0</v>
      </c>
      <c r="C1505" t="s">
        <v>414</v>
      </c>
      <c r="D1505" t="s">
        <v>350</v>
      </c>
      <c r="E1505">
        <v>5.69912</v>
      </c>
      <c r="F1505">
        <v>50.3282</v>
      </c>
      <c r="G1505">
        <v>341156.99</v>
      </c>
      <c r="H1505" s="1">
        <v>34722</v>
      </c>
      <c r="I1505" s="1">
        <v>34737</v>
      </c>
      <c r="J1505" t="s">
        <v>15</v>
      </c>
      <c r="K1505">
        <v>30</v>
      </c>
      <c r="L1505">
        <v>294100</v>
      </c>
      <c r="M1505" t="s">
        <v>38</v>
      </c>
      <c r="N1505">
        <v>2</v>
      </c>
    </row>
    <row r="1506" hidden="1" spans="1:14">
      <c r="A1506">
        <v>1051</v>
      </c>
      <c r="B1506">
        <v>0</v>
      </c>
      <c r="C1506" t="s">
        <v>414</v>
      </c>
      <c r="D1506">
        <v>0</v>
      </c>
      <c r="E1506">
        <v>3.39445</v>
      </c>
      <c r="F1506">
        <v>43.4429</v>
      </c>
      <c r="G1506">
        <v>2139.96</v>
      </c>
      <c r="H1506" s="1">
        <v>35091</v>
      </c>
      <c r="I1506" s="1">
        <v>35094</v>
      </c>
      <c r="J1506" t="s">
        <v>15</v>
      </c>
      <c r="K1506">
        <v>4</v>
      </c>
      <c r="L1506">
        <v>600</v>
      </c>
      <c r="M1506" t="s">
        <v>16</v>
      </c>
      <c r="N1506">
        <v>1</v>
      </c>
    </row>
    <row r="1507" hidden="1" spans="1:14">
      <c r="A1507">
        <v>1137</v>
      </c>
      <c r="B1507">
        <v>0</v>
      </c>
      <c r="C1507" t="s">
        <v>414</v>
      </c>
      <c r="D1507">
        <v>0</v>
      </c>
      <c r="E1507">
        <v>3.51066</v>
      </c>
      <c r="F1507">
        <v>43.359</v>
      </c>
      <c r="G1507">
        <v>26323.22</v>
      </c>
      <c r="H1507" s="1">
        <v>35404</v>
      </c>
      <c r="I1507" s="1">
        <v>35409</v>
      </c>
      <c r="J1507" t="s">
        <v>15</v>
      </c>
      <c r="K1507">
        <v>0</v>
      </c>
      <c r="L1507">
        <v>50</v>
      </c>
      <c r="M1507" t="s">
        <v>49</v>
      </c>
      <c r="N1507">
        <v>1</v>
      </c>
    </row>
    <row r="1508" hidden="1" spans="1:14">
      <c r="A1508">
        <v>1240</v>
      </c>
      <c r="B1508">
        <v>0</v>
      </c>
      <c r="C1508" t="s">
        <v>414</v>
      </c>
      <c r="D1508">
        <v>0</v>
      </c>
      <c r="E1508">
        <v>0.929309</v>
      </c>
      <c r="F1508">
        <v>49.4622</v>
      </c>
      <c r="G1508">
        <v>8004.45</v>
      </c>
      <c r="H1508" s="1">
        <v>35595</v>
      </c>
      <c r="I1508" s="1">
        <v>35598</v>
      </c>
      <c r="J1508" t="s">
        <v>15</v>
      </c>
      <c r="K1508">
        <v>4</v>
      </c>
      <c r="L1508">
        <v>0</v>
      </c>
      <c r="M1508" t="s">
        <v>18</v>
      </c>
      <c r="N1508">
        <v>1</v>
      </c>
    </row>
    <row r="1509" hidden="1" spans="1:14">
      <c r="A1509">
        <v>1568</v>
      </c>
      <c r="B1509">
        <v>0</v>
      </c>
      <c r="C1509" t="s">
        <v>414</v>
      </c>
      <c r="D1509">
        <v>0</v>
      </c>
      <c r="E1509">
        <v>3.51811</v>
      </c>
      <c r="F1509">
        <v>45.2358</v>
      </c>
      <c r="G1509">
        <v>91886.28</v>
      </c>
      <c r="H1509" s="1">
        <v>36476</v>
      </c>
      <c r="I1509" s="1">
        <v>36479</v>
      </c>
      <c r="J1509" t="s">
        <v>15</v>
      </c>
      <c r="K1509">
        <v>27</v>
      </c>
      <c r="L1509">
        <v>3000</v>
      </c>
      <c r="M1509" t="s">
        <v>18</v>
      </c>
      <c r="N1509">
        <v>2</v>
      </c>
    </row>
    <row r="1510" hidden="1" spans="1:14">
      <c r="A1510">
        <v>1685</v>
      </c>
      <c r="B1510">
        <v>0</v>
      </c>
      <c r="C1510" t="s">
        <v>414</v>
      </c>
      <c r="D1510" t="s">
        <v>155</v>
      </c>
      <c r="E1510">
        <v>5.01154</v>
      </c>
      <c r="F1510">
        <v>50.3658</v>
      </c>
      <c r="G1510">
        <v>3926.12</v>
      </c>
      <c r="H1510" s="1">
        <v>36896</v>
      </c>
      <c r="I1510" s="1">
        <v>36898</v>
      </c>
      <c r="J1510" t="s">
        <v>15</v>
      </c>
      <c r="K1510">
        <v>0</v>
      </c>
      <c r="L1510">
        <v>80</v>
      </c>
      <c r="M1510" t="s">
        <v>18</v>
      </c>
      <c r="N1510">
        <v>1</v>
      </c>
    </row>
    <row r="1511" hidden="1" spans="1:14">
      <c r="A1511">
        <v>1710</v>
      </c>
      <c r="B1511">
        <v>0</v>
      </c>
      <c r="C1511" t="s">
        <v>414</v>
      </c>
      <c r="D1511">
        <v>0</v>
      </c>
      <c r="E1511">
        <v>2.36843</v>
      </c>
      <c r="F1511">
        <v>50.0468</v>
      </c>
      <c r="G1511">
        <v>9209.58</v>
      </c>
      <c r="H1511" s="1">
        <v>36988</v>
      </c>
      <c r="I1511" s="1">
        <v>37013</v>
      </c>
      <c r="J1511" t="s">
        <v>15</v>
      </c>
      <c r="K1511">
        <v>0</v>
      </c>
      <c r="L1511">
        <v>1029</v>
      </c>
      <c r="M1511" t="s">
        <v>16</v>
      </c>
      <c r="N1511">
        <v>2</v>
      </c>
    </row>
    <row r="1512" hidden="1" spans="1:14">
      <c r="A1512">
        <v>1814</v>
      </c>
      <c r="B1512">
        <v>0</v>
      </c>
      <c r="C1512" t="s">
        <v>414</v>
      </c>
      <c r="D1512">
        <v>0</v>
      </c>
      <c r="E1512">
        <v>4.93584</v>
      </c>
      <c r="F1512">
        <v>44.9617</v>
      </c>
      <c r="G1512">
        <v>3857.12</v>
      </c>
      <c r="H1512" s="1">
        <v>37184</v>
      </c>
      <c r="I1512" s="1">
        <v>37185</v>
      </c>
      <c r="J1512" t="s">
        <v>15</v>
      </c>
      <c r="K1512">
        <v>2</v>
      </c>
      <c r="L1512">
        <v>300</v>
      </c>
      <c r="M1512" t="s">
        <v>16</v>
      </c>
      <c r="N1512">
        <v>1</v>
      </c>
    </row>
    <row r="1513" hidden="1" spans="1:14">
      <c r="A1513">
        <v>1852</v>
      </c>
      <c r="B1513">
        <v>0</v>
      </c>
      <c r="C1513" t="s">
        <v>414</v>
      </c>
      <c r="D1513">
        <v>0</v>
      </c>
      <c r="E1513">
        <v>8.43803</v>
      </c>
      <c r="F1513">
        <v>48.1985</v>
      </c>
      <c r="G1513">
        <v>9379.12</v>
      </c>
      <c r="H1513" s="1">
        <v>37254</v>
      </c>
      <c r="I1513" s="1">
        <v>37255</v>
      </c>
      <c r="J1513" t="s">
        <v>15</v>
      </c>
      <c r="K1513">
        <v>0</v>
      </c>
      <c r="L1513">
        <v>240</v>
      </c>
      <c r="M1513" t="s">
        <v>18</v>
      </c>
      <c r="N1513">
        <v>1</v>
      </c>
    </row>
    <row r="1514" hidden="1" spans="1:14">
      <c r="A1514">
        <v>2052</v>
      </c>
      <c r="B1514">
        <v>0</v>
      </c>
      <c r="C1514" t="s">
        <v>414</v>
      </c>
      <c r="D1514">
        <v>0</v>
      </c>
      <c r="E1514">
        <v>4.44759</v>
      </c>
      <c r="F1514">
        <v>44.0345</v>
      </c>
      <c r="G1514">
        <v>10479.27</v>
      </c>
      <c r="H1514" s="1">
        <v>37507</v>
      </c>
      <c r="I1514" s="1">
        <v>37511</v>
      </c>
      <c r="J1514" t="s">
        <v>15</v>
      </c>
      <c r="K1514">
        <v>23</v>
      </c>
      <c r="L1514">
        <v>2500</v>
      </c>
      <c r="M1514" t="s">
        <v>16</v>
      </c>
      <c r="N1514">
        <v>1</v>
      </c>
    </row>
    <row r="1515" hidden="1" spans="1:14">
      <c r="A1515">
        <v>2087</v>
      </c>
      <c r="B1515">
        <v>0</v>
      </c>
      <c r="C1515" t="s">
        <v>414</v>
      </c>
      <c r="D1515">
        <v>0</v>
      </c>
      <c r="E1515">
        <v>4.81011</v>
      </c>
      <c r="F1515">
        <v>45.038</v>
      </c>
      <c r="G1515">
        <v>4834.93</v>
      </c>
      <c r="H1515" s="1">
        <v>37576</v>
      </c>
      <c r="I1515" s="1">
        <v>37580</v>
      </c>
      <c r="J1515" t="s">
        <v>15</v>
      </c>
      <c r="K1515">
        <v>1</v>
      </c>
      <c r="L1515">
        <v>2500</v>
      </c>
      <c r="M1515" t="s">
        <v>16</v>
      </c>
      <c r="N1515">
        <v>1</v>
      </c>
    </row>
    <row r="1516" hidden="1" spans="1:14">
      <c r="A1516">
        <v>2103</v>
      </c>
      <c r="B1516">
        <v>0</v>
      </c>
      <c r="C1516" t="s">
        <v>414</v>
      </c>
      <c r="D1516">
        <v>0</v>
      </c>
      <c r="E1516">
        <v>4.14588</v>
      </c>
      <c r="F1516">
        <v>43.7308</v>
      </c>
      <c r="G1516">
        <v>1292.7</v>
      </c>
      <c r="H1516" s="1">
        <v>37603</v>
      </c>
      <c r="I1516" s="1">
        <v>37604</v>
      </c>
      <c r="J1516" t="s">
        <v>15</v>
      </c>
      <c r="K1516">
        <v>2</v>
      </c>
      <c r="L1516">
        <v>0</v>
      </c>
      <c r="M1516" t="s">
        <v>16</v>
      </c>
      <c r="N1516">
        <v>1</v>
      </c>
    </row>
    <row r="1517" hidden="1" spans="1:14">
      <c r="A1517">
        <v>2359</v>
      </c>
      <c r="B1517">
        <v>0</v>
      </c>
      <c r="C1517" t="s">
        <v>414</v>
      </c>
      <c r="D1517">
        <v>0</v>
      </c>
      <c r="E1517">
        <v>4.15721</v>
      </c>
      <c r="F1517">
        <v>43.7231</v>
      </c>
      <c r="G1517">
        <v>731.057</v>
      </c>
      <c r="H1517" s="1">
        <v>37886</v>
      </c>
      <c r="I1517" s="1">
        <v>37887</v>
      </c>
      <c r="J1517" t="s">
        <v>15</v>
      </c>
      <c r="K1517">
        <v>1</v>
      </c>
      <c r="L1517">
        <v>30</v>
      </c>
      <c r="M1517" t="s">
        <v>18</v>
      </c>
      <c r="N1517">
        <v>1</v>
      </c>
    </row>
    <row r="1518" hidden="1" spans="1:14">
      <c r="A1518">
        <v>2395</v>
      </c>
      <c r="B1518">
        <v>0</v>
      </c>
      <c r="C1518" t="s">
        <v>414</v>
      </c>
      <c r="D1518">
        <v>0</v>
      </c>
      <c r="E1518">
        <v>4.94085</v>
      </c>
      <c r="F1518">
        <v>44.8217</v>
      </c>
      <c r="G1518">
        <v>86272.34</v>
      </c>
      <c r="H1518" s="1">
        <v>37956</v>
      </c>
      <c r="I1518" s="1">
        <v>37965</v>
      </c>
      <c r="J1518" t="s">
        <v>15</v>
      </c>
      <c r="K1518">
        <v>9</v>
      </c>
      <c r="L1518">
        <v>27000</v>
      </c>
      <c r="M1518" t="s">
        <v>16</v>
      </c>
      <c r="N1518">
        <v>2</v>
      </c>
    </row>
    <row r="1519" hidden="1" spans="1:14">
      <c r="A1519">
        <v>2724</v>
      </c>
      <c r="B1519">
        <v>0</v>
      </c>
      <c r="C1519" t="s">
        <v>414</v>
      </c>
      <c r="D1519">
        <v>0</v>
      </c>
      <c r="E1519">
        <v>4.18619</v>
      </c>
      <c r="F1519">
        <v>44.0571</v>
      </c>
      <c r="G1519">
        <v>9814.17</v>
      </c>
      <c r="H1519" s="1">
        <v>38602</v>
      </c>
      <c r="I1519" s="1">
        <v>38604</v>
      </c>
      <c r="J1519" t="s">
        <v>15</v>
      </c>
      <c r="K1519">
        <v>0</v>
      </c>
      <c r="L1519">
        <v>3000</v>
      </c>
      <c r="M1519" t="s">
        <v>16</v>
      </c>
      <c r="N1519">
        <v>1</v>
      </c>
    </row>
    <row r="1520" hidden="1" spans="1:14">
      <c r="A1520">
        <v>2763</v>
      </c>
      <c r="B1520">
        <v>0</v>
      </c>
      <c r="C1520" t="s">
        <v>414</v>
      </c>
      <c r="D1520">
        <v>0</v>
      </c>
      <c r="E1520">
        <v>3.00636</v>
      </c>
      <c r="F1520">
        <v>42.9478</v>
      </c>
      <c r="G1520">
        <v>1981.92</v>
      </c>
      <c r="H1520" s="1">
        <v>38671</v>
      </c>
      <c r="I1520" s="1">
        <v>38673</v>
      </c>
      <c r="J1520" t="s">
        <v>15</v>
      </c>
      <c r="K1520">
        <v>2</v>
      </c>
      <c r="L1520">
        <v>1000</v>
      </c>
      <c r="M1520" t="s">
        <v>16</v>
      </c>
      <c r="N1520">
        <v>1</v>
      </c>
    </row>
    <row r="1521" hidden="1" spans="1:14">
      <c r="A1521">
        <v>3086</v>
      </c>
      <c r="B1521">
        <v>0</v>
      </c>
      <c r="C1521" t="s">
        <v>414</v>
      </c>
      <c r="D1521">
        <v>0</v>
      </c>
      <c r="E1521">
        <v>-0.472122</v>
      </c>
      <c r="F1521">
        <v>43.2956</v>
      </c>
      <c r="G1521">
        <v>3174.16</v>
      </c>
      <c r="H1521" s="1">
        <v>39227</v>
      </c>
      <c r="I1521" s="1">
        <v>39229</v>
      </c>
      <c r="J1521" t="s">
        <v>15</v>
      </c>
      <c r="K1521">
        <v>1</v>
      </c>
      <c r="L1521">
        <v>500</v>
      </c>
      <c r="M1521" t="s">
        <v>16</v>
      </c>
      <c r="N1521">
        <v>1</v>
      </c>
    </row>
    <row r="1522" hidden="1" spans="1:14">
      <c r="A1522">
        <v>3315</v>
      </c>
      <c r="C1522" t="s">
        <v>414</v>
      </c>
      <c r="D1522">
        <v>0</v>
      </c>
      <c r="E1522">
        <v>8.91392</v>
      </c>
      <c r="F1522">
        <v>48.0799</v>
      </c>
      <c r="G1522">
        <v>154307.03</v>
      </c>
      <c r="H1522" s="1">
        <v>39600</v>
      </c>
      <c r="I1522" s="1">
        <v>39602</v>
      </c>
      <c r="J1522" t="s">
        <v>15</v>
      </c>
      <c r="K1522">
        <v>3</v>
      </c>
      <c r="L1522">
        <v>0</v>
      </c>
      <c r="M1522" t="s">
        <v>16</v>
      </c>
      <c r="N1522">
        <v>1</v>
      </c>
    </row>
    <row r="1523" hidden="1" spans="1:14">
      <c r="A1523">
        <v>3433</v>
      </c>
      <c r="B1523">
        <v>0</v>
      </c>
      <c r="C1523" t="s">
        <v>414</v>
      </c>
      <c r="D1523">
        <v>0</v>
      </c>
      <c r="E1523">
        <v>-2.6099</v>
      </c>
      <c r="F1523">
        <v>42.2483</v>
      </c>
      <c r="G1523">
        <v>173199.93</v>
      </c>
      <c r="H1523" s="1">
        <v>39821</v>
      </c>
      <c r="I1523" s="1">
        <v>39829</v>
      </c>
      <c r="J1523" t="s">
        <v>15</v>
      </c>
      <c r="K1523">
        <v>11</v>
      </c>
      <c r="L1523">
        <v>9400</v>
      </c>
      <c r="M1523" t="s">
        <v>49</v>
      </c>
      <c r="N1523">
        <v>2</v>
      </c>
    </row>
    <row r="1524" hidden="1" spans="1:14">
      <c r="A1524">
        <v>3612</v>
      </c>
      <c r="B1524">
        <v>0</v>
      </c>
      <c r="C1524" t="s">
        <v>414</v>
      </c>
      <c r="D1524">
        <v>0</v>
      </c>
      <c r="E1524">
        <v>-1.53213</v>
      </c>
      <c r="F1524">
        <v>46.7732</v>
      </c>
      <c r="G1524">
        <v>30834.35</v>
      </c>
      <c r="H1524" s="1">
        <v>40237</v>
      </c>
      <c r="I1524" s="1">
        <v>40239</v>
      </c>
      <c r="J1524">
        <v>0</v>
      </c>
      <c r="K1524">
        <v>48</v>
      </c>
      <c r="L1524">
        <v>500</v>
      </c>
      <c r="M1524" t="s">
        <v>416</v>
      </c>
      <c r="N1524">
        <v>2</v>
      </c>
    </row>
    <row r="1525" hidden="1" spans="1:14">
      <c r="A1525">
        <v>3661</v>
      </c>
      <c r="B1525">
        <v>0</v>
      </c>
      <c r="C1525" t="s">
        <v>414</v>
      </c>
      <c r="D1525">
        <v>0</v>
      </c>
      <c r="E1525">
        <v>6.59134</v>
      </c>
      <c r="F1525">
        <v>43.4973</v>
      </c>
      <c r="G1525">
        <v>7699.78</v>
      </c>
      <c r="H1525" s="1">
        <v>40345</v>
      </c>
      <c r="I1525" s="1">
        <v>40346</v>
      </c>
      <c r="J1525">
        <v>0</v>
      </c>
      <c r="K1525">
        <v>19</v>
      </c>
      <c r="L1525">
        <v>0</v>
      </c>
      <c r="M1525" t="s">
        <v>52</v>
      </c>
      <c r="N1525">
        <v>2</v>
      </c>
    </row>
    <row r="1526" hidden="1" spans="1:14">
      <c r="A1526">
        <v>4039</v>
      </c>
      <c r="C1526" t="s">
        <v>414</v>
      </c>
      <c r="E1526">
        <v>2.54269</v>
      </c>
      <c r="F1526">
        <v>43.2579</v>
      </c>
      <c r="G1526">
        <v>5910.43</v>
      </c>
      <c r="H1526" s="1">
        <v>41342</v>
      </c>
      <c r="I1526" s="1">
        <v>41350</v>
      </c>
      <c r="J1526" t="s">
        <v>15</v>
      </c>
      <c r="K1526">
        <v>1</v>
      </c>
      <c r="L1526">
        <v>1200</v>
      </c>
      <c r="M1526" t="s">
        <v>49</v>
      </c>
      <c r="N1526">
        <v>1</v>
      </c>
    </row>
    <row r="1527" hidden="1" spans="1:14">
      <c r="A1527">
        <v>4122</v>
      </c>
      <c r="C1527" t="s">
        <v>414</v>
      </c>
      <c r="D1527" t="s">
        <v>415</v>
      </c>
      <c r="E1527">
        <v>7.0993</v>
      </c>
      <c r="F1527">
        <v>43.9958</v>
      </c>
      <c r="G1527">
        <v>82989.45</v>
      </c>
      <c r="H1527" s="1">
        <v>41659</v>
      </c>
      <c r="I1527" s="1">
        <v>41677</v>
      </c>
      <c r="J1527" t="s">
        <v>15</v>
      </c>
      <c r="K1527">
        <v>4</v>
      </c>
      <c r="L1527">
        <v>1000</v>
      </c>
      <c r="M1527" t="s">
        <v>49</v>
      </c>
      <c r="N1527">
        <v>1.5</v>
      </c>
    </row>
    <row r="1528" hidden="1" spans="1:14">
      <c r="A1528">
        <v>4203</v>
      </c>
      <c r="C1528" t="s">
        <v>414</v>
      </c>
      <c r="E1528">
        <v>5.09507</v>
      </c>
      <c r="F1528">
        <v>44.2452</v>
      </c>
      <c r="G1528">
        <v>36709.07</v>
      </c>
      <c r="H1528" s="1">
        <v>41956</v>
      </c>
      <c r="I1528" s="1">
        <v>41959</v>
      </c>
      <c r="J1528" t="s">
        <v>15</v>
      </c>
      <c r="K1528">
        <v>5</v>
      </c>
      <c r="L1528">
        <v>0</v>
      </c>
      <c r="M1528" t="s">
        <v>49</v>
      </c>
      <c r="N1528">
        <v>1.5</v>
      </c>
    </row>
    <row r="1529" hidden="1" spans="1:14">
      <c r="A1529">
        <v>4209</v>
      </c>
      <c r="C1529" t="s">
        <v>414</v>
      </c>
      <c r="E1529">
        <v>0.863937</v>
      </c>
      <c r="F1529">
        <v>43.999</v>
      </c>
      <c r="G1529">
        <v>123269.25</v>
      </c>
      <c r="H1529" s="1">
        <v>41972</v>
      </c>
      <c r="I1529" s="1">
        <v>41978</v>
      </c>
      <c r="J1529" t="s">
        <v>15</v>
      </c>
      <c r="K1529">
        <v>5</v>
      </c>
      <c r="L1529">
        <v>3000</v>
      </c>
      <c r="M1529" t="s">
        <v>52</v>
      </c>
      <c r="N1529">
        <v>1.5</v>
      </c>
    </row>
    <row r="1530" hidden="1" spans="1:14">
      <c r="A1530">
        <v>4296</v>
      </c>
      <c r="C1530" t="s">
        <v>414</v>
      </c>
      <c r="E1530">
        <v>6.5302</v>
      </c>
      <c r="F1530">
        <v>43.3765</v>
      </c>
      <c r="G1530">
        <v>2895.95</v>
      </c>
      <c r="H1530" s="1">
        <v>42280</v>
      </c>
      <c r="I1530" s="1">
        <v>42284</v>
      </c>
      <c r="J1530" t="s">
        <v>15</v>
      </c>
      <c r="K1530">
        <v>16</v>
      </c>
      <c r="L1530">
        <v>0</v>
      </c>
      <c r="M1530" t="s">
        <v>52</v>
      </c>
      <c r="N1530">
        <v>1.5</v>
      </c>
    </row>
    <row r="1531" hidden="1" spans="1:14">
      <c r="A1531">
        <v>4366</v>
      </c>
      <c r="C1531" t="s">
        <v>414</v>
      </c>
      <c r="E1531">
        <v>2.99188</v>
      </c>
      <c r="F1531">
        <v>48.0641</v>
      </c>
      <c r="G1531">
        <v>121606.09</v>
      </c>
      <c r="H1531" s="1">
        <v>42522</v>
      </c>
      <c r="I1531" s="1">
        <v>42542</v>
      </c>
      <c r="J1531" t="s">
        <v>15</v>
      </c>
      <c r="K1531">
        <v>4</v>
      </c>
      <c r="L1531">
        <v>0</v>
      </c>
      <c r="M1531" t="s">
        <v>49</v>
      </c>
      <c r="N1531">
        <v>2</v>
      </c>
    </row>
    <row r="1532" hidden="1" spans="1:14">
      <c r="A1532">
        <v>4491</v>
      </c>
      <c r="C1532" t="s">
        <v>414</v>
      </c>
      <c r="E1532">
        <v>3.33829</v>
      </c>
      <c r="F1532">
        <v>45.4855</v>
      </c>
      <c r="G1532">
        <v>45514.5</v>
      </c>
      <c r="H1532" s="1">
        <v>42899</v>
      </c>
      <c r="I1532" s="1">
        <v>42901</v>
      </c>
      <c r="J1532" t="s">
        <v>15</v>
      </c>
      <c r="K1532">
        <v>1</v>
      </c>
      <c r="L1532">
        <v>160</v>
      </c>
      <c r="M1532" t="s">
        <v>52</v>
      </c>
      <c r="N1532">
        <v>1</v>
      </c>
    </row>
    <row r="1533" hidden="1" spans="1:14">
      <c r="A1533">
        <v>4566</v>
      </c>
      <c r="C1533" t="s">
        <v>414</v>
      </c>
      <c r="E1533">
        <v>1.60624</v>
      </c>
      <c r="F1533">
        <v>48.5107</v>
      </c>
      <c r="G1533">
        <v>72015.73</v>
      </c>
      <c r="H1533" s="1">
        <v>43124</v>
      </c>
      <c r="I1533" s="1">
        <v>43129</v>
      </c>
      <c r="J1533" t="s">
        <v>56</v>
      </c>
      <c r="K1533">
        <v>0</v>
      </c>
      <c r="L1533">
        <v>1000</v>
      </c>
      <c r="M1533" t="s">
        <v>49</v>
      </c>
      <c r="N1533">
        <v>1.5</v>
      </c>
    </row>
    <row r="1534" hidden="1" spans="1:14">
      <c r="A1534">
        <v>4628</v>
      </c>
      <c r="C1534" t="s">
        <v>414</v>
      </c>
      <c r="E1534">
        <v>-3.61464</v>
      </c>
      <c r="F1534">
        <v>48.1913</v>
      </c>
      <c r="G1534">
        <v>12919.82</v>
      </c>
      <c r="H1534" s="1">
        <v>43254</v>
      </c>
      <c r="I1534" s="1">
        <v>43255</v>
      </c>
      <c r="J1534" t="s">
        <v>56</v>
      </c>
      <c r="K1534">
        <v>0</v>
      </c>
      <c r="L1534">
        <v>20</v>
      </c>
      <c r="M1534" t="s">
        <v>49</v>
      </c>
      <c r="N1534">
        <v>1</v>
      </c>
    </row>
    <row r="1535" hidden="1" spans="1:14">
      <c r="A1535">
        <v>4659</v>
      </c>
      <c r="C1535" t="s">
        <v>414</v>
      </c>
      <c r="E1535">
        <v>5.78789</v>
      </c>
      <c r="F1535">
        <v>44.4181</v>
      </c>
      <c r="G1535">
        <v>56965.28</v>
      </c>
      <c r="H1535" s="1">
        <v>43321</v>
      </c>
      <c r="I1535" s="1">
        <v>43322</v>
      </c>
      <c r="J1535" t="s">
        <v>56</v>
      </c>
      <c r="K1535">
        <v>0</v>
      </c>
      <c r="L1535">
        <v>1600</v>
      </c>
      <c r="M1535" t="s">
        <v>52</v>
      </c>
      <c r="N1535">
        <v>1.5</v>
      </c>
    </row>
    <row r="1536" hidden="1" spans="1:14">
      <c r="A1536">
        <v>5020</v>
      </c>
      <c r="C1536" t="s">
        <v>414</v>
      </c>
      <c r="E1536">
        <v>1.95265</v>
      </c>
      <c r="F1536">
        <v>46.1065</v>
      </c>
      <c r="G1536">
        <v>291654.6</v>
      </c>
      <c r="H1536" s="1">
        <v>44227</v>
      </c>
      <c r="I1536" s="1">
        <v>44230</v>
      </c>
      <c r="J1536" t="s">
        <v>56</v>
      </c>
      <c r="K1536">
        <v>1</v>
      </c>
      <c r="L1536">
        <v>150</v>
      </c>
      <c r="M1536" t="s">
        <v>49</v>
      </c>
      <c r="N1536">
        <v>1</v>
      </c>
    </row>
    <row r="1537" hidden="1" spans="1:14">
      <c r="A1537">
        <v>256</v>
      </c>
      <c r="B1537">
        <v>0</v>
      </c>
      <c r="C1537" t="s">
        <v>417</v>
      </c>
      <c r="D1537">
        <v>0</v>
      </c>
      <c r="E1537">
        <v>4.3611</v>
      </c>
      <c r="F1537">
        <v>43.8055</v>
      </c>
      <c r="G1537">
        <v>716.771</v>
      </c>
      <c r="H1537" s="1">
        <v>32419</v>
      </c>
      <c r="I1537" s="1">
        <v>32419</v>
      </c>
      <c r="J1537" t="s">
        <v>15</v>
      </c>
      <c r="K1537">
        <v>10</v>
      </c>
      <c r="L1537">
        <v>300</v>
      </c>
      <c r="M1537" t="s">
        <v>64</v>
      </c>
      <c r="N1537">
        <v>1</v>
      </c>
    </row>
    <row r="1538" hidden="1" spans="1:14">
      <c r="A1538">
        <v>758</v>
      </c>
      <c r="B1538">
        <v>0</v>
      </c>
      <c r="C1538" t="s">
        <v>417</v>
      </c>
      <c r="D1538">
        <v>0</v>
      </c>
      <c r="E1538">
        <v>4.60164</v>
      </c>
      <c r="F1538">
        <v>45.7497</v>
      </c>
      <c r="G1538">
        <v>2738.14</v>
      </c>
      <c r="H1538" s="1">
        <v>34156</v>
      </c>
      <c r="I1538" s="1">
        <v>34156</v>
      </c>
      <c r="J1538" t="s">
        <v>15</v>
      </c>
      <c r="K1538">
        <v>2</v>
      </c>
      <c r="L1538">
        <v>100</v>
      </c>
      <c r="M1538" t="s">
        <v>64</v>
      </c>
      <c r="N1538">
        <v>1</v>
      </c>
    </row>
    <row r="1539" hidden="1" spans="1:14">
      <c r="A1539">
        <v>1639</v>
      </c>
      <c r="B1539">
        <v>0</v>
      </c>
      <c r="C1539" t="s">
        <v>417</v>
      </c>
      <c r="D1539">
        <v>0</v>
      </c>
      <c r="E1539">
        <v>4.40411</v>
      </c>
      <c r="F1539">
        <v>43.8005</v>
      </c>
      <c r="G1539">
        <v>18172.83</v>
      </c>
      <c r="H1539" s="1">
        <v>36788</v>
      </c>
      <c r="I1539" s="1">
        <v>36789</v>
      </c>
      <c r="J1539" t="s">
        <v>15</v>
      </c>
      <c r="K1539">
        <v>6</v>
      </c>
      <c r="L1539">
        <v>0</v>
      </c>
      <c r="M1539" t="s">
        <v>16</v>
      </c>
      <c r="N1539">
        <v>1</v>
      </c>
    </row>
    <row r="1540" hidden="1" spans="1:14">
      <c r="A1540">
        <v>1706</v>
      </c>
      <c r="B1540">
        <v>0</v>
      </c>
      <c r="C1540" t="s">
        <v>417</v>
      </c>
      <c r="D1540">
        <v>0</v>
      </c>
      <c r="E1540">
        <v>4.2198</v>
      </c>
      <c r="F1540">
        <v>47.6793</v>
      </c>
      <c r="G1540">
        <v>78097.03</v>
      </c>
      <c r="H1540" s="1">
        <v>36971</v>
      </c>
      <c r="I1540" s="1">
        <v>36978</v>
      </c>
      <c r="J1540" t="s">
        <v>15</v>
      </c>
      <c r="K1540">
        <v>0</v>
      </c>
      <c r="L1540">
        <v>1400</v>
      </c>
      <c r="M1540" t="s">
        <v>16</v>
      </c>
      <c r="N1540">
        <v>1</v>
      </c>
    </row>
    <row r="1541" hidden="1" spans="1:14">
      <c r="A1541">
        <v>1806</v>
      </c>
      <c r="B1541">
        <v>0</v>
      </c>
      <c r="C1541" t="s">
        <v>417</v>
      </c>
      <c r="D1541">
        <v>0</v>
      </c>
      <c r="E1541">
        <v>4.37317</v>
      </c>
      <c r="F1541">
        <v>43.9695</v>
      </c>
      <c r="G1541">
        <v>4136.26</v>
      </c>
      <c r="H1541" s="1">
        <v>37171</v>
      </c>
      <c r="I1541" s="1">
        <v>37171</v>
      </c>
      <c r="J1541" t="s">
        <v>15</v>
      </c>
      <c r="K1541">
        <v>2</v>
      </c>
      <c r="L1541">
        <v>0</v>
      </c>
      <c r="M1541" t="s">
        <v>18</v>
      </c>
      <c r="N1541">
        <v>1</v>
      </c>
    </row>
    <row r="1542" hidden="1" spans="1:14">
      <c r="A1542">
        <v>604</v>
      </c>
      <c r="B1542">
        <v>0</v>
      </c>
      <c r="C1542" t="s">
        <v>418</v>
      </c>
      <c r="D1542">
        <v>0</v>
      </c>
      <c r="E1542">
        <v>-149.853</v>
      </c>
      <c r="F1542">
        <v>-17.5254</v>
      </c>
      <c r="G1542">
        <v>112.688</v>
      </c>
      <c r="H1542" s="1">
        <v>33583</v>
      </c>
      <c r="I1542" s="1">
        <v>33584</v>
      </c>
      <c r="J1542" t="s">
        <v>15</v>
      </c>
      <c r="K1542">
        <v>2</v>
      </c>
      <c r="L1542">
        <v>0</v>
      </c>
      <c r="M1542" t="s">
        <v>86</v>
      </c>
      <c r="N1542">
        <v>1</v>
      </c>
    </row>
    <row r="1543" hidden="1" spans="1:14">
      <c r="A1543">
        <v>271</v>
      </c>
      <c r="B1543">
        <v>0</v>
      </c>
      <c r="C1543" t="s">
        <v>419</v>
      </c>
      <c r="D1543">
        <v>0</v>
      </c>
      <c r="E1543">
        <v>10.5656</v>
      </c>
      <c r="F1543">
        <v>-0.86622</v>
      </c>
      <c r="G1543">
        <v>70725.27</v>
      </c>
      <c r="H1543" s="1">
        <v>32475</v>
      </c>
      <c r="I1543" s="1">
        <v>32480</v>
      </c>
      <c r="J1543" t="s">
        <v>15</v>
      </c>
      <c r="K1543">
        <v>0</v>
      </c>
      <c r="L1543">
        <v>0</v>
      </c>
      <c r="M1543" t="s">
        <v>64</v>
      </c>
      <c r="N1543">
        <v>1</v>
      </c>
    </row>
    <row r="1544" hidden="1" spans="1:14">
      <c r="A1544">
        <v>3906</v>
      </c>
      <c r="B1544" t="s">
        <v>420</v>
      </c>
      <c r="C1544" t="s">
        <v>421</v>
      </c>
      <c r="E1544">
        <v>34.4615</v>
      </c>
      <c r="F1544">
        <v>31.4583</v>
      </c>
      <c r="G1544">
        <v>594.251</v>
      </c>
      <c r="H1544" s="1">
        <v>40972</v>
      </c>
      <c r="I1544" s="1">
        <v>40975</v>
      </c>
      <c r="J1544" t="s">
        <v>15</v>
      </c>
      <c r="K1544">
        <v>0</v>
      </c>
      <c r="L1544">
        <v>1200</v>
      </c>
      <c r="M1544" t="s">
        <v>49</v>
      </c>
      <c r="N1544">
        <v>1</v>
      </c>
    </row>
    <row r="1545" hidden="1" spans="1:14">
      <c r="A1545">
        <v>122</v>
      </c>
      <c r="B1545">
        <v>0</v>
      </c>
      <c r="C1545" t="s">
        <v>422</v>
      </c>
      <c r="D1545">
        <v>0</v>
      </c>
      <c r="E1545">
        <v>41.8577</v>
      </c>
      <c r="F1545">
        <v>43.1418</v>
      </c>
      <c r="G1545">
        <v>33921.64</v>
      </c>
      <c r="H1545" s="1">
        <v>31805</v>
      </c>
      <c r="I1545" s="1">
        <v>31822</v>
      </c>
      <c r="J1545" t="s">
        <v>15</v>
      </c>
      <c r="K1545">
        <v>110</v>
      </c>
      <c r="L1545">
        <v>10000</v>
      </c>
      <c r="M1545" t="s">
        <v>16</v>
      </c>
      <c r="N1545">
        <v>1</v>
      </c>
    </row>
    <row r="1546" hidden="1" spans="1:14">
      <c r="A1546">
        <v>300</v>
      </c>
      <c r="B1546">
        <v>0</v>
      </c>
      <c r="C1546" t="s">
        <v>422</v>
      </c>
      <c r="D1546">
        <v>0</v>
      </c>
      <c r="E1546">
        <v>42.0695</v>
      </c>
      <c r="F1546">
        <v>41.6531</v>
      </c>
      <c r="G1546">
        <v>3020.22</v>
      </c>
      <c r="H1546" s="1">
        <v>32616</v>
      </c>
      <c r="I1546" s="1">
        <v>32628</v>
      </c>
      <c r="J1546" t="s">
        <v>15</v>
      </c>
      <c r="K1546">
        <v>52</v>
      </c>
      <c r="L1546">
        <v>20000</v>
      </c>
      <c r="M1546" t="s">
        <v>38</v>
      </c>
      <c r="N1546">
        <v>1</v>
      </c>
    </row>
    <row r="1547" hidden="1" spans="1:14">
      <c r="A1547">
        <v>966</v>
      </c>
      <c r="B1547">
        <v>0</v>
      </c>
      <c r="C1547" t="s">
        <v>422</v>
      </c>
      <c r="D1547">
        <v>0</v>
      </c>
      <c r="E1547">
        <v>41.4993</v>
      </c>
      <c r="F1547">
        <v>42.9785</v>
      </c>
      <c r="G1547">
        <v>8421.62</v>
      </c>
      <c r="H1547" s="1">
        <v>34881</v>
      </c>
      <c r="I1547" s="1">
        <v>34891</v>
      </c>
      <c r="J1547" t="s">
        <v>15</v>
      </c>
      <c r="K1547">
        <v>5</v>
      </c>
      <c r="L1547">
        <v>0</v>
      </c>
      <c r="M1547" t="s">
        <v>16</v>
      </c>
      <c r="N1547">
        <v>1</v>
      </c>
    </row>
    <row r="1548" hidden="1" spans="1:14">
      <c r="A1548">
        <v>1209</v>
      </c>
      <c r="B1548">
        <v>0</v>
      </c>
      <c r="C1548" t="s">
        <v>422</v>
      </c>
      <c r="D1548">
        <v>0</v>
      </c>
      <c r="E1548">
        <v>44.1686</v>
      </c>
      <c r="F1548">
        <v>42.1497</v>
      </c>
      <c r="G1548">
        <v>56749.17</v>
      </c>
      <c r="H1548" s="1">
        <v>35431</v>
      </c>
      <c r="I1548" s="1">
        <v>35436</v>
      </c>
      <c r="J1548" t="s">
        <v>15</v>
      </c>
      <c r="K1548">
        <v>3</v>
      </c>
      <c r="L1548">
        <v>0</v>
      </c>
      <c r="M1548" t="s">
        <v>38</v>
      </c>
      <c r="N1548">
        <v>1</v>
      </c>
    </row>
    <row r="1549" hidden="1" spans="1:14">
      <c r="A1549">
        <v>1220</v>
      </c>
      <c r="B1549">
        <v>0</v>
      </c>
      <c r="C1549" t="s">
        <v>422</v>
      </c>
      <c r="D1549">
        <v>0</v>
      </c>
      <c r="E1549">
        <v>43.9997</v>
      </c>
      <c r="F1549">
        <v>42.2803</v>
      </c>
      <c r="G1549">
        <v>31945.28</v>
      </c>
      <c r="H1549" s="1">
        <v>35546</v>
      </c>
      <c r="I1549" s="1">
        <v>35552</v>
      </c>
      <c r="J1549" t="s">
        <v>15</v>
      </c>
      <c r="K1549">
        <v>4</v>
      </c>
      <c r="L1549">
        <v>300</v>
      </c>
      <c r="M1549" t="s">
        <v>16</v>
      </c>
      <c r="N1549">
        <v>1</v>
      </c>
    </row>
    <row r="1550" hidden="1" spans="1:14">
      <c r="A1550">
        <v>1970</v>
      </c>
      <c r="B1550">
        <v>0</v>
      </c>
      <c r="C1550" t="s">
        <v>422</v>
      </c>
      <c r="D1550">
        <v>0</v>
      </c>
      <c r="E1550">
        <v>45.5916</v>
      </c>
      <c r="F1550">
        <v>41.7532</v>
      </c>
      <c r="G1550">
        <v>13581.27</v>
      </c>
      <c r="H1550" s="1">
        <v>37436</v>
      </c>
      <c r="I1550" s="1">
        <v>37439</v>
      </c>
      <c r="J1550" t="s">
        <v>15</v>
      </c>
      <c r="K1550">
        <v>0</v>
      </c>
      <c r="L1550">
        <v>0</v>
      </c>
      <c r="M1550" t="s">
        <v>16</v>
      </c>
      <c r="N1550">
        <v>2</v>
      </c>
    </row>
    <row r="1551" hidden="1" spans="1:14">
      <c r="A1551">
        <v>2200</v>
      </c>
      <c r="B1551">
        <v>0</v>
      </c>
      <c r="C1551" t="s">
        <v>422</v>
      </c>
      <c r="D1551">
        <v>0</v>
      </c>
      <c r="E1551">
        <v>47.1348</v>
      </c>
      <c r="F1551">
        <v>40.2225</v>
      </c>
      <c r="G1551">
        <v>241748.7</v>
      </c>
      <c r="H1551" s="1">
        <v>37718</v>
      </c>
      <c r="I1551" s="1">
        <v>37728</v>
      </c>
      <c r="J1551" t="s">
        <v>15</v>
      </c>
      <c r="K1551">
        <v>2</v>
      </c>
      <c r="L1551">
        <v>20000</v>
      </c>
      <c r="M1551" t="s">
        <v>16</v>
      </c>
      <c r="N1551">
        <v>2</v>
      </c>
    </row>
    <row r="1552" hidden="1" spans="1:14">
      <c r="A1552">
        <v>2497</v>
      </c>
      <c r="B1552">
        <v>0</v>
      </c>
      <c r="C1552" t="s">
        <v>422</v>
      </c>
      <c r="D1552">
        <v>0</v>
      </c>
      <c r="E1552">
        <v>42.4108</v>
      </c>
      <c r="F1552">
        <v>42.3494</v>
      </c>
      <c r="G1552">
        <v>45909.97</v>
      </c>
      <c r="H1552" s="1">
        <v>38147</v>
      </c>
      <c r="I1552" s="1">
        <v>38150</v>
      </c>
      <c r="J1552" t="s">
        <v>15</v>
      </c>
      <c r="K1552">
        <v>0</v>
      </c>
      <c r="L1552">
        <v>0</v>
      </c>
      <c r="M1552" t="s">
        <v>16</v>
      </c>
      <c r="N1552">
        <v>2</v>
      </c>
    </row>
    <row r="1553" hidden="1" spans="1:14">
      <c r="A1553">
        <v>2529</v>
      </c>
      <c r="B1553">
        <v>0</v>
      </c>
      <c r="C1553" t="s">
        <v>422</v>
      </c>
      <c r="D1553">
        <v>0</v>
      </c>
      <c r="E1553">
        <v>42.6406</v>
      </c>
      <c r="F1553">
        <v>42.9478</v>
      </c>
      <c r="G1553">
        <v>2163.87</v>
      </c>
      <c r="H1553" s="1">
        <v>38183</v>
      </c>
      <c r="I1553" s="1">
        <v>38188</v>
      </c>
      <c r="J1553" t="s">
        <v>15</v>
      </c>
      <c r="K1553">
        <v>1</v>
      </c>
      <c r="L1553">
        <v>0</v>
      </c>
      <c r="M1553" t="s">
        <v>16</v>
      </c>
      <c r="N1553">
        <v>1</v>
      </c>
    </row>
    <row r="1554" hidden="1" spans="1:14">
      <c r="A1554">
        <v>2650</v>
      </c>
      <c r="B1554">
        <v>0</v>
      </c>
      <c r="C1554" t="s">
        <v>422</v>
      </c>
      <c r="D1554" t="s">
        <v>275</v>
      </c>
      <c r="E1554">
        <v>41.5522</v>
      </c>
      <c r="F1554">
        <v>42.6487</v>
      </c>
      <c r="G1554">
        <v>1515482.22</v>
      </c>
      <c r="H1554" s="1">
        <v>38467</v>
      </c>
      <c r="I1554" s="1">
        <v>38502</v>
      </c>
      <c r="J1554" t="s">
        <v>15</v>
      </c>
      <c r="K1554">
        <v>0</v>
      </c>
      <c r="L1554">
        <v>6000</v>
      </c>
      <c r="M1554" t="s">
        <v>16</v>
      </c>
      <c r="N1554">
        <v>1</v>
      </c>
    </row>
    <row r="1555" hidden="1" spans="1:14">
      <c r="A1555">
        <v>2665</v>
      </c>
      <c r="B1555">
        <v>0</v>
      </c>
      <c r="C1555" t="s">
        <v>422</v>
      </c>
      <c r="D1555">
        <v>0</v>
      </c>
      <c r="E1555">
        <v>45.3243</v>
      </c>
      <c r="F1555">
        <v>42.0489</v>
      </c>
      <c r="G1555">
        <v>14901.1</v>
      </c>
      <c r="H1555" s="1">
        <v>38508</v>
      </c>
      <c r="I1555" s="1">
        <v>38520</v>
      </c>
      <c r="J1555" t="s">
        <v>15</v>
      </c>
      <c r="K1555">
        <v>1</v>
      </c>
      <c r="L1555">
        <v>50</v>
      </c>
      <c r="M1555" t="s">
        <v>16</v>
      </c>
      <c r="N1555">
        <v>1</v>
      </c>
    </row>
    <row r="1556" hidden="1" spans="1:14">
      <c r="A1556">
        <v>2843</v>
      </c>
      <c r="B1556">
        <v>0</v>
      </c>
      <c r="C1556" t="s">
        <v>422</v>
      </c>
      <c r="D1556">
        <v>0</v>
      </c>
      <c r="E1556">
        <v>42.8313</v>
      </c>
      <c r="F1556">
        <v>42.2677</v>
      </c>
      <c r="G1556">
        <v>29216.79</v>
      </c>
      <c r="H1556" s="1">
        <v>38822</v>
      </c>
      <c r="I1556" s="1">
        <v>38831</v>
      </c>
      <c r="J1556" t="s">
        <v>15</v>
      </c>
      <c r="K1556">
        <v>0</v>
      </c>
      <c r="L1556">
        <v>600</v>
      </c>
      <c r="M1556" t="s">
        <v>25</v>
      </c>
      <c r="N1556">
        <v>1</v>
      </c>
    </row>
    <row r="1557" hidden="1" spans="1:14">
      <c r="A1557">
        <v>3826</v>
      </c>
      <c r="C1557" t="s">
        <v>422</v>
      </c>
      <c r="E1557">
        <v>43.4402</v>
      </c>
      <c r="F1557">
        <v>42.0348</v>
      </c>
      <c r="G1557">
        <v>26865.71</v>
      </c>
      <c r="H1557" s="1">
        <v>40712</v>
      </c>
      <c r="I1557" s="1">
        <v>40715</v>
      </c>
      <c r="J1557" t="s">
        <v>15</v>
      </c>
      <c r="K1557">
        <v>4</v>
      </c>
      <c r="L1557">
        <v>0</v>
      </c>
      <c r="M1557" t="s">
        <v>52</v>
      </c>
      <c r="N1557">
        <v>1</v>
      </c>
    </row>
    <row r="1558" hidden="1" spans="1:14">
      <c r="A1558">
        <v>3928</v>
      </c>
      <c r="B1558" t="s">
        <v>423</v>
      </c>
      <c r="C1558" t="s">
        <v>422</v>
      </c>
      <c r="E1558">
        <v>44.5194</v>
      </c>
      <c r="F1558">
        <v>42.0681</v>
      </c>
      <c r="G1558">
        <v>15849.06</v>
      </c>
      <c r="H1558" s="1">
        <v>41041</v>
      </c>
      <c r="I1558" s="1">
        <v>41045</v>
      </c>
      <c r="J1558" t="s">
        <v>15</v>
      </c>
      <c r="K1558">
        <v>5</v>
      </c>
      <c r="L1558">
        <v>1400</v>
      </c>
      <c r="M1558" t="s">
        <v>52</v>
      </c>
      <c r="N1558">
        <v>1</v>
      </c>
    </row>
    <row r="1559" hidden="1" spans="1:14">
      <c r="A1559">
        <v>3951</v>
      </c>
      <c r="B1559" t="s">
        <v>424</v>
      </c>
      <c r="C1559" t="s">
        <v>422</v>
      </c>
      <c r="E1559">
        <v>44.8967</v>
      </c>
      <c r="F1559">
        <v>41.7</v>
      </c>
      <c r="G1559">
        <v>19591.01</v>
      </c>
      <c r="H1559" s="1">
        <v>41109</v>
      </c>
      <c r="I1559" s="1">
        <v>41113</v>
      </c>
      <c r="J1559" t="s">
        <v>15</v>
      </c>
      <c r="K1559">
        <v>0</v>
      </c>
      <c r="L1559">
        <v>0</v>
      </c>
      <c r="M1559" t="s">
        <v>52</v>
      </c>
      <c r="N1559">
        <v>1</v>
      </c>
    </row>
    <row r="1560" hidden="1" spans="1:14">
      <c r="A1560">
        <v>4261</v>
      </c>
      <c r="C1560" t="s">
        <v>422</v>
      </c>
      <c r="E1560">
        <v>44.5362</v>
      </c>
      <c r="F1560">
        <v>42.0683</v>
      </c>
      <c r="G1560">
        <v>13022.99</v>
      </c>
      <c r="H1560" s="1">
        <v>42168</v>
      </c>
      <c r="I1560" s="1">
        <v>42170</v>
      </c>
      <c r="J1560" t="s">
        <v>15</v>
      </c>
      <c r="K1560">
        <v>12</v>
      </c>
      <c r="L1560">
        <v>200</v>
      </c>
      <c r="M1560" t="s">
        <v>52</v>
      </c>
      <c r="N1560">
        <v>1.5</v>
      </c>
    </row>
    <row r="1561" hidden="1" spans="1:14">
      <c r="A1561">
        <v>957</v>
      </c>
      <c r="B1561">
        <v>0</v>
      </c>
      <c r="C1561" t="s">
        <v>350</v>
      </c>
      <c r="D1561">
        <v>0</v>
      </c>
      <c r="E1561">
        <v>10.7405</v>
      </c>
      <c r="F1561">
        <v>48.1302</v>
      </c>
      <c r="G1561">
        <v>57984.4</v>
      </c>
      <c r="H1561" s="1">
        <v>34851</v>
      </c>
      <c r="I1561" s="1">
        <v>34855</v>
      </c>
      <c r="J1561" t="s">
        <v>15</v>
      </c>
      <c r="K1561">
        <v>4</v>
      </c>
      <c r="L1561">
        <v>0</v>
      </c>
      <c r="M1561" t="s">
        <v>16</v>
      </c>
      <c r="N1561">
        <v>1</v>
      </c>
    </row>
    <row r="1562" hidden="1" spans="1:14">
      <c r="A1562">
        <v>1163</v>
      </c>
      <c r="B1562">
        <v>0</v>
      </c>
      <c r="C1562" t="s">
        <v>350</v>
      </c>
      <c r="D1562">
        <v>0</v>
      </c>
      <c r="E1562">
        <v>14.5282</v>
      </c>
      <c r="F1562">
        <v>51.8508</v>
      </c>
      <c r="G1562">
        <v>8359.36</v>
      </c>
      <c r="H1562" s="1">
        <v>35615</v>
      </c>
      <c r="I1562" s="1">
        <v>35651</v>
      </c>
      <c r="J1562" t="s">
        <v>15</v>
      </c>
      <c r="K1562">
        <v>0</v>
      </c>
      <c r="L1562">
        <v>5200</v>
      </c>
      <c r="M1562" t="s">
        <v>16</v>
      </c>
      <c r="N1562">
        <v>2</v>
      </c>
    </row>
    <row r="1563" hidden="1" spans="1:14">
      <c r="A1563">
        <v>1466</v>
      </c>
      <c r="B1563">
        <v>0</v>
      </c>
      <c r="C1563" t="s">
        <v>350</v>
      </c>
      <c r="D1563">
        <v>0</v>
      </c>
      <c r="E1563">
        <v>8.67822</v>
      </c>
      <c r="F1563">
        <v>51.1161</v>
      </c>
      <c r="G1563">
        <v>79672.26</v>
      </c>
      <c r="H1563" s="1">
        <v>36099</v>
      </c>
      <c r="I1563" s="1">
        <v>36116</v>
      </c>
      <c r="J1563" t="s">
        <v>15</v>
      </c>
      <c r="K1563">
        <v>3</v>
      </c>
      <c r="L1563">
        <v>0</v>
      </c>
      <c r="M1563" t="s">
        <v>16</v>
      </c>
      <c r="N1563">
        <v>1</v>
      </c>
    </row>
    <row r="1564" hidden="1" spans="1:14">
      <c r="A1564">
        <v>1511</v>
      </c>
      <c r="B1564">
        <v>0</v>
      </c>
      <c r="C1564" t="s">
        <v>350</v>
      </c>
      <c r="D1564" t="s">
        <v>121</v>
      </c>
      <c r="E1564">
        <v>9.92606</v>
      </c>
      <c r="F1564">
        <v>48.3676</v>
      </c>
      <c r="G1564">
        <v>54320.02</v>
      </c>
      <c r="H1564" s="1">
        <v>36302</v>
      </c>
      <c r="I1564" s="1">
        <v>36309</v>
      </c>
      <c r="J1564" t="s">
        <v>15</v>
      </c>
      <c r="K1564">
        <v>6</v>
      </c>
      <c r="L1564">
        <v>2000</v>
      </c>
      <c r="M1564" t="s">
        <v>16</v>
      </c>
      <c r="N1564">
        <v>2</v>
      </c>
    </row>
    <row r="1565" hidden="1" spans="1:14">
      <c r="A1565">
        <v>1699</v>
      </c>
      <c r="B1565">
        <v>0</v>
      </c>
      <c r="C1565" t="s">
        <v>350</v>
      </c>
      <c r="D1565">
        <v>0</v>
      </c>
      <c r="E1565">
        <v>22.6433</v>
      </c>
      <c r="F1565">
        <v>47.9334</v>
      </c>
      <c r="G1565">
        <v>30197.98</v>
      </c>
      <c r="H1565" s="1">
        <v>36954</v>
      </c>
      <c r="I1565" s="1">
        <v>36967</v>
      </c>
      <c r="J1565" t="s">
        <v>15</v>
      </c>
      <c r="K1565">
        <v>8</v>
      </c>
      <c r="L1565">
        <v>91000</v>
      </c>
      <c r="M1565" t="s">
        <v>16</v>
      </c>
      <c r="N1565">
        <v>2</v>
      </c>
    </row>
    <row r="1566" hidden="1" spans="1:14">
      <c r="A1566">
        <v>2013</v>
      </c>
      <c r="B1566">
        <v>0</v>
      </c>
      <c r="C1566" t="s">
        <v>350</v>
      </c>
      <c r="D1566">
        <v>0</v>
      </c>
      <c r="E1566">
        <v>13.2498</v>
      </c>
      <c r="F1566">
        <v>50.9544</v>
      </c>
      <c r="G1566">
        <v>22266.55</v>
      </c>
      <c r="H1566" s="1">
        <v>37468</v>
      </c>
      <c r="I1566" s="1">
        <v>37476</v>
      </c>
      <c r="J1566" t="s">
        <v>15</v>
      </c>
      <c r="K1566">
        <v>0</v>
      </c>
      <c r="L1566">
        <v>0</v>
      </c>
      <c r="M1566" t="s">
        <v>18</v>
      </c>
      <c r="N1566">
        <v>1</v>
      </c>
    </row>
    <row r="1567" hidden="1" spans="1:14">
      <c r="A1567">
        <v>2024</v>
      </c>
      <c r="B1567">
        <v>0</v>
      </c>
      <c r="C1567" t="s">
        <v>350</v>
      </c>
      <c r="D1567">
        <v>0</v>
      </c>
      <c r="E1567">
        <v>13.0294</v>
      </c>
      <c r="F1567">
        <v>48.5684</v>
      </c>
      <c r="G1567">
        <v>252250.7</v>
      </c>
      <c r="H1567" s="1">
        <v>37475</v>
      </c>
      <c r="I1567" s="1">
        <v>37496</v>
      </c>
      <c r="J1567" t="s">
        <v>15</v>
      </c>
      <c r="K1567">
        <v>55</v>
      </c>
      <c r="L1567">
        <v>250000</v>
      </c>
      <c r="M1567" t="s">
        <v>16</v>
      </c>
      <c r="N1567">
        <v>2</v>
      </c>
    </row>
    <row r="1568" hidden="1" spans="1:14">
      <c r="A1568">
        <v>2117</v>
      </c>
      <c r="B1568">
        <v>0</v>
      </c>
      <c r="C1568" t="s">
        <v>350</v>
      </c>
      <c r="D1568" t="s">
        <v>425</v>
      </c>
      <c r="E1568">
        <v>5.62514</v>
      </c>
      <c r="F1568">
        <v>49.2074</v>
      </c>
      <c r="G1568">
        <v>259752.89</v>
      </c>
      <c r="H1568" s="1">
        <v>37622</v>
      </c>
      <c r="I1568" s="1">
        <v>37629</v>
      </c>
      <c r="J1568" t="s">
        <v>15</v>
      </c>
      <c r="K1568">
        <v>7</v>
      </c>
      <c r="L1568">
        <v>1500</v>
      </c>
      <c r="M1568" t="s">
        <v>16</v>
      </c>
      <c r="N1568">
        <v>1</v>
      </c>
    </row>
    <row r="1569" hidden="1" spans="1:14">
      <c r="A1569">
        <v>3156</v>
      </c>
      <c r="B1569">
        <v>0</v>
      </c>
      <c r="C1569" t="s">
        <v>350</v>
      </c>
      <c r="E1569">
        <v>7.3777</v>
      </c>
      <c r="F1569">
        <v>47.7229</v>
      </c>
      <c r="G1569">
        <v>30941.98</v>
      </c>
      <c r="H1569" s="1">
        <v>39302</v>
      </c>
      <c r="I1569" s="1">
        <v>39306</v>
      </c>
      <c r="J1569" t="s">
        <v>15</v>
      </c>
      <c r="K1569">
        <v>2</v>
      </c>
      <c r="L1569">
        <v>100</v>
      </c>
      <c r="M1569" t="s">
        <v>16</v>
      </c>
      <c r="N1569">
        <v>1</v>
      </c>
    </row>
    <row r="1570" hidden="1" spans="1:14">
      <c r="A1570">
        <v>3698</v>
      </c>
      <c r="B1570">
        <v>0</v>
      </c>
      <c r="C1570" t="s">
        <v>350</v>
      </c>
      <c r="E1570">
        <v>13.9953</v>
      </c>
      <c r="F1570">
        <v>51.4677</v>
      </c>
      <c r="G1570">
        <v>45883.94</v>
      </c>
      <c r="H1570" s="1">
        <v>40386</v>
      </c>
      <c r="I1570" s="1">
        <v>40398</v>
      </c>
      <c r="J1570" t="s">
        <v>15</v>
      </c>
      <c r="K1570">
        <v>15</v>
      </c>
      <c r="L1570">
        <v>3000</v>
      </c>
      <c r="M1570" t="s">
        <v>52</v>
      </c>
      <c r="N1570">
        <v>1.5</v>
      </c>
    </row>
    <row r="1571" hidden="1" spans="1:14">
      <c r="A1571">
        <v>3769</v>
      </c>
      <c r="B1571">
        <v>0</v>
      </c>
      <c r="C1571" t="s">
        <v>350</v>
      </c>
      <c r="E1571">
        <v>7.63154</v>
      </c>
      <c r="F1571">
        <v>50.3468</v>
      </c>
      <c r="G1571">
        <v>17419.69</v>
      </c>
      <c r="H1571" s="1">
        <v>40550</v>
      </c>
      <c r="I1571" s="1">
        <v>40553</v>
      </c>
      <c r="J1571" t="s">
        <v>15</v>
      </c>
      <c r="K1571">
        <v>0</v>
      </c>
      <c r="L1571">
        <v>0</v>
      </c>
      <c r="M1571" t="s">
        <v>49</v>
      </c>
      <c r="N1571">
        <v>1</v>
      </c>
    </row>
    <row r="1572" hidden="1" spans="1:14">
      <c r="A1572">
        <v>4063</v>
      </c>
      <c r="C1572" t="s">
        <v>350</v>
      </c>
      <c r="D1572" t="s">
        <v>348</v>
      </c>
      <c r="E1572">
        <v>12.1089</v>
      </c>
      <c r="F1572">
        <v>49.1358</v>
      </c>
      <c r="G1572">
        <v>241203.7</v>
      </c>
      <c r="H1572" s="1">
        <v>41422</v>
      </c>
      <c r="I1572" s="1">
        <v>41443</v>
      </c>
      <c r="J1572" t="s">
        <v>15</v>
      </c>
      <c r="K1572">
        <v>8</v>
      </c>
      <c r="L1572">
        <v>3000</v>
      </c>
      <c r="M1572" t="s">
        <v>49</v>
      </c>
      <c r="N1572">
        <v>2</v>
      </c>
    </row>
    <row r="1573" hidden="1" spans="1:14">
      <c r="A1573">
        <v>4360</v>
      </c>
      <c r="C1573" t="s">
        <v>350</v>
      </c>
      <c r="E1573">
        <v>10.217</v>
      </c>
      <c r="F1573">
        <v>48.4068</v>
      </c>
      <c r="G1573">
        <v>91554.92</v>
      </c>
      <c r="H1573" s="1">
        <v>42517</v>
      </c>
      <c r="I1573" s="1">
        <v>42520</v>
      </c>
      <c r="J1573" t="s">
        <v>15</v>
      </c>
      <c r="K1573">
        <v>4</v>
      </c>
      <c r="L1573">
        <v>0</v>
      </c>
      <c r="M1573" t="s">
        <v>49</v>
      </c>
      <c r="N1573">
        <v>1.5</v>
      </c>
    </row>
    <row r="1574" hidden="1" spans="1:14">
      <c r="A1574">
        <v>4433</v>
      </c>
      <c r="C1574" t="s">
        <v>350</v>
      </c>
      <c r="E1574">
        <v>9.58328</v>
      </c>
      <c r="F1574">
        <v>54.7053</v>
      </c>
      <c r="G1574">
        <v>18991.85</v>
      </c>
      <c r="H1574" s="1">
        <v>42737</v>
      </c>
      <c r="I1574" s="1">
        <v>42740</v>
      </c>
      <c r="J1574" t="s">
        <v>15</v>
      </c>
      <c r="K1574">
        <v>0</v>
      </c>
      <c r="L1574">
        <v>0</v>
      </c>
      <c r="M1574" t="s">
        <v>426</v>
      </c>
      <c r="N1574">
        <v>1.5</v>
      </c>
    </row>
    <row r="1575" hidden="1" spans="1:14">
      <c r="A1575">
        <v>4503</v>
      </c>
      <c r="C1575" t="s">
        <v>350</v>
      </c>
      <c r="E1575">
        <v>9.92006</v>
      </c>
      <c r="F1575">
        <v>52.9946</v>
      </c>
      <c r="G1575">
        <v>25766.72</v>
      </c>
      <c r="H1575" s="1">
        <v>42941</v>
      </c>
      <c r="I1575" s="1">
        <v>42945</v>
      </c>
      <c r="J1575" t="s">
        <v>15</v>
      </c>
      <c r="K1575">
        <v>0</v>
      </c>
      <c r="L1575">
        <v>12</v>
      </c>
      <c r="M1575" t="s">
        <v>49</v>
      </c>
      <c r="N1575">
        <v>1.5</v>
      </c>
    </row>
    <row r="1576" hidden="1" spans="1:14">
      <c r="A1576">
        <v>5095</v>
      </c>
      <c r="C1576" t="s">
        <v>350</v>
      </c>
      <c r="D1576" t="s">
        <v>155</v>
      </c>
      <c r="E1576">
        <v>6.62917</v>
      </c>
      <c r="F1576">
        <v>51.1613</v>
      </c>
      <c r="G1576">
        <v>8488.83</v>
      </c>
      <c r="H1576" s="1">
        <v>44391</v>
      </c>
      <c r="I1576" s="1">
        <v>44396</v>
      </c>
      <c r="J1576" t="s">
        <v>56</v>
      </c>
      <c r="K1576">
        <v>180</v>
      </c>
      <c r="L1576">
        <v>0</v>
      </c>
      <c r="M1576" t="s">
        <v>52</v>
      </c>
      <c r="N1576">
        <v>2</v>
      </c>
    </row>
    <row r="1577" hidden="1" spans="1:14">
      <c r="A1577">
        <v>358</v>
      </c>
      <c r="B1577">
        <v>0</v>
      </c>
      <c r="C1577" t="s">
        <v>427</v>
      </c>
      <c r="D1577">
        <v>0</v>
      </c>
      <c r="E1577">
        <v>-0.782037</v>
      </c>
      <c r="F1577">
        <v>9.4963</v>
      </c>
      <c r="G1577">
        <v>15897.07</v>
      </c>
      <c r="H1577" s="1">
        <v>32745</v>
      </c>
      <c r="I1577" s="1">
        <v>32749</v>
      </c>
      <c r="J1577" t="s">
        <v>15</v>
      </c>
      <c r="K1577">
        <v>2</v>
      </c>
      <c r="L1577">
        <v>400</v>
      </c>
      <c r="M1577" t="s">
        <v>16</v>
      </c>
      <c r="N1577">
        <v>1</v>
      </c>
    </row>
    <row r="1578" hidden="1" spans="1:14">
      <c r="A1578">
        <v>540</v>
      </c>
      <c r="B1578">
        <v>0</v>
      </c>
      <c r="C1578" t="s">
        <v>427</v>
      </c>
      <c r="D1578">
        <v>0</v>
      </c>
      <c r="E1578">
        <v>-0.188618</v>
      </c>
      <c r="F1578">
        <v>6.10806</v>
      </c>
      <c r="G1578">
        <v>36967.57</v>
      </c>
      <c r="H1578" s="1">
        <v>33433</v>
      </c>
      <c r="I1578" s="1">
        <v>33435</v>
      </c>
      <c r="J1578" t="s">
        <v>15</v>
      </c>
      <c r="K1578">
        <v>5</v>
      </c>
      <c r="L1578">
        <v>0</v>
      </c>
      <c r="M1578" t="s">
        <v>16</v>
      </c>
      <c r="N1578">
        <v>1</v>
      </c>
    </row>
    <row r="1579" hidden="1" spans="1:14">
      <c r="A1579">
        <v>971</v>
      </c>
      <c r="B1579">
        <v>0</v>
      </c>
      <c r="C1579" t="s">
        <v>427</v>
      </c>
      <c r="D1579">
        <v>0</v>
      </c>
      <c r="E1579">
        <v>-1.06662</v>
      </c>
      <c r="F1579">
        <v>6.4376</v>
      </c>
      <c r="G1579">
        <v>120779.51</v>
      </c>
      <c r="H1579" s="1">
        <v>34885</v>
      </c>
      <c r="I1579" s="1">
        <v>34887</v>
      </c>
      <c r="J1579" t="s">
        <v>15</v>
      </c>
      <c r="K1579">
        <v>22</v>
      </c>
      <c r="L1579">
        <v>55000</v>
      </c>
      <c r="M1579" t="s">
        <v>16</v>
      </c>
      <c r="N1579">
        <v>2</v>
      </c>
    </row>
    <row r="1580" hidden="1" spans="1:14">
      <c r="A1580">
        <v>1242</v>
      </c>
      <c r="B1580">
        <v>0</v>
      </c>
      <c r="C1580" t="s">
        <v>427</v>
      </c>
      <c r="D1580">
        <v>0</v>
      </c>
      <c r="E1580">
        <v>0.117668</v>
      </c>
      <c r="F1580">
        <v>5.75584</v>
      </c>
      <c r="G1580">
        <v>4329.97</v>
      </c>
      <c r="H1580" s="1">
        <v>35593</v>
      </c>
      <c r="I1580" s="1">
        <v>35596</v>
      </c>
      <c r="J1580" t="s">
        <v>15</v>
      </c>
      <c r="K1580">
        <v>6</v>
      </c>
      <c r="L1580">
        <v>0</v>
      </c>
      <c r="M1580" t="s">
        <v>16</v>
      </c>
      <c r="N1580">
        <v>1</v>
      </c>
    </row>
    <row r="1581" hidden="1" spans="1:14">
      <c r="A1581">
        <v>1460</v>
      </c>
      <c r="B1581">
        <v>0</v>
      </c>
      <c r="C1581" t="s">
        <v>427</v>
      </c>
      <c r="D1581">
        <v>0</v>
      </c>
      <c r="E1581">
        <v>-0.150337</v>
      </c>
      <c r="F1581">
        <v>5.93195</v>
      </c>
      <c r="G1581">
        <v>25281.98</v>
      </c>
      <c r="H1581" s="1">
        <v>36087</v>
      </c>
      <c r="I1581" s="1">
        <v>36092</v>
      </c>
      <c r="J1581" t="s">
        <v>15</v>
      </c>
      <c r="K1581">
        <v>3</v>
      </c>
      <c r="L1581">
        <v>0</v>
      </c>
      <c r="M1581" t="s">
        <v>16</v>
      </c>
      <c r="N1581">
        <v>1</v>
      </c>
    </row>
    <row r="1582" hidden="1" spans="1:14">
      <c r="A1582">
        <v>1861</v>
      </c>
      <c r="B1582">
        <v>0</v>
      </c>
      <c r="C1582" t="s">
        <v>427</v>
      </c>
      <c r="D1582">
        <v>0</v>
      </c>
      <c r="E1582">
        <v>-0.196538</v>
      </c>
      <c r="F1582">
        <v>5.64745</v>
      </c>
      <c r="G1582">
        <v>867.248</v>
      </c>
      <c r="H1582" s="1">
        <v>37262</v>
      </c>
      <c r="I1582" s="1">
        <v>37264</v>
      </c>
      <c r="J1582" t="s">
        <v>15</v>
      </c>
      <c r="K1582">
        <v>0</v>
      </c>
      <c r="L1582">
        <v>0</v>
      </c>
      <c r="M1582" t="s">
        <v>16</v>
      </c>
      <c r="N1582">
        <v>1</v>
      </c>
    </row>
    <row r="1583" hidden="1" spans="1:14">
      <c r="A1583">
        <v>1947</v>
      </c>
      <c r="B1583">
        <v>0</v>
      </c>
      <c r="C1583" t="s">
        <v>427</v>
      </c>
      <c r="D1583">
        <v>0</v>
      </c>
      <c r="E1583">
        <v>-0.196538</v>
      </c>
      <c r="F1583">
        <v>5.64745</v>
      </c>
      <c r="G1583">
        <v>867.248</v>
      </c>
      <c r="H1583" s="1">
        <v>37417</v>
      </c>
      <c r="I1583" s="1">
        <v>37419</v>
      </c>
      <c r="J1583" t="s">
        <v>15</v>
      </c>
      <c r="K1583">
        <v>0</v>
      </c>
      <c r="L1583">
        <v>0</v>
      </c>
      <c r="M1583" t="s">
        <v>16</v>
      </c>
      <c r="N1583">
        <v>1</v>
      </c>
    </row>
    <row r="1584" hidden="1" spans="1:14">
      <c r="A1584">
        <v>3166</v>
      </c>
      <c r="B1584" t="s">
        <v>428</v>
      </c>
      <c r="C1584" t="s">
        <v>427</v>
      </c>
      <c r="E1584">
        <v>0.612005</v>
      </c>
      <c r="F1584">
        <v>13.0377</v>
      </c>
      <c r="G1584">
        <v>1695464.52</v>
      </c>
      <c r="H1584" s="1">
        <v>39289</v>
      </c>
      <c r="I1584" s="1">
        <v>39365</v>
      </c>
      <c r="J1584" t="s">
        <v>15</v>
      </c>
      <c r="K1584">
        <v>153</v>
      </c>
      <c r="L1584">
        <v>540000</v>
      </c>
      <c r="M1584" t="s">
        <v>16</v>
      </c>
      <c r="N1584">
        <v>1.5</v>
      </c>
    </row>
    <row r="1585" hidden="1" spans="1:14">
      <c r="A1585">
        <v>3486</v>
      </c>
      <c r="B1585">
        <v>0</v>
      </c>
      <c r="C1585" t="s">
        <v>427</v>
      </c>
      <c r="E1585">
        <v>-0.099363</v>
      </c>
      <c r="F1585">
        <v>5.73317</v>
      </c>
      <c r="G1585">
        <v>9340.14</v>
      </c>
      <c r="H1585" s="1">
        <v>39958</v>
      </c>
      <c r="I1585" s="1">
        <v>39959</v>
      </c>
      <c r="J1585" t="s">
        <v>15</v>
      </c>
      <c r="K1585">
        <v>115</v>
      </c>
      <c r="L1585">
        <v>20000</v>
      </c>
      <c r="M1585" t="s">
        <v>429</v>
      </c>
      <c r="N1585">
        <v>1.5</v>
      </c>
    </row>
    <row r="1586" hidden="1" spans="1:14">
      <c r="A1586">
        <v>3501</v>
      </c>
      <c r="C1586" t="s">
        <v>427</v>
      </c>
      <c r="D1586">
        <v>0</v>
      </c>
      <c r="E1586">
        <v>-1.03826</v>
      </c>
      <c r="F1586">
        <v>6.20262</v>
      </c>
      <c r="G1586">
        <v>77546.62</v>
      </c>
      <c r="H1586" s="1">
        <v>40000</v>
      </c>
      <c r="I1586" s="1">
        <v>40011</v>
      </c>
      <c r="J1586">
        <v>0</v>
      </c>
      <c r="K1586">
        <v>5</v>
      </c>
      <c r="L1586">
        <v>300</v>
      </c>
      <c r="M1586" t="s">
        <v>49</v>
      </c>
      <c r="N1586">
        <v>1</v>
      </c>
    </row>
    <row r="1587" hidden="1" spans="1:14">
      <c r="A1587">
        <v>3542</v>
      </c>
      <c r="B1587">
        <v>0</v>
      </c>
      <c r="C1587" t="s">
        <v>427</v>
      </c>
      <c r="D1587">
        <v>0</v>
      </c>
      <c r="E1587">
        <v>-0.992335</v>
      </c>
      <c r="F1587">
        <v>8.85094</v>
      </c>
      <c r="G1587">
        <v>73811.61</v>
      </c>
      <c r="H1587" s="1">
        <v>40073</v>
      </c>
      <c r="I1587" s="1">
        <v>40077</v>
      </c>
      <c r="J1587">
        <v>0</v>
      </c>
      <c r="K1587">
        <v>0</v>
      </c>
      <c r="L1587">
        <v>5000</v>
      </c>
      <c r="M1587" t="s">
        <v>430</v>
      </c>
      <c r="N1587">
        <v>2</v>
      </c>
    </row>
    <row r="1588" hidden="1" spans="1:14">
      <c r="A1588">
        <v>3663</v>
      </c>
      <c r="B1588">
        <v>0</v>
      </c>
      <c r="C1588" t="s">
        <v>427</v>
      </c>
      <c r="D1588">
        <v>0</v>
      </c>
      <c r="E1588">
        <v>-0.981038</v>
      </c>
      <c r="F1588">
        <v>7.93162</v>
      </c>
      <c r="G1588">
        <v>150908.11</v>
      </c>
      <c r="H1588" s="1">
        <v>40351</v>
      </c>
      <c r="I1588" s="1">
        <v>40355</v>
      </c>
      <c r="J1588">
        <v>0</v>
      </c>
      <c r="K1588">
        <v>30</v>
      </c>
      <c r="L1588">
        <v>0</v>
      </c>
      <c r="M1588" t="s">
        <v>49</v>
      </c>
      <c r="N1588">
        <v>1</v>
      </c>
    </row>
    <row r="1589" hidden="1" spans="1:14">
      <c r="A1589">
        <v>3747</v>
      </c>
      <c r="B1589">
        <v>0</v>
      </c>
      <c r="C1589" t="s">
        <v>427</v>
      </c>
      <c r="D1589">
        <v>0</v>
      </c>
      <c r="E1589">
        <v>-0.809999</v>
      </c>
      <c r="F1589">
        <v>8.28</v>
      </c>
      <c r="G1589">
        <v>4567.71</v>
      </c>
      <c r="H1589" s="1">
        <v>40487</v>
      </c>
      <c r="I1589" s="1">
        <v>40493</v>
      </c>
      <c r="J1589" t="s">
        <v>15</v>
      </c>
      <c r="K1589">
        <v>0</v>
      </c>
      <c r="L1589">
        <v>2600</v>
      </c>
      <c r="M1589" t="s">
        <v>49</v>
      </c>
      <c r="N1589">
        <v>1.5</v>
      </c>
    </row>
    <row r="1590" hidden="1" spans="1:14">
      <c r="A1590">
        <v>3844</v>
      </c>
      <c r="C1590" t="s">
        <v>427</v>
      </c>
      <c r="E1590">
        <v>-0.452256</v>
      </c>
      <c r="F1590">
        <v>7.84386</v>
      </c>
      <c r="G1590">
        <v>55103.28</v>
      </c>
      <c r="H1590" s="1">
        <v>40746</v>
      </c>
      <c r="I1590" s="1">
        <v>40753</v>
      </c>
      <c r="J1590" t="s">
        <v>15</v>
      </c>
      <c r="K1590">
        <v>6</v>
      </c>
      <c r="L1590">
        <v>12571</v>
      </c>
      <c r="M1590" t="s">
        <v>49</v>
      </c>
      <c r="N1590">
        <v>1</v>
      </c>
    </row>
    <row r="1591" hidden="1" spans="1:14">
      <c r="A1591">
        <v>3872</v>
      </c>
      <c r="C1591" t="s">
        <v>427</v>
      </c>
      <c r="E1591">
        <v>-0.945865</v>
      </c>
      <c r="F1591">
        <v>5.58466</v>
      </c>
      <c r="G1591">
        <v>9829.52</v>
      </c>
      <c r="H1591" s="1">
        <v>40842</v>
      </c>
      <c r="I1591" s="1">
        <v>40845</v>
      </c>
      <c r="J1591" t="s">
        <v>15</v>
      </c>
      <c r="K1591">
        <v>14</v>
      </c>
      <c r="L1591">
        <v>43000</v>
      </c>
      <c r="M1591" t="s">
        <v>52</v>
      </c>
      <c r="N1591">
        <v>1</v>
      </c>
    </row>
    <row r="1592" hidden="1" spans="1:14">
      <c r="A1592">
        <v>4260</v>
      </c>
      <c r="B1592" t="s">
        <v>431</v>
      </c>
      <c r="C1592" t="s">
        <v>427</v>
      </c>
      <c r="D1592" t="s">
        <v>432</v>
      </c>
      <c r="E1592">
        <v>-0.546442</v>
      </c>
      <c r="F1592">
        <v>7.38005</v>
      </c>
      <c r="G1592">
        <v>266950.09</v>
      </c>
      <c r="H1592" s="1">
        <v>42157</v>
      </c>
      <c r="I1592" s="1">
        <v>42170</v>
      </c>
      <c r="J1592" t="s">
        <v>15</v>
      </c>
      <c r="K1592">
        <v>150</v>
      </c>
      <c r="L1592">
        <v>5300</v>
      </c>
      <c r="M1592" t="s">
        <v>52</v>
      </c>
      <c r="N1592">
        <v>1.5</v>
      </c>
    </row>
    <row r="1593" hidden="1" spans="1:14">
      <c r="A1593">
        <v>4361</v>
      </c>
      <c r="C1593" t="s">
        <v>427</v>
      </c>
      <c r="E1593">
        <v>-1.16503</v>
      </c>
      <c r="F1593">
        <v>6.41411</v>
      </c>
      <c r="G1593">
        <v>74506.4</v>
      </c>
      <c r="H1593" s="1">
        <v>42533</v>
      </c>
      <c r="I1593" s="1">
        <v>42542</v>
      </c>
      <c r="J1593" t="s">
        <v>15</v>
      </c>
      <c r="K1593">
        <v>5</v>
      </c>
      <c r="L1593">
        <v>0</v>
      </c>
      <c r="M1593" t="s">
        <v>49</v>
      </c>
      <c r="N1593">
        <v>1</v>
      </c>
    </row>
    <row r="1594" hidden="1" spans="1:14">
      <c r="A1594">
        <v>4631</v>
      </c>
      <c r="C1594" t="s">
        <v>427</v>
      </c>
      <c r="D1594" t="s">
        <v>433</v>
      </c>
      <c r="E1594">
        <v>-2.64964</v>
      </c>
      <c r="F1594">
        <v>5.59584</v>
      </c>
      <c r="G1594">
        <v>58480.1</v>
      </c>
      <c r="H1594" s="1">
        <v>43269</v>
      </c>
      <c r="I1594" s="1">
        <v>43270</v>
      </c>
      <c r="J1594" t="s">
        <v>56</v>
      </c>
      <c r="K1594">
        <v>21</v>
      </c>
      <c r="L1594">
        <v>115</v>
      </c>
      <c r="M1594" t="s">
        <v>52</v>
      </c>
      <c r="N1594">
        <v>1</v>
      </c>
    </row>
    <row r="1595" hidden="1" spans="1:14">
      <c r="A1595">
        <v>4638</v>
      </c>
      <c r="C1595" t="s">
        <v>427</v>
      </c>
      <c r="E1595">
        <v>-1.70939</v>
      </c>
      <c r="F1595">
        <v>6.78596</v>
      </c>
      <c r="G1595">
        <v>23280.81</v>
      </c>
      <c r="H1595" s="1">
        <v>43279</v>
      </c>
      <c r="I1595" s="1">
        <v>43283</v>
      </c>
      <c r="J1595" t="s">
        <v>56</v>
      </c>
      <c r="K1595">
        <v>5</v>
      </c>
      <c r="L1595">
        <v>500</v>
      </c>
      <c r="M1595" t="s">
        <v>49</v>
      </c>
      <c r="N1595">
        <v>1.5</v>
      </c>
    </row>
    <row r="1596" hidden="1" spans="1:14">
      <c r="A1596">
        <v>4683</v>
      </c>
      <c r="C1596" t="s">
        <v>427</v>
      </c>
      <c r="E1596">
        <v>-1.06606</v>
      </c>
      <c r="F1596">
        <v>9.53755</v>
      </c>
      <c r="G1596">
        <v>83997.78</v>
      </c>
      <c r="H1596" s="1">
        <v>43344</v>
      </c>
      <c r="I1596" s="1">
        <v>43375</v>
      </c>
      <c r="J1596" t="s">
        <v>56</v>
      </c>
      <c r="K1596">
        <v>34</v>
      </c>
      <c r="L1596">
        <v>100000</v>
      </c>
      <c r="M1596" t="s">
        <v>434</v>
      </c>
      <c r="N1596">
        <v>1.5</v>
      </c>
    </row>
    <row r="1597" hidden="1" spans="1:14">
      <c r="A1597">
        <v>4819</v>
      </c>
      <c r="C1597" t="s">
        <v>427</v>
      </c>
      <c r="E1597">
        <v>0.146375</v>
      </c>
      <c r="F1597">
        <v>5.81812</v>
      </c>
      <c r="G1597">
        <v>7285.63</v>
      </c>
      <c r="H1597" s="1">
        <v>43763</v>
      </c>
      <c r="I1597" s="1">
        <v>43768</v>
      </c>
      <c r="J1597" t="s">
        <v>56</v>
      </c>
      <c r="K1597">
        <v>0</v>
      </c>
      <c r="L1597">
        <v>0</v>
      </c>
      <c r="M1597" t="s">
        <v>49</v>
      </c>
      <c r="N1597">
        <v>1</v>
      </c>
    </row>
    <row r="1598" hidden="1" spans="1:14">
      <c r="A1598">
        <v>258</v>
      </c>
      <c r="B1598">
        <v>0</v>
      </c>
      <c r="C1598" t="s">
        <v>435</v>
      </c>
      <c r="D1598">
        <v>0</v>
      </c>
      <c r="E1598">
        <v>-1.18135</v>
      </c>
      <c r="F1598">
        <v>9.63061</v>
      </c>
      <c r="G1598">
        <v>102162.19</v>
      </c>
      <c r="H1598" s="1">
        <v>32417</v>
      </c>
      <c r="I1598" s="1">
        <v>32427</v>
      </c>
      <c r="J1598" t="s">
        <v>15</v>
      </c>
      <c r="K1598">
        <v>0</v>
      </c>
      <c r="L1598">
        <v>3000</v>
      </c>
      <c r="M1598" t="s">
        <v>16</v>
      </c>
      <c r="N1598">
        <v>1</v>
      </c>
    </row>
    <row r="1599" hidden="1" spans="1:14">
      <c r="A1599">
        <v>1551</v>
      </c>
      <c r="B1599">
        <v>0</v>
      </c>
      <c r="C1599" t="s">
        <v>435</v>
      </c>
      <c r="D1599">
        <v>0</v>
      </c>
      <c r="E1599">
        <v>1.79199</v>
      </c>
      <c r="F1599">
        <v>11.1616</v>
      </c>
      <c r="G1599">
        <v>126690.79</v>
      </c>
      <c r="H1599" s="1">
        <v>36406</v>
      </c>
      <c r="I1599" s="1">
        <v>36416</v>
      </c>
      <c r="J1599" t="s">
        <v>15</v>
      </c>
      <c r="K1599">
        <v>1</v>
      </c>
      <c r="L1599">
        <v>9000</v>
      </c>
      <c r="M1599" t="s">
        <v>16</v>
      </c>
      <c r="N1599">
        <v>1</v>
      </c>
    </row>
    <row r="1600" hidden="1" spans="1:14">
      <c r="A1600">
        <v>1740</v>
      </c>
      <c r="B1600">
        <v>0</v>
      </c>
      <c r="C1600" t="s">
        <v>435</v>
      </c>
      <c r="D1600">
        <v>0</v>
      </c>
      <c r="E1600">
        <v>-0.290265</v>
      </c>
      <c r="F1600">
        <v>5.67504</v>
      </c>
      <c r="G1600">
        <v>417.102</v>
      </c>
      <c r="H1600" s="1">
        <v>37069</v>
      </c>
      <c r="I1600" s="1">
        <v>37072</v>
      </c>
      <c r="J1600" t="s">
        <v>15</v>
      </c>
      <c r="K1600">
        <v>12</v>
      </c>
      <c r="L1600">
        <v>80000</v>
      </c>
      <c r="M1600" t="s">
        <v>23</v>
      </c>
      <c r="N1600">
        <v>1</v>
      </c>
    </row>
    <row r="1601" hidden="1" spans="1:14">
      <c r="A1601">
        <v>910</v>
      </c>
      <c r="B1601">
        <v>0</v>
      </c>
      <c r="C1601" t="s">
        <v>217</v>
      </c>
      <c r="D1601">
        <v>0</v>
      </c>
      <c r="E1601">
        <v>22.4992</v>
      </c>
      <c r="F1601">
        <v>39.0065</v>
      </c>
      <c r="G1601">
        <v>36624.5</v>
      </c>
      <c r="H1601" s="1">
        <v>34631</v>
      </c>
      <c r="I1601" s="1">
        <v>34634</v>
      </c>
      <c r="J1601" t="s">
        <v>15</v>
      </c>
      <c r="K1601">
        <v>14</v>
      </c>
      <c r="L1601">
        <v>1000</v>
      </c>
      <c r="M1601" t="s">
        <v>16</v>
      </c>
      <c r="N1601">
        <v>1</v>
      </c>
    </row>
    <row r="1602" hidden="1" spans="1:14">
      <c r="A1602">
        <v>1135</v>
      </c>
      <c r="B1602">
        <v>0</v>
      </c>
      <c r="C1602" t="s">
        <v>217</v>
      </c>
      <c r="D1602" t="s">
        <v>213</v>
      </c>
      <c r="E1602">
        <v>25.0311</v>
      </c>
      <c r="F1602">
        <v>41.263</v>
      </c>
      <c r="G1602">
        <v>23590.12</v>
      </c>
      <c r="H1602" s="1">
        <v>35400</v>
      </c>
      <c r="I1602" s="1">
        <v>35403</v>
      </c>
      <c r="J1602" t="s">
        <v>15</v>
      </c>
      <c r="K1602">
        <v>5</v>
      </c>
      <c r="L1602">
        <v>300</v>
      </c>
      <c r="M1602" t="s">
        <v>49</v>
      </c>
      <c r="N1602">
        <v>1</v>
      </c>
    </row>
    <row r="1603" hidden="1" spans="1:14">
      <c r="A1603">
        <v>1194</v>
      </c>
      <c r="B1603">
        <v>0</v>
      </c>
      <c r="C1603" t="s">
        <v>217</v>
      </c>
      <c r="D1603" t="s">
        <v>214</v>
      </c>
      <c r="E1603">
        <v>27.2944</v>
      </c>
      <c r="F1603">
        <v>39.6015</v>
      </c>
      <c r="G1603">
        <v>116574.14</v>
      </c>
      <c r="H1603" s="1">
        <v>35715</v>
      </c>
      <c r="I1603" s="1">
        <v>35721</v>
      </c>
      <c r="J1603" t="s">
        <v>15</v>
      </c>
      <c r="K1603">
        <v>0</v>
      </c>
      <c r="L1603">
        <v>0</v>
      </c>
      <c r="M1603" t="s">
        <v>16</v>
      </c>
      <c r="N1603">
        <v>1</v>
      </c>
    </row>
    <row r="1604" hidden="1" spans="1:14">
      <c r="A1604">
        <v>1205</v>
      </c>
      <c r="B1604">
        <v>0</v>
      </c>
      <c r="C1604" t="s">
        <v>217</v>
      </c>
      <c r="D1604">
        <v>0</v>
      </c>
      <c r="E1604">
        <v>22.5987</v>
      </c>
      <c r="F1604">
        <v>37.5096</v>
      </c>
      <c r="G1604">
        <v>34742.28</v>
      </c>
      <c r="H1604" s="1">
        <v>35442</v>
      </c>
      <c r="I1604" s="1">
        <v>35444</v>
      </c>
      <c r="J1604" t="s">
        <v>15</v>
      </c>
      <c r="K1604">
        <v>6</v>
      </c>
      <c r="L1604">
        <v>300</v>
      </c>
      <c r="M1604" t="s">
        <v>16</v>
      </c>
      <c r="N1604">
        <v>2</v>
      </c>
    </row>
    <row r="1605" hidden="1" spans="1:14">
      <c r="A1605">
        <v>1315</v>
      </c>
      <c r="B1605">
        <v>0</v>
      </c>
      <c r="C1605" t="s">
        <v>217</v>
      </c>
      <c r="D1605">
        <v>0</v>
      </c>
      <c r="E1605">
        <v>22.2868</v>
      </c>
      <c r="F1605">
        <v>40.7361</v>
      </c>
      <c r="G1605">
        <v>20431.89</v>
      </c>
      <c r="H1605" s="1">
        <v>35832</v>
      </c>
      <c r="I1605" s="1">
        <v>35833</v>
      </c>
      <c r="J1605" t="s">
        <v>15</v>
      </c>
      <c r="K1605">
        <v>1</v>
      </c>
      <c r="L1605">
        <v>0</v>
      </c>
      <c r="M1605" t="s">
        <v>16</v>
      </c>
      <c r="N1605">
        <v>1</v>
      </c>
    </row>
    <row r="1606" hidden="1" spans="1:14">
      <c r="A1606">
        <v>1830</v>
      </c>
      <c r="B1606">
        <v>0</v>
      </c>
      <c r="C1606" t="s">
        <v>217</v>
      </c>
      <c r="D1606">
        <v>0</v>
      </c>
      <c r="E1606">
        <v>26.8198</v>
      </c>
      <c r="F1606">
        <v>37.7262</v>
      </c>
      <c r="G1606">
        <v>485.879</v>
      </c>
      <c r="H1606" s="1">
        <v>37224</v>
      </c>
      <c r="I1606" s="1">
        <v>37224</v>
      </c>
      <c r="J1606" t="s">
        <v>15</v>
      </c>
      <c r="K1606">
        <v>0</v>
      </c>
      <c r="L1606">
        <v>0</v>
      </c>
      <c r="M1606" t="s">
        <v>16</v>
      </c>
      <c r="N1606">
        <v>1</v>
      </c>
    </row>
    <row r="1607" hidden="1" spans="1:14">
      <c r="A1607">
        <v>1982</v>
      </c>
      <c r="B1607">
        <v>0</v>
      </c>
      <c r="C1607" t="s">
        <v>217</v>
      </c>
      <c r="D1607">
        <v>0</v>
      </c>
      <c r="E1607">
        <v>23.7749</v>
      </c>
      <c r="F1607">
        <v>38.0545</v>
      </c>
      <c r="G1607">
        <v>287.878</v>
      </c>
      <c r="H1607" s="1">
        <v>37445</v>
      </c>
      <c r="I1607" s="1">
        <v>37446</v>
      </c>
      <c r="J1607" t="s">
        <v>15</v>
      </c>
      <c r="K1607">
        <v>1</v>
      </c>
      <c r="L1607">
        <v>0</v>
      </c>
      <c r="M1607" t="s">
        <v>16</v>
      </c>
      <c r="N1607">
        <v>1</v>
      </c>
    </row>
    <row r="1608" hidden="1" spans="1:14">
      <c r="A1608">
        <v>2048</v>
      </c>
      <c r="B1608">
        <v>0</v>
      </c>
      <c r="C1608" t="s">
        <v>217</v>
      </c>
      <c r="D1608">
        <v>0</v>
      </c>
      <c r="E1608">
        <v>23.7749</v>
      </c>
      <c r="F1608">
        <v>38.0545</v>
      </c>
      <c r="G1608">
        <v>287.878</v>
      </c>
      <c r="H1608" s="1">
        <v>37502</v>
      </c>
      <c r="I1608" s="1">
        <v>37504</v>
      </c>
      <c r="J1608" t="s">
        <v>15</v>
      </c>
      <c r="K1608">
        <v>0</v>
      </c>
      <c r="L1608">
        <v>0</v>
      </c>
      <c r="M1608" t="s">
        <v>16</v>
      </c>
      <c r="N1608">
        <v>1</v>
      </c>
    </row>
    <row r="1609" hidden="1" spans="1:14">
      <c r="A1609">
        <v>2100</v>
      </c>
      <c r="B1609">
        <v>0</v>
      </c>
      <c r="C1609" t="s">
        <v>217</v>
      </c>
      <c r="D1609" t="s">
        <v>436</v>
      </c>
      <c r="E1609">
        <v>22.3897</v>
      </c>
      <c r="F1609">
        <v>40.1572</v>
      </c>
      <c r="G1609">
        <v>1029.56</v>
      </c>
      <c r="H1609" s="1">
        <v>37596</v>
      </c>
      <c r="I1609" s="1">
        <v>37600</v>
      </c>
      <c r="J1609" t="s">
        <v>15</v>
      </c>
      <c r="K1609">
        <v>0</v>
      </c>
      <c r="L1609">
        <v>0</v>
      </c>
      <c r="M1609" t="s">
        <v>16</v>
      </c>
      <c r="N1609">
        <v>1</v>
      </c>
    </row>
    <row r="1610" hidden="1" spans="1:14">
      <c r="A1610">
        <v>2172</v>
      </c>
      <c r="B1610">
        <v>0</v>
      </c>
      <c r="C1610" t="s">
        <v>217</v>
      </c>
      <c r="D1610">
        <v>0</v>
      </c>
      <c r="E1610">
        <v>22.2237</v>
      </c>
      <c r="F1610">
        <v>39.6089</v>
      </c>
      <c r="G1610">
        <v>35397.85</v>
      </c>
      <c r="H1610" s="1">
        <v>37648</v>
      </c>
      <c r="I1610" s="1">
        <v>37659</v>
      </c>
      <c r="J1610" t="s">
        <v>15</v>
      </c>
      <c r="K1610">
        <v>0</v>
      </c>
      <c r="L1610">
        <v>0</v>
      </c>
      <c r="M1610" t="s">
        <v>16</v>
      </c>
      <c r="N1610">
        <v>1</v>
      </c>
    </row>
    <row r="1611" hidden="1" spans="1:14">
      <c r="A1611">
        <v>2626</v>
      </c>
      <c r="B1611">
        <v>0</v>
      </c>
      <c r="C1611" t="s">
        <v>217</v>
      </c>
      <c r="D1611" t="s">
        <v>213</v>
      </c>
      <c r="E1611">
        <v>26.4187</v>
      </c>
      <c r="F1611">
        <v>41.4282</v>
      </c>
      <c r="G1611">
        <v>7609.48</v>
      </c>
      <c r="H1611" s="1">
        <v>38400</v>
      </c>
      <c r="I1611" s="1">
        <v>38435</v>
      </c>
      <c r="J1611" t="s">
        <v>15</v>
      </c>
      <c r="K1611">
        <v>0</v>
      </c>
      <c r="L1611">
        <v>300</v>
      </c>
      <c r="M1611" t="s">
        <v>16</v>
      </c>
      <c r="N1611">
        <v>2</v>
      </c>
    </row>
    <row r="1612" hidden="1" spans="1:14">
      <c r="A1612">
        <v>2784</v>
      </c>
      <c r="B1612">
        <v>0</v>
      </c>
      <c r="C1612" t="s">
        <v>217</v>
      </c>
      <c r="D1612" t="s">
        <v>213</v>
      </c>
      <c r="E1612">
        <v>26.4726</v>
      </c>
      <c r="F1612">
        <v>41.5521</v>
      </c>
      <c r="G1612">
        <v>4583.43</v>
      </c>
      <c r="H1612" s="1">
        <v>38719</v>
      </c>
      <c r="I1612" s="1">
        <v>38737</v>
      </c>
      <c r="J1612" t="s">
        <v>15</v>
      </c>
      <c r="K1612">
        <v>0</v>
      </c>
      <c r="L1612">
        <v>0</v>
      </c>
      <c r="M1612" t="s">
        <v>39</v>
      </c>
      <c r="N1612">
        <v>1</v>
      </c>
    </row>
    <row r="1613" hidden="1" spans="1:14">
      <c r="A1613">
        <v>2817</v>
      </c>
      <c r="B1613">
        <v>0</v>
      </c>
      <c r="C1613" t="s">
        <v>217</v>
      </c>
      <c r="D1613" t="s">
        <v>214</v>
      </c>
      <c r="E1613">
        <v>25.5658</v>
      </c>
      <c r="F1613">
        <v>40.8959</v>
      </c>
      <c r="G1613">
        <v>19592.43</v>
      </c>
      <c r="H1613" s="1">
        <v>38785</v>
      </c>
      <c r="I1613" s="1">
        <v>38801</v>
      </c>
      <c r="J1613" t="s">
        <v>15</v>
      </c>
      <c r="K1613">
        <v>0</v>
      </c>
      <c r="L1613">
        <v>0</v>
      </c>
      <c r="M1613" t="s">
        <v>38</v>
      </c>
      <c r="N1613">
        <v>1</v>
      </c>
    </row>
    <row r="1614" hidden="1" spans="1:14">
      <c r="A1614">
        <v>2972</v>
      </c>
      <c r="B1614">
        <v>0</v>
      </c>
      <c r="C1614" t="s">
        <v>217</v>
      </c>
      <c r="D1614">
        <v>0</v>
      </c>
      <c r="E1614">
        <v>23.652</v>
      </c>
      <c r="F1614">
        <v>40.7638</v>
      </c>
      <c r="G1614">
        <v>17966.86</v>
      </c>
      <c r="H1614" s="1">
        <v>38998</v>
      </c>
      <c r="I1614" s="1">
        <v>39002</v>
      </c>
      <c r="J1614" t="s">
        <v>15</v>
      </c>
      <c r="K1614">
        <v>0</v>
      </c>
      <c r="L1614">
        <v>3000</v>
      </c>
      <c r="M1614" t="s">
        <v>16</v>
      </c>
      <c r="N1614">
        <v>2</v>
      </c>
    </row>
    <row r="1615" hidden="1" spans="1:14">
      <c r="A1615">
        <v>3756</v>
      </c>
      <c r="B1615" t="s">
        <v>437</v>
      </c>
      <c r="C1615" t="s">
        <v>217</v>
      </c>
      <c r="D1615" t="s">
        <v>63</v>
      </c>
      <c r="E1615">
        <v>21.4697</v>
      </c>
      <c r="F1615">
        <v>40.1067</v>
      </c>
      <c r="G1615">
        <v>27315.31</v>
      </c>
      <c r="H1615" s="1">
        <v>40515</v>
      </c>
      <c r="I1615" s="1">
        <v>40529</v>
      </c>
      <c r="J1615" t="s">
        <v>15</v>
      </c>
      <c r="K1615">
        <v>1</v>
      </c>
      <c r="L1615">
        <v>0</v>
      </c>
      <c r="M1615" t="s">
        <v>52</v>
      </c>
      <c r="N1615">
        <v>1</v>
      </c>
    </row>
    <row r="1616" hidden="1" spans="1:14">
      <c r="A1616">
        <v>3897</v>
      </c>
      <c r="C1616" t="s">
        <v>217</v>
      </c>
      <c r="E1616">
        <v>21.0056</v>
      </c>
      <c r="F1616">
        <v>39.8677</v>
      </c>
      <c r="G1616">
        <v>9251</v>
      </c>
      <c r="H1616" s="1">
        <v>40942</v>
      </c>
      <c r="I1616" s="1">
        <v>40945</v>
      </c>
      <c r="J1616" t="s">
        <v>15</v>
      </c>
      <c r="K1616">
        <v>1</v>
      </c>
      <c r="L1616">
        <v>200</v>
      </c>
      <c r="M1616" t="s">
        <v>52</v>
      </c>
      <c r="N1616">
        <v>1</v>
      </c>
    </row>
    <row r="1617" hidden="1" spans="1:14">
      <c r="A1617">
        <v>4202</v>
      </c>
      <c r="C1617" t="s">
        <v>217</v>
      </c>
      <c r="E1617">
        <v>23.4176</v>
      </c>
      <c r="F1617">
        <v>38.1738</v>
      </c>
      <c r="G1617">
        <v>4855.4</v>
      </c>
      <c r="H1617" s="1">
        <v>41937</v>
      </c>
      <c r="I1617" s="1">
        <v>41939</v>
      </c>
      <c r="J1617" t="s">
        <v>15</v>
      </c>
      <c r="K1617">
        <v>0</v>
      </c>
      <c r="L1617">
        <v>0</v>
      </c>
      <c r="M1617" t="s">
        <v>438</v>
      </c>
      <c r="N1617">
        <v>1</v>
      </c>
    </row>
    <row r="1618" hidden="1" spans="1:14">
      <c r="A1618">
        <v>4221</v>
      </c>
      <c r="B1618" t="s">
        <v>439</v>
      </c>
      <c r="C1618" t="s">
        <v>217</v>
      </c>
      <c r="D1618" t="s">
        <v>63</v>
      </c>
      <c r="E1618">
        <v>26.5972</v>
      </c>
      <c r="F1618">
        <v>41.4571</v>
      </c>
      <c r="G1618">
        <v>151104.52</v>
      </c>
      <c r="H1618" s="1">
        <v>42036</v>
      </c>
      <c r="I1618" s="1">
        <v>42044</v>
      </c>
      <c r="J1618" t="s">
        <v>15</v>
      </c>
      <c r="K1618">
        <v>3</v>
      </c>
      <c r="L1618">
        <v>500</v>
      </c>
      <c r="M1618" t="s">
        <v>49</v>
      </c>
      <c r="N1618">
        <v>1.5</v>
      </c>
    </row>
    <row r="1619" hidden="1" spans="1:14">
      <c r="A1619">
        <v>4307</v>
      </c>
      <c r="C1619" t="s">
        <v>217</v>
      </c>
      <c r="D1619" t="s">
        <v>436</v>
      </c>
      <c r="E1619">
        <v>21.698</v>
      </c>
      <c r="F1619">
        <v>39.7609</v>
      </c>
      <c r="G1619">
        <v>129124.64</v>
      </c>
      <c r="H1619" s="1">
        <v>42298</v>
      </c>
      <c r="I1619" s="1">
        <v>42305</v>
      </c>
      <c r="J1619" t="s">
        <v>15</v>
      </c>
      <c r="K1619">
        <v>1</v>
      </c>
      <c r="L1619">
        <v>0</v>
      </c>
      <c r="M1619" t="s">
        <v>49</v>
      </c>
      <c r="N1619">
        <v>1</v>
      </c>
    </row>
    <row r="1620" hidden="1" spans="1:14">
      <c r="A1620">
        <v>4398</v>
      </c>
      <c r="C1620" t="s">
        <v>217</v>
      </c>
      <c r="E1620">
        <v>22.2918</v>
      </c>
      <c r="F1620">
        <v>37.418</v>
      </c>
      <c r="G1620">
        <v>20422.01</v>
      </c>
      <c r="H1620" s="1">
        <v>42618</v>
      </c>
      <c r="I1620" s="1">
        <v>42621</v>
      </c>
      <c r="J1620" t="s">
        <v>15</v>
      </c>
      <c r="K1620">
        <v>4</v>
      </c>
      <c r="L1620">
        <v>200</v>
      </c>
      <c r="M1620" t="s">
        <v>52</v>
      </c>
      <c r="N1620">
        <v>1.5</v>
      </c>
    </row>
    <row r="1621" hidden="1" spans="1:14">
      <c r="A1621">
        <v>4425</v>
      </c>
      <c r="C1621" t="s">
        <v>217</v>
      </c>
      <c r="D1621" t="s">
        <v>214</v>
      </c>
      <c r="E1621">
        <v>27.3395</v>
      </c>
      <c r="F1621">
        <v>38.7051</v>
      </c>
      <c r="G1621">
        <v>36417.46</v>
      </c>
      <c r="H1621" s="1">
        <v>42700</v>
      </c>
      <c r="I1621" s="1">
        <v>42711</v>
      </c>
      <c r="J1621" t="s">
        <v>15</v>
      </c>
      <c r="K1621">
        <v>1</v>
      </c>
      <c r="L1621">
        <v>0</v>
      </c>
      <c r="M1621" t="s">
        <v>49</v>
      </c>
      <c r="N1621">
        <v>1</v>
      </c>
    </row>
    <row r="1622" hidden="1" spans="1:14">
      <c r="A1622">
        <v>4528</v>
      </c>
      <c r="C1622" t="s">
        <v>217</v>
      </c>
      <c r="E1622">
        <v>25.8425</v>
      </c>
      <c r="F1622">
        <v>40.1622</v>
      </c>
      <c r="G1622">
        <v>254.371</v>
      </c>
      <c r="H1622" s="1">
        <v>43003</v>
      </c>
      <c r="I1622" s="1">
        <v>43004</v>
      </c>
      <c r="J1622" t="s">
        <v>15</v>
      </c>
      <c r="K1622">
        <v>0</v>
      </c>
      <c r="L1622">
        <v>0</v>
      </c>
      <c r="M1622" t="s">
        <v>52</v>
      </c>
      <c r="N1622">
        <v>1.5</v>
      </c>
    </row>
    <row r="1623" hidden="1" spans="1:14">
      <c r="A1623">
        <v>4540</v>
      </c>
      <c r="C1623" t="s">
        <v>217</v>
      </c>
      <c r="E1623">
        <v>23.529</v>
      </c>
      <c r="F1623">
        <v>38.2606</v>
      </c>
      <c r="G1623">
        <v>2571.04</v>
      </c>
      <c r="H1623" s="1">
        <v>43053</v>
      </c>
      <c r="I1623" s="1">
        <v>43054</v>
      </c>
      <c r="J1623" t="s">
        <v>15</v>
      </c>
      <c r="K1623">
        <v>16</v>
      </c>
      <c r="L1623">
        <v>0</v>
      </c>
      <c r="M1623" t="s">
        <v>52</v>
      </c>
      <c r="N1623">
        <v>1</v>
      </c>
    </row>
    <row r="1624" hidden="1" spans="1:14">
      <c r="A1624">
        <v>4583</v>
      </c>
      <c r="C1624" t="s">
        <v>217</v>
      </c>
      <c r="E1624">
        <v>22.5392</v>
      </c>
      <c r="F1624">
        <v>39.6868</v>
      </c>
      <c r="G1624">
        <v>4560.39</v>
      </c>
      <c r="H1624" s="1">
        <v>43157</v>
      </c>
      <c r="I1624" s="1">
        <v>43161</v>
      </c>
      <c r="J1624" t="s">
        <v>58</v>
      </c>
      <c r="K1624">
        <v>0</v>
      </c>
      <c r="L1624">
        <v>30</v>
      </c>
      <c r="M1624" t="s">
        <v>440</v>
      </c>
      <c r="N1624">
        <v>1</v>
      </c>
    </row>
    <row r="1625" hidden="1" spans="1:14">
      <c r="A1625">
        <v>4597</v>
      </c>
      <c r="C1625" t="s">
        <v>217</v>
      </c>
      <c r="D1625" t="s">
        <v>213</v>
      </c>
      <c r="E1625">
        <v>26.6714</v>
      </c>
      <c r="F1625">
        <v>41.5317</v>
      </c>
      <c r="G1625">
        <v>12826.2</v>
      </c>
      <c r="H1625" s="1">
        <v>43184</v>
      </c>
      <c r="I1625" s="1">
        <v>43198</v>
      </c>
      <c r="J1625" t="s">
        <v>56</v>
      </c>
      <c r="K1625">
        <v>0</v>
      </c>
      <c r="L1625">
        <v>0</v>
      </c>
      <c r="M1625" t="s">
        <v>49</v>
      </c>
      <c r="N1625">
        <v>1.5</v>
      </c>
    </row>
    <row r="1626" hidden="1" spans="1:14">
      <c r="A1626">
        <v>4681</v>
      </c>
      <c r="C1626" t="s">
        <v>217</v>
      </c>
      <c r="E1626">
        <v>24.2218</v>
      </c>
      <c r="F1626">
        <v>37.6901</v>
      </c>
      <c r="G1626">
        <v>61577.88</v>
      </c>
      <c r="H1626" s="1">
        <v>43373</v>
      </c>
      <c r="I1626" s="1">
        <v>43375</v>
      </c>
      <c r="J1626" t="s">
        <v>56</v>
      </c>
      <c r="K1626">
        <v>0</v>
      </c>
      <c r="L1626">
        <v>0</v>
      </c>
      <c r="M1626" t="s">
        <v>441</v>
      </c>
      <c r="N1626">
        <v>1</v>
      </c>
    </row>
    <row r="1627" hidden="1" spans="1:14">
      <c r="A1627">
        <v>4723</v>
      </c>
      <c r="C1627" t="s">
        <v>217</v>
      </c>
      <c r="E1627">
        <v>24.8775</v>
      </c>
      <c r="F1627">
        <v>35.1357</v>
      </c>
      <c r="G1627">
        <v>5175.77</v>
      </c>
      <c r="H1627" s="1">
        <v>43508</v>
      </c>
      <c r="I1627" s="1">
        <v>43514</v>
      </c>
      <c r="J1627" t="s">
        <v>56</v>
      </c>
      <c r="K1627">
        <v>4</v>
      </c>
      <c r="L1627">
        <v>0</v>
      </c>
      <c r="M1627" t="s">
        <v>52</v>
      </c>
      <c r="N1627">
        <v>1</v>
      </c>
    </row>
    <row r="1628" hidden="1" spans="1:14">
      <c r="A1628">
        <v>4982</v>
      </c>
      <c r="C1628" t="s">
        <v>217</v>
      </c>
      <c r="E1628">
        <v>24.9517</v>
      </c>
      <c r="F1628">
        <v>35.3098</v>
      </c>
      <c r="G1628">
        <v>7857.72</v>
      </c>
      <c r="H1628" s="1">
        <v>44145</v>
      </c>
      <c r="I1628" s="1">
        <v>44147</v>
      </c>
      <c r="J1628" t="s">
        <v>56</v>
      </c>
      <c r="K1628">
        <v>0</v>
      </c>
      <c r="L1628">
        <v>87</v>
      </c>
      <c r="M1628" t="s">
        <v>52</v>
      </c>
      <c r="N1628">
        <v>1.5</v>
      </c>
    </row>
    <row r="1629" hidden="1" spans="1:14">
      <c r="A1629">
        <v>5019</v>
      </c>
      <c r="C1629" t="s">
        <v>217</v>
      </c>
      <c r="D1629" t="s">
        <v>214</v>
      </c>
      <c r="E1629">
        <v>27.2158</v>
      </c>
      <c r="F1629">
        <v>39.6472</v>
      </c>
      <c r="G1629">
        <v>26656.46</v>
      </c>
      <c r="H1629" s="1">
        <v>44228</v>
      </c>
      <c r="I1629" s="1">
        <v>44230</v>
      </c>
      <c r="J1629" t="s">
        <v>56</v>
      </c>
      <c r="K1629">
        <v>3</v>
      </c>
      <c r="L1629">
        <v>0</v>
      </c>
      <c r="M1629" t="s">
        <v>52</v>
      </c>
      <c r="N1629">
        <v>1</v>
      </c>
    </row>
    <row r="1630" hidden="1" spans="1:14">
      <c r="A1630">
        <v>388</v>
      </c>
      <c r="B1630">
        <v>0</v>
      </c>
      <c r="C1630" t="s">
        <v>442</v>
      </c>
      <c r="D1630">
        <v>0</v>
      </c>
      <c r="E1630">
        <v>144.778</v>
      </c>
      <c r="F1630">
        <v>13.4473</v>
      </c>
      <c r="G1630">
        <v>577.82</v>
      </c>
      <c r="H1630" s="1">
        <v>32887</v>
      </c>
      <c r="I1630" s="1">
        <v>32888</v>
      </c>
      <c r="J1630" t="s">
        <v>15</v>
      </c>
      <c r="K1630">
        <v>0</v>
      </c>
      <c r="L1630">
        <v>0</v>
      </c>
      <c r="M1630" t="s">
        <v>86</v>
      </c>
      <c r="N1630">
        <v>1</v>
      </c>
    </row>
    <row r="1631" hidden="1" spans="1:14">
      <c r="A1631">
        <v>685</v>
      </c>
      <c r="B1631">
        <v>0</v>
      </c>
      <c r="C1631" t="s">
        <v>442</v>
      </c>
      <c r="D1631">
        <v>0</v>
      </c>
      <c r="E1631">
        <v>144.787</v>
      </c>
      <c r="F1631">
        <v>13.4496</v>
      </c>
      <c r="G1631">
        <v>516.36</v>
      </c>
      <c r="H1631" s="1">
        <v>33844</v>
      </c>
      <c r="I1631" s="1">
        <v>33844</v>
      </c>
      <c r="J1631" t="s">
        <v>15</v>
      </c>
      <c r="K1631">
        <v>0</v>
      </c>
      <c r="L1631">
        <v>0</v>
      </c>
      <c r="M1631" t="s">
        <v>86</v>
      </c>
      <c r="N1631">
        <v>1</v>
      </c>
    </row>
    <row r="1632" hidden="1" spans="1:14">
      <c r="A1632">
        <v>2513</v>
      </c>
      <c r="B1632">
        <v>0</v>
      </c>
      <c r="C1632" t="s">
        <v>442</v>
      </c>
      <c r="D1632">
        <v>0</v>
      </c>
      <c r="E1632">
        <v>144.722</v>
      </c>
      <c r="F1632">
        <v>13.4405</v>
      </c>
      <c r="G1632">
        <v>646.886</v>
      </c>
      <c r="H1632" s="1">
        <v>38165</v>
      </c>
      <c r="I1632" s="1">
        <v>38166</v>
      </c>
      <c r="J1632" t="s">
        <v>15</v>
      </c>
      <c r="K1632">
        <v>4</v>
      </c>
      <c r="L1632">
        <v>500</v>
      </c>
      <c r="M1632" t="s">
        <v>86</v>
      </c>
      <c r="N1632">
        <v>1</v>
      </c>
    </row>
    <row r="1633" hidden="1" spans="1:14">
      <c r="A1633">
        <v>153</v>
      </c>
      <c r="B1633">
        <v>0</v>
      </c>
      <c r="C1633" t="s">
        <v>387</v>
      </c>
      <c r="E1633">
        <v>-90.7707</v>
      </c>
      <c r="F1633">
        <v>16.658</v>
      </c>
      <c r="G1633">
        <v>70305.34</v>
      </c>
      <c r="H1633" s="1">
        <v>32051</v>
      </c>
      <c r="I1633" s="1">
        <v>32058</v>
      </c>
      <c r="J1633" t="s">
        <v>15</v>
      </c>
      <c r="K1633">
        <v>36</v>
      </c>
      <c r="L1633">
        <v>3500</v>
      </c>
      <c r="M1633" t="s">
        <v>64</v>
      </c>
      <c r="N1633">
        <v>1</v>
      </c>
    </row>
    <row r="1634" hidden="1" spans="1:14">
      <c r="A1634">
        <v>3386</v>
      </c>
      <c r="B1634">
        <v>0</v>
      </c>
      <c r="C1634" t="s">
        <v>387</v>
      </c>
      <c r="D1634">
        <v>0</v>
      </c>
      <c r="E1634">
        <v>-89.3308</v>
      </c>
      <c r="F1634">
        <v>15.6894</v>
      </c>
      <c r="G1634">
        <v>16407.14</v>
      </c>
      <c r="H1634" s="1">
        <v>39718</v>
      </c>
      <c r="I1634" s="1">
        <v>39719</v>
      </c>
      <c r="J1634" t="s">
        <v>15</v>
      </c>
      <c r="K1634">
        <v>0</v>
      </c>
      <c r="L1634">
        <v>0</v>
      </c>
      <c r="M1634" t="s">
        <v>49</v>
      </c>
      <c r="N1634">
        <v>1.5</v>
      </c>
    </row>
    <row r="1635" hidden="1" spans="1:14">
      <c r="A1635">
        <v>3490</v>
      </c>
      <c r="B1635" t="s">
        <v>443</v>
      </c>
      <c r="C1635" t="s">
        <v>387</v>
      </c>
      <c r="D1635">
        <v>0</v>
      </c>
      <c r="E1635">
        <v>-88.6419</v>
      </c>
      <c r="F1635">
        <v>13.4179</v>
      </c>
      <c r="G1635">
        <v>127036.56</v>
      </c>
      <c r="H1635" s="1">
        <v>39983</v>
      </c>
      <c r="I1635" s="1">
        <v>39986</v>
      </c>
      <c r="J1635" t="s">
        <v>15</v>
      </c>
      <c r="K1635">
        <v>8</v>
      </c>
      <c r="L1635">
        <v>106000</v>
      </c>
      <c r="M1635" t="s">
        <v>49</v>
      </c>
      <c r="N1635">
        <v>1</v>
      </c>
    </row>
    <row r="1636" hidden="1" spans="1:14">
      <c r="A1636">
        <v>3653</v>
      </c>
      <c r="B1636" t="s">
        <v>444</v>
      </c>
      <c r="C1636" t="s">
        <v>387</v>
      </c>
      <c r="E1636">
        <v>-89.5636</v>
      </c>
      <c r="F1636">
        <v>14.0752</v>
      </c>
      <c r="G1636">
        <v>68697.09</v>
      </c>
      <c r="H1636" s="1">
        <v>40316</v>
      </c>
      <c r="I1636" s="1">
        <v>40322</v>
      </c>
      <c r="J1636">
        <v>0</v>
      </c>
      <c r="K1636">
        <v>172</v>
      </c>
      <c r="L1636">
        <v>94000</v>
      </c>
      <c r="M1636" t="s">
        <v>445</v>
      </c>
      <c r="N1636">
        <v>2</v>
      </c>
    </row>
    <row r="1637" hidden="1" spans="1:14">
      <c r="A1637">
        <v>4297</v>
      </c>
      <c r="C1637" t="s">
        <v>387</v>
      </c>
      <c r="E1637">
        <v>-90.6128</v>
      </c>
      <c r="F1637">
        <v>14.8262</v>
      </c>
      <c r="G1637">
        <v>6023.19</v>
      </c>
      <c r="H1637" s="1">
        <v>42279</v>
      </c>
      <c r="I1637" s="1">
        <v>42280</v>
      </c>
      <c r="J1637" t="s">
        <v>15</v>
      </c>
      <c r="K1637">
        <v>500</v>
      </c>
      <c r="L1637">
        <v>433</v>
      </c>
      <c r="M1637" t="s">
        <v>446</v>
      </c>
      <c r="N1637">
        <v>2</v>
      </c>
    </row>
    <row r="1638" hidden="1" spans="1:14">
      <c r="A1638">
        <v>4779</v>
      </c>
      <c r="C1638" t="s">
        <v>387</v>
      </c>
      <c r="E1638">
        <v>-90.9716</v>
      </c>
      <c r="F1638">
        <v>15.0994</v>
      </c>
      <c r="G1638">
        <v>16345.25</v>
      </c>
      <c r="H1638" s="1">
        <v>43681</v>
      </c>
      <c r="I1638" s="1">
        <v>43686</v>
      </c>
      <c r="J1638" t="s">
        <v>56</v>
      </c>
      <c r="K1638">
        <v>0</v>
      </c>
      <c r="L1638">
        <v>300</v>
      </c>
      <c r="M1638" t="s">
        <v>52</v>
      </c>
      <c r="N1638">
        <v>1</v>
      </c>
    </row>
    <row r="1639" hidden="1" spans="1:14">
      <c r="A1639">
        <v>904</v>
      </c>
      <c r="B1639">
        <v>0</v>
      </c>
      <c r="C1639" t="s">
        <v>447</v>
      </c>
      <c r="D1639">
        <v>0</v>
      </c>
      <c r="E1639">
        <v>-90.8326</v>
      </c>
      <c r="F1639">
        <v>14.9596</v>
      </c>
      <c r="G1639">
        <v>45757.41</v>
      </c>
      <c r="H1639" s="1">
        <v>34616</v>
      </c>
      <c r="I1639" s="1">
        <v>34620</v>
      </c>
      <c r="J1639" t="s">
        <v>15</v>
      </c>
      <c r="K1639">
        <v>10</v>
      </c>
      <c r="L1639">
        <v>0</v>
      </c>
      <c r="M1639" t="s">
        <v>16</v>
      </c>
      <c r="N1639">
        <v>1</v>
      </c>
    </row>
    <row r="1640" hidden="1" spans="1:14">
      <c r="A1640">
        <v>978</v>
      </c>
      <c r="B1640">
        <v>0</v>
      </c>
      <c r="C1640" t="s">
        <v>447</v>
      </c>
      <c r="D1640" t="s">
        <v>158</v>
      </c>
      <c r="E1640">
        <v>-91.4849</v>
      </c>
      <c r="F1640">
        <v>15.8962</v>
      </c>
      <c r="G1640">
        <v>158687.9</v>
      </c>
      <c r="H1640" s="1">
        <v>34915</v>
      </c>
      <c r="I1640" s="1">
        <v>34934</v>
      </c>
      <c r="J1640" t="s">
        <v>15</v>
      </c>
      <c r="K1640">
        <v>17</v>
      </c>
      <c r="L1640">
        <v>7100</v>
      </c>
      <c r="M1640" t="s">
        <v>16</v>
      </c>
      <c r="N1640">
        <v>1</v>
      </c>
    </row>
    <row r="1641" hidden="1" spans="1:14">
      <c r="A1641">
        <v>1987</v>
      </c>
      <c r="B1641">
        <v>0</v>
      </c>
      <c r="C1641" t="s">
        <v>447</v>
      </c>
      <c r="D1641">
        <v>0</v>
      </c>
      <c r="E1641">
        <v>-89.74</v>
      </c>
      <c r="F1641">
        <v>15.3651</v>
      </c>
      <c r="G1641">
        <v>3708.25</v>
      </c>
      <c r="H1641" s="1">
        <v>37450</v>
      </c>
      <c r="I1641" s="1">
        <v>37452</v>
      </c>
      <c r="J1641" t="s">
        <v>15</v>
      </c>
      <c r="K1641">
        <v>2</v>
      </c>
      <c r="L1641">
        <v>0</v>
      </c>
      <c r="M1641" t="s">
        <v>16</v>
      </c>
      <c r="N1641">
        <v>1</v>
      </c>
    </row>
    <row r="1642" hidden="1" spans="1:14">
      <c r="A1642">
        <v>2047</v>
      </c>
      <c r="B1642">
        <v>0</v>
      </c>
      <c r="C1642" t="s">
        <v>447</v>
      </c>
      <c r="D1642">
        <v>0</v>
      </c>
      <c r="E1642">
        <v>-91.1326</v>
      </c>
      <c r="F1642">
        <v>14.2785</v>
      </c>
      <c r="G1642">
        <v>11482.1</v>
      </c>
      <c r="H1642" s="1">
        <v>37497</v>
      </c>
      <c r="I1642" s="1">
        <v>37504</v>
      </c>
      <c r="J1642" t="s">
        <v>15</v>
      </c>
      <c r="K1642">
        <v>3</v>
      </c>
      <c r="L1642">
        <v>0</v>
      </c>
      <c r="M1642" t="s">
        <v>16</v>
      </c>
      <c r="N1642">
        <v>1</v>
      </c>
    </row>
    <row r="1643" hidden="1" spans="1:14">
      <c r="A1643">
        <v>2263</v>
      </c>
      <c r="B1643">
        <v>0</v>
      </c>
      <c r="C1643" t="s">
        <v>447</v>
      </c>
      <c r="D1643">
        <v>0</v>
      </c>
      <c r="E1643">
        <v>-90.4913</v>
      </c>
      <c r="F1643">
        <v>14.6208</v>
      </c>
      <c r="G1643">
        <v>152.296</v>
      </c>
      <c r="H1643" s="1">
        <v>37797</v>
      </c>
      <c r="I1643" s="1">
        <v>37802</v>
      </c>
      <c r="J1643" t="s">
        <v>15</v>
      </c>
      <c r="K1643">
        <v>3</v>
      </c>
      <c r="L1643">
        <v>40</v>
      </c>
      <c r="M1643" t="s">
        <v>16</v>
      </c>
      <c r="N1643">
        <v>1</v>
      </c>
    </row>
    <row r="1644" hidden="1" spans="1:14">
      <c r="A1644">
        <v>2581</v>
      </c>
      <c r="B1644">
        <v>0</v>
      </c>
      <c r="C1644" t="s">
        <v>447</v>
      </c>
      <c r="D1644">
        <v>0</v>
      </c>
      <c r="E1644">
        <v>-89.3114</v>
      </c>
      <c r="F1644">
        <v>15.5327</v>
      </c>
      <c r="G1644">
        <v>13464.18</v>
      </c>
      <c r="H1644" s="1">
        <v>38297</v>
      </c>
      <c r="I1644" s="1">
        <v>38302</v>
      </c>
      <c r="J1644" t="s">
        <v>15</v>
      </c>
      <c r="K1644">
        <v>1</v>
      </c>
      <c r="L1644">
        <v>650</v>
      </c>
      <c r="M1644" t="s">
        <v>16</v>
      </c>
      <c r="N1644">
        <v>1</v>
      </c>
    </row>
    <row r="1645" hidden="1" spans="1:14">
      <c r="A1645">
        <v>3194</v>
      </c>
      <c r="B1645">
        <v>0</v>
      </c>
      <c r="C1645" t="s">
        <v>447</v>
      </c>
      <c r="D1645">
        <v>0</v>
      </c>
      <c r="E1645">
        <v>-90.4887</v>
      </c>
      <c r="F1645">
        <v>14.6007</v>
      </c>
      <c r="G1645">
        <v>2295.17</v>
      </c>
      <c r="H1645" s="1">
        <v>39347</v>
      </c>
      <c r="I1645" s="1">
        <v>39349</v>
      </c>
      <c r="J1645" t="s">
        <v>15</v>
      </c>
      <c r="K1645">
        <v>3</v>
      </c>
      <c r="L1645">
        <v>656</v>
      </c>
      <c r="M1645" t="s">
        <v>16</v>
      </c>
      <c r="N1645">
        <v>1</v>
      </c>
    </row>
    <row r="1646" hidden="1" spans="1:14">
      <c r="A1646">
        <v>4620</v>
      </c>
      <c r="C1646" t="s">
        <v>447</v>
      </c>
      <c r="E1646">
        <v>-90.2169</v>
      </c>
      <c r="F1646">
        <v>15.8797</v>
      </c>
      <c r="G1646">
        <v>67481.61</v>
      </c>
      <c r="H1646" s="1">
        <v>43238</v>
      </c>
      <c r="I1646" s="1">
        <v>43242</v>
      </c>
      <c r="J1646" t="s">
        <v>58</v>
      </c>
      <c r="K1646">
        <v>1</v>
      </c>
      <c r="L1646">
        <v>150</v>
      </c>
      <c r="M1646" t="s">
        <v>49</v>
      </c>
      <c r="N1646">
        <v>1</v>
      </c>
    </row>
    <row r="1647" hidden="1" spans="1:14">
      <c r="A1647">
        <v>259</v>
      </c>
      <c r="B1647">
        <v>0</v>
      </c>
      <c r="C1647" t="s">
        <v>448</v>
      </c>
      <c r="D1647">
        <v>0</v>
      </c>
      <c r="E1647">
        <v>-90.5272</v>
      </c>
      <c r="F1647">
        <v>16.024</v>
      </c>
      <c r="G1647">
        <v>369.133</v>
      </c>
      <c r="H1647" s="1">
        <v>32432</v>
      </c>
      <c r="I1647" s="1">
        <v>32433</v>
      </c>
      <c r="J1647" t="s">
        <v>15</v>
      </c>
      <c r="K1647">
        <v>0</v>
      </c>
      <c r="L1647">
        <v>6000</v>
      </c>
      <c r="M1647" t="s">
        <v>16</v>
      </c>
      <c r="N1647">
        <v>1</v>
      </c>
    </row>
    <row r="1648" hidden="1" spans="1:14">
      <c r="A1648">
        <v>1609</v>
      </c>
      <c r="B1648">
        <v>0</v>
      </c>
      <c r="C1648" t="s">
        <v>448</v>
      </c>
      <c r="D1648">
        <v>0</v>
      </c>
      <c r="E1648">
        <v>-90.682</v>
      </c>
      <c r="F1648">
        <v>14.9726</v>
      </c>
      <c r="G1648">
        <v>11567.6</v>
      </c>
      <c r="H1648" s="1">
        <v>36683</v>
      </c>
      <c r="I1648" s="1">
        <v>36698</v>
      </c>
      <c r="J1648" t="s">
        <v>15</v>
      </c>
      <c r="K1648">
        <v>16</v>
      </c>
      <c r="L1648">
        <v>2600</v>
      </c>
      <c r="M1648" t="s">
        <v>16</v>
      </c>
      <c r="N1648">
        <v>1</v>
      </c>
    </row>
    <row r="1649" hidden="1" spans="1:14">
      <c r="A1649">
        <v>1636</v>
      </c>
      <c r="B1649">
        <v>0</v>
      </c>
      <c r="C1649" t="s">
        <v>448</v>
      </c>
      <c r="D1649">
        <v>0</v>
      </c>
      <c r="E1649">
        <v>-90.639</v>
      </c>
      <c r="F1649">
        <v>14.9718</v>
      </c>
      <c r="G1649">
        <v>13966.79</v>
      </c>
      <c r="H1649" s="1">
        <v>36784</v>
      </c>
      <c r="I1649" s="1">
        <v>36786</v>
      </c>
      <c r="J1649" t="s">
        <v>15</v>
      </c>
      <c r="K1649">
        <v>20</v>
      </c>
      <c r="L1649">
        <v>1000</v>
      </c>
      <c r="M1649" t="s">
        <v>16</v>
      </c>
      <c r="N1649">
        <v>1</v>
      </c>
    </row>
    <row r="1650" hidden="1" spans="1:14">
      <c r="A1650">
        <v>1793</v>
      </c>
      <c r="B1650">
        <v>0</v>
      </c>
      <c r="C1650" t="s">
        <v>449</v>
      </c>
      <c r="D1650" t="s">
        <v>450</v>
      </c>
      <c r="E1650">
        <v>-9.22709</v>
      </c>
      <c r="F1650">
        <v>10.5493</v>
      </c>
      <c r="G1650">
        <v>264055.39</v>
      </c>
      <c r="H1650" s="1">
        <v>37121</v>
      </c>
      <c r="I1650" s="1">
        <v>37173</v>
      </c>
      <c r="J1650" t="s">
        <v>15</v>
      </c>
      <c r="K1650">
        <v>11</v>
      </c>
      <c r="L1650">
        <v>43500</v>
      </c>
      <c r="M1650" t="s">
        <v>16</v>
      </c>
      <c r="N1650">
        <v>2</v>
      </c>
    </row>
    <row r="1651" hidden="1" spans="1:14">
      <c r="A1651">
        <v>4285</v>
      </c>
      <c r="C1651" t="s">
        <v>449</v>
      </c>
      <c r="E1651">
        <v>-13.4378</v>
      </c>
      <c r="F1651">
        <v>10.0395</v>
      </c>
      <c r="G1651">
        <v>22455.5</v>
      </c>
      <c r="H1651" s="1">
        <v>42211</v>
      </c>
      <c r="I1651" s="1">
        <v>42221</v>
      </c>
      <c r="J1651" t="s">
        <v>15</v>
      </c>
      <c r="K1651">
        <v>4</v>
      </c>
      <c r="L1651">
        <v>0</v>
      </c>
      <c r="M1651" t="s">
        <v>49</v>
      </c>
      <c r="N1651">
        <v>1</v>
      </c>
    </row>
    <row r="1652" hidden="1" spans="1:14">
      <c r="A1652">
        <v>409</v>
      </c>
      <c r="B1652">
        <v>0</v>
      </c>
      <c r="C1652" t="s">
        <v>451</v>
      </c>
      <c r="D1652">
        <v>0</v>
      </c>
      <c r="E1652">
        <v>-58.5812</v>
      </c>
      <c r="F1652">
        <v>7.05753</v>
      </c>
      <c r="G1652">
        <v>32173.92</v>
      </c>
      <c r="H1652" s="1">
        <v>32988</v>
      </c>
      <c r="I1652" s="1">
        <v>32997</v>
      </c>
      <c r="J1652" t="s">
        <v>15</v>
      </c>
      <c r="K1652">
        <v>0</v>
      </c>
      <c r="L1652">
        <v>0</v>
      </c>
      <c r="M1652" t="s">
        <v>16</v>
      </c>
      <c r="N1652">
        <v>1</v>
      </c>
    </row>
    <row r="1653" hidden="1" spans="1:14">
      <c r="A1653">
        <v>478</v>
      </c>
      <c r="B1653">
        <v>0</v>
      </c>
      <c r="C1653" t="s">
        <v>451</v>
      </c>
      <c r="D1653">
        <v>0</v>
      </c>
      <c r="E1653">
        <v>-57.425</v>
      </c>
      <c r="F1653">
        <v>6.08126</v>
      </c>
      <c r="G1653">
        <v>1757.83</v>
      </c>
      <c r="H1653" s="1">
        <v>33180</v>
      </c>
      <c r="I1653" s="1">
        <v>33185</v>
      </c>
      <c r="J1653" t="s">
        <v>15</v>
      </c>
      <c r="K1653">
        <v>0</v>
      </c>
      <c r="L1653">
        <v>0</v>
      </c>
      <c r="M1653" t="s">
        <v>16</v>
      </c>
      <c r="N1653">
        <v>1</v>
      </c>
    </row>
    <row r="1654" hidden="1" spans="1:14">
      <c r="A1654">
        <v>2413</v>
      </c>
      <c r="B1654">
        <v>0</v>
      </c>
      <c r="C1654" t="s">
        <v>451</v>
      </c>
      <c r="D1654">
        <v>0</v>
      </c>
      <c r="E1654">
        <v>-58.3564</v>
      </c>
      <c r="F1654">
        <v>6.66256</v>
      </c>
      <c r="G1654">
        <v>16827.6</v>
      </c>
      <c r="H1654" s="1">
        <v>37991</v>
      </c>
      <c r="I1654" s="1">
        <v>37993</v>
      </c>
      <c r="J1654" t="s">
        <v>15</v>
      </c>
      <c r="K1654">
        <v>0</v>
      </c>
      <c r="L1654">
        <v>0</v>
      </c>
      <c r="M1654" t="s">
        <v>16</v>
      </c>
      <c r="N1654">
        <v>1</v>
      </c>
    </row>
    <row r="1655" hidden="1" spans="1:14">
      <c r="A1655">
        <v>2613</v>
      </c>
      <c r="B1655">
        <v>0</v>
      </c>
      <c r="C1655" t="s">
        <v>451</v>
      </c>
      <c r="D1655">
        <v>0</v>
      </c>
      <c r="E1655">
        <v>-58.0383</v>
      </c>
      <c r="F1655">
        <v>6.60784</v>
      </c>
      <c r="G1655">
        <v>2339.48</v>
      </c>
      <c r="H1655" s="1">
        <v>38367</v>
      </c>
      <c r="I1655" s="1">
        <v>38408</v>
      </c>
      <c r="J1655" t="s">
        <v>15</v>
      </c>
      <c r="K1655">
        <v>31</v>
      </c>
      <c r="L1655">
        <v>375000</v>
      </c>
      <c r="M1655" t="s">
        <v>16</v>
      </c>
      <c r="N1655">
        <v>2</v>
      </c>
    </row>
    <row r="1656" hidden="1" spans="1:14">
      <c r="A1656">
        <v>2782</v>
      </c>
      <c r="B1656" t="s">
        <v>452</v>
      </c>
      <c r="C1656" t="s">
        <v>451</v>
      </c>
      <c r="D1656">
        <v>0</v>
      </c>
      <c r="E1656">
        <v>-58.6627</v>
      </c>
      <c r="F1656">
        <v>6.89182</v>
      </c>
      <c r="G1656">
        <v>24216.56</v>
      </c>
      <c r="H1656" s="1">
        <v>38725</v>
      </c>
      <c r="I1656" s="1">
        <v>38762</v>
      </c>
      <c r="J1656" t="s">
        <v>15</v>
      </c>
      <c r="K1656">
        <v>20</v>
      </c>
      <c r="L1656">
        <v>5000</v>
      </c>
      <c r="M1656" t="s">
        <v>16</v>
      </c>
      <c r="N1656">
        <v>1</v>
      </c>
    </row>
    <row r="1657" hidden="1" spans="1:14">
      <c r="A1657">
        <v>3422</v>
      </c>
      <c r="B1657" t="s">
        <v>453</v>
      </c>
      <c r="C1657" t="s">
        <v>451</v>
      </c>
      <c r="D1657">
        <v>0</v>
      </c>
      <c r="E1657">
        <v>-58.5766</v>
      </c>
      <c r="F1657">
        <v>7.08029</v>
      </c>
      <c r="G1657">
        <v>39997.97</v>
      </c>
      <c r="H1657" s="1">
        <v>39795</v>
      </c>
      <c r="I1657" s="1">
        <v>39825</v>
      </c>
      <c r="J1657" t="s">
        <v>15</v>
      </c>
      <c r="K1657">
        <v>76</v>
      </c>
      <c r="L1657">
        <v>1200000</v>
      </c>
      <c r="M1657" t="s">
        <v>49</v>
      </c>
      <c r="N1657">
        <v>1.5</v>
      </c>
    </row>
    <row r="1658" hidden="1" spans="1:14">
      <c r="A1658">
        <v>4275</v>
      </c>
      <c r="C1658" t="s">
        <v>451</v>
      </c>
      <c r="E1658">
        <v>-58.7431</v>
      </c>
      <c r="F1658">
        <v>6.66576</v>
      </c>
      <c r="G1658">
        <v>30931.23</v>
      </c>
      <c r="H1658" s="1">
        <v>42201</v>
      </c>
      <c r="I1658" s="1">
        <v>42206</v>
      </c>
      <c r="J1658" t="s">
        <v>15</v>
      </c>
      <c r="K1658">
        <v>0</v>
      </c>
      <c r="L1658">
        <v>0</v>
      </c>
      <c r="M1658" t="s">
        <v>49</v>
      </c>
      <c r="N1658">
        <v>1.5</v>
      </c>
    </row>
    <row r="1659" hidden="1" spans="1:14">
      <c r="A1659">
        <v>4478</v>
      </c>
      <c r="C1659" t="s">
        <v>451</v>
      </c>
      <c r="E1659">
        <v>-59.0153</v>
      </c>
      <c r="F1659">
        <v>3.81464</v>
      </c>
      <c r="G1659">
        <v>131888.36</v>
      </c>
      <c r="H1659" s="1">
        <v>42875</v>
      </c>
      <c r="I1659" s="1">
        <v>42880</v>
      </c>
      <c r="J1659" t="s">
        <v>15</v>
      </c>
      <c r="K1659">
        <v>0</v>
      </c>
      <c r="L1659">
        <v>100</v>
      </c>
      <c r="M1659" t="s">
        <v>49</v>
      </c>
      <c r="N1659">
        <v>1.5</v>
      </c>
    </row>
    <row r="1660" hidden="1" spans="1:14">
      <c r="A1660">
        <v>5087</v>
      </c>
      <c r="C1660" t="s">
        <v>451</v>
      </c>
      <c r="D1660" t="s">
        <v>454</v>
      </c>
      <c r="E1660">
        <v>-58.9658</v>
      </c>
      <c r="F1660">
        <v>5.15327</v>
      </c>
      <c r="G1660">
        <v>170318.02</v>
      </c>
      <c r="H1660" s="1">
        <v>44331</v>
      </c>
      <c r="I1660" s="1">
        <v>44365</v>
      </c>
      <c r="J1660" t="s">
        <v>56</v>
      </c>
      <c r="K1660">
        <v>0</v>
      </c>
      <c r="L1660">
        <v>0</v>
      </c>
      <c r="M1660" t="s">
        <v>49</v>
      </c>
      <c r="N1660">
        <v>1</v>
      </c>
    </row>
    <row r="1661" hidden="1" spans="1:14">
      <c r="A1661">
        <v>745</v>
      </c>
      <c r="B1661">
        <v>0</v>
      </c>
      <c r="C1661" t="s">
        <v>364</v>
      </c>
      <c r="D1661" t="s">
        <v>343</v>
      </c>
      <c r="E1661">
        <v>-76.531</v>
      </c>
      <c r="F1661">
        <v>20.9476</v>
      </c>
      <c r="G1661">
        <v>73170.21</v>
      </c>
      <c r="H1661" s="1">
        <v>34120</v>
      </c>
      <c r="I1661" s="1">
        <v>34122</v>
      </c>
      <c r="J1661" t="s">
        <v>15</v>
      </c>
      <c r="K1661">
        <v>20</v>
      </c>
      <c r="L1661">
        <v>40000</v>
      </c>
      <c r="M1661" t="s">
        <v>64</v>
      </c>
      <c r="N1661">
        <v>1</v>
      </c>
    </row>
    <row r="1662" hidden="1" spans="1:14">
      <c r="A1662">
        <v>917</v>
      </c>
      <c r="B1662">
        <v>0</v>
      </c>
      <c r="C1662" t="s">
        <v>364</v>
      </c>
      <c r="D1662">
        <v>0</v>
      </c>
      <c r="E1662">
        <v>-72.2583</v>
      </c>
      <c r="F1662">
        <v>18.9834</v>
      </c>
      <c r="G1662">
        <v>26426.95</v>
      </c>
      <c r="H1662" s="1">
        <v>34643</v>
      </c>
      <c r="I1662" s="1">
        <v>34653</v>
      </c>
      <c r="J1662" t="s">
        <v>15</v>
      </c>
      <c r="K1662">
        <v>400</v>
      </c>
      <c r="L1662">
        <v>0</v>
      </c>
      <c r="M1662" t="s">
        <v>86</v>
      </c>
      <c r="N1662">
        <v>1</v>
      </c>
    </row>
    <row r="1663" hidden="1" spans="1:14">
      <c r="A1663">
        <v>1132</v>
      </c>
      <c r="B1663">
        <v>0</v>
      </c>
      <c r="C1663" t="s">
        <v>364</v>
      </c>
      <c r="D1663">
        <v>0</v>
      </c>
      <c r="E1663">
        <v>-72.5452</v>
      </c>
      <c r="F1663">
        <v>19.7426</v>
      </c>
      <c r="G1663">
        <v>1037.99</v>
      </c>
      <c r="H1663" s="1">
        <v>35382</v>
      </c>
      <c r="I1663" s="1">
        <v>35386</v>
      </c>
      <c r="J1663" t="s">
        <v>15</v>
      </c>
      <c r="K1663">
        <v>18</v>
      </c>
      <c r="L1663">
        <v>160</v>
      </c>
      <c r="M1663" t="s">
        <v>49</v>
      </c>
      <c r="N1663">
        <v>1</v>
      </c>
    </row>
    <row r="1664" hidden="1" spans="1:14">
      <c r="A1664">
        <v>2207</v>
      </c>
      <c r="B1664">
        <v>0</v>
      </c>
      <c r="C1664" t="s">
        <v>364</v>
      </c>
      <c r="D1664">
        <v>0</v>
      </c>
      <c r="E1664">
        <v>-65.8269</v>
      </c>
      <c r="F1664">
        <v>18.2528</v>
      </c>
      <c r="G1664">
        <v>1139.21</v>
      </c>
      <c r="H1664" s="1">
        <v>37727</v>
      </c>
      <c r="I1664" s="1">
        <v>37733</v>
      </c>
      <c r="J1664" t="s">
        <v>15</v>
      </c>
      <c r="K1664">
        <v>4</v>
      </c>
      <c r="L1664">
        <v>300</v>
      </c>
      <c r="M1664" t="s">
        <v>16</v>
      </c>
      <c r="N1664">
        <v>1</v>
      </c>
    </row>
    <row r="1665" hidden="1" spans="1:14">
      <c r="A1665">
        <v>2339</v>
      </c>
      <c r="B1665">
        <v>0</v>
      </c>
      <c r="C1665" t="s">
        <v>364</v>
      </c>
      <c r="D1665">
        <v>0</v>
      </c>
      <c r="E1665">
        <v>-72.6439</v>
      </c>
      <c r="F1665">
        <v>19.1059</v>
      </c>
      <c r="G1665">
        <v>160.198</v>
      </c>
      <c r="H1665" s="1">
        <v>37862</v>
      </c>
      <c r="I1665" s="1">
        <v>37863</v>
      </c>
      <c r="J1665" t="s">
        <v>15</v>
      </c>
      <c r="K1665">
        <v>24</v>
      </c>
      <c r="L1665">
        <v>12000</v>
      </c>
      <c r="M1665" t="s">
        <v>16</v>
      </c>
      <c r="N1665">
        <v>1</v>
      </c>
    </row>
    <row r="1666" hidden="1" spans="1:14">
      <c r="A1666">
        <v>2380</v>
      </c>
      <c r="B1666">
        <v>0</v>
      </c>
      <c r="C1666" t="s">
        <v>364</v>
      </c>
      <c r="D1666">
        <v>0</v>
      </c>
      <c r="E1666">
        <v>-70.9826</v>
      </c>
      <c r="F1666">
        <v>19.4794</v>
      </c>
      <c r="G1666">
        <v>21413.21</v>
      </c>
      <c r="H1666" s="1">
        <v>37935</v>
      </c>
      <c r="I1666" s="1">
        <v>37951</v>
      </c>
      <c r="J1666" t="s">
        <v>15</v>
      </c>
      <c r="K1666">
        <v>12</v>
      </c>
      <c r="L1666">
        <v>48000</v>
      </c>
      <c r="M1666" t="s">
        <v>16</v>
      </c>
      <c r="N1666">
        <v>1</v>
      </c>
    </row>
    <row r="1667" hidden="1" spans="1:14">
      <c r="A1667">
        <v>2566</v>
      </c>
      <c r="B1667">
        <v>0</v>
      </c>
      <c r="C1667" t="s">
        <v>364</v>
      </c>
      <c r="D1667">
        <v>0</v>
      </c>
      <c r="E1667">
        <v>-81.9664</v>
      </c>
      <c r="F1667">
        <v>28.8006</v>
      </c>
      <c r="G1667">
        <v>109541.01</v>
      </c>
      <c r="H1667" s="1">
        <v>38245</v>
      </c>
      <c r="I1667" s="1">
        <v>38261</v>
      </c>
      <c r="J1667" t="s">
        <v>15</v>
      </c>
      <c r="K1667">
        <v>3006</v>
      </c>
      <c r="L1667">
        <v>280000</v>
      </c>
      <c r="M1667" t="s">
        <v>86</v>
      </c>
      <c r="N1667">
        <v>1</v>
      </c>
    </row>
    <row r="1668" hidden="1" spans="1:14">
      <c r="A1668">
        <v>2756</v>
      </c>
      <c r="B1668">
        <v>0</v>
      </c>
      <c r="C1668" t="s">
        <v>364</v>
      </c>
      <c r="D1668" t="s">
        <v>363</v>
      </c>
      <c r="E1668">
        <v>-72.4696</v>
      </c>
      <c r="F1668">
        <v>18.9658</v>
      </c>
      <c r="G1668">
        <v>12264.27</v>
      </c>
      <c r="H1668" s="1">
        <v>38648</v>
      </c>
      <c r="I1668" s="1">
        <v>38651</v>
      </c>
      <c r="J1668" t="s">
        <v>15</v>
      </c>
      <c r="K1668">
        <v>26</v>
      </c>
      <c r="L1668">
        <v>1500</v>
      </c>
      <c r="M1668" t="s">
        <v>86</v>
      </c>
      <c r="N1668">
        <v>1</v>
      </c>
    </row>
    <row r="1669" hidden="1" spans="1:14">
      <c r="A1669">
        <v>3000</v>
      </c>
      <c r="B1669" t="s">
        <v>455</v>
      </c>
      <c r="C1669" t="s">
        <v>364</v>
      </c>
      <c r="D1669">
        <v>0</v>
      </c>
      <c r="E1669">
        <v>-73.4818</v>
      </c>
      <c r="F1669">
        <v>18.4972</v>
      </c>
      <c r="G1669">
        <v>6318.74</v>
      </c>
      <c r="H1669" s="1">
        <v>39049</v>
      </c>
      <c r="I1669" s="1">
        <v>39052</v>
      </c>
      <c r="J1669" t="s">
        <v>15</v>
      </c>
      <c r="K1669">
        <v>7</v>
      </c>
      <c r="L1669">
        <v>1500</v>
      </c>
      <c r="M1669" t="s">
        <v>16</v>
      </c>
      <c r="N1669">
        <v>1</v>
      </c>
    </row>
    <row r="1670" hidden="1" spans="1:14">
      <c r="A1670">
        <v>3045</v>
      </c>
      <c r="B1670" t="s">
        <v>456</v>
      </c>
      <c r="C1670" t="s">
        <v>364</v>
      </c>
      <c r="E1670">
        <v>-71.7811</v>
      </c>
      <c r="F1670">
        <v>19.4139</v>
      </c>
      <c r="G1670">
        <v>4699.06</v>
      </c>
      <c r="H1670" s="1">
        <v>39161</v>
      </c>
      <c r="I1670" s="1">
        <v>39171</v>
      </c>
      <c r="J1670" t="s">
        <v>15</v>
      </c>
      <c r="K1670">
        <v>11</v>
      </c>
      <c r="L1670">
        <v>7800</v>
      </c>
      <c r="M1670" t="s">
        <v>16</v>
      </c>
      <c r="N1670">
        <v>1</v>
      </c>
    </row>
    <row r="1671" hidden="1" spans="1:14">
      <c r="A1671">
        <v>3140</v>
      </c>
      <c r="B1671">
        <v>0</v>
      </c>
      <c r="C1671" t="s">
        <v>364</v>
      </c>
      <c r="D1671">
        <v>0</v>
      </c>
      <c r="E1671">
        <v>-72.2918</v>
      </c>
      <c r="F1671">
        <v>18.5499</v>
      </c>
      <c r="G1671">
        <v>123.795</v>
      </c>
      <c r="H1671" s="1">
        <v>39286</v>
      </c>
      <c r="I1671" s="1">
        <v>39287</v>
      </c>
      <c r="J1671" t="s">
        <v>15</v>
      </c>
      <c r="K1671">
        <v>4</v>
      </c>
      <c r="L1671">
        <v>300</v>
      </c>
      <c r="M1671" t="s">
        <v>16</v>
      </c>
      <c r="N1671">
        <v>1</v>
      </c>
    </row>
    <row r="1672" hidden="1" spans="1:14">
      <c r="A1672">
        <v>3203</v>
      </c>
      <c r="B1672" t="s">
        <v>457</v>
      </c>
      <c r="C1672" t="s">
        <v>364</v>
      </c>
      <c r="E1672">
        <v>-76.3962</v>
      </c>
      <c r="F1672">
        <v>20.6695</v>
      </c>
      <c r="G1672">
        <v>35310.52</v>
      </c>
      <c r="H1672" s="1">
        <v>39362</v>
      </c>
      <c r="I1672" s="1">
        <v>39372</v>
      </c>
      <c r="J1672" t="s">
        <v>15</v>
      </c>
      <c r="K1672">
        <v>45</v>
      </c>
      <c r="L1672">
        <v>38000</v>
      </c>
      <c r="M1672" t="s">
        <v>16</v>
      </c>
      <c r="N1672">
        <v>1</v>
      </c>
    </row>
    <row r="1673" hidden="1" spans="1:14">
      <c r="A1673">
        <v>3369</v>
      </c>
      <c r="B1673">
        <v>0</v>
      </c>
      <c r="C1673" t="s">
        <v>364</v>
      </c>
      <c r="E1673">
        <v>-71.9755</v>
      </c>
      <c r="F1673">
        <v>18.871</v>
      </c>
      <c r="G1673">
        <v>33215.47</v>
      </c>
      <c r="H1673" s="1">
        <v>39686</v>
      </c>
      <c r="I1673" s="1">
        <v>39688</v>
      </c>
      <c r="J1673" t="s">
        <v>15</v>
      </c>
      <c r="K1673">
        <v>22</v>
      </c>
      <c r="L1673">
        <v>5000</v>
      </c>
      <c r="M1673" t="s">
        <v>458</v>
      </c>
      <c r="N1673">
        <v>1.5</v>
      </c>
    </row>
    <row r="1674" hidden="1" spans="1:14">
      <c r="A1674">
        <v>3373</v>
      </c>
      <c r="B1674">
        <v>0</v>
      </c>
      <c r="C1674" t="s">
        <v>364</v>
      </c>
      <c r="D1674">
        <v>0</v>
      </c>
      <c r="E1674">
        <v>-71.6984</v>
      </c>
      <c r="F1674">
        <v>18.4572</v>
      </c>
      <c r="G1674">
        <v>25885.67</v>
      </c>
      <c r="H1674" s="1">
        <v>39697</v>
      </c>
      <c r="I1674" s="1">
        <v>39699</v>
      </c>
      <c r="J1674" t="s">
        <v>15</v>
      </c>
      <c r="K1674">
        <v>58</v>
      </c>
      <c r="L1674">
        <v>125000</v>
      </c>
      <c r="M1674" t="s">
        <v>459</v>
      </c>
      <c r="N1674">
        <v>1.5</v>
      </c>
    </row>
    <row r="1675" hidden="1" spans="1:14">
      <c r="A1675">
        <v>3483</v>
      </c>
      <c r="B1675">
        <v>0</v>
      </c>
      <c r="C1675" t="s">
        <v>364</v>
      </c>
      <c r="D1675">
        <v>0</v>
      </c>
      <c r="E1675">
        <v>-72.3336</v>
      </c>
      <c r="F1675">
        <v>19.5616</v>
      </c>
      <c r="G1675">
        <v>5754.23</v>
      </c>
      <c r="H1675" s="1">
        <v>39951</v>
      </c>
      <c r="I1675" s="1">
        <v>39954</v>
      </c>
      <c r="J1675" t="s">
        <v>15</v>
      </c>
      <c r="K1675">
        <v>0</v>
      </c>
      <c r="L1675">
        <v>0</v>
      </c>
      <c r="M1675" t="s">
        <v>49</v>
      </c>
      <c r="N1675">
        <v>1.5</v>
      </c>
    </row>
    <row r="1676" hidden="1" spans="1:14">
      <c r="A1676">
        <v>3613</v>
      </c>
      <c r="B1676" t="s">
        <v>460</v>
      </c>
      <c r="C1676" t="s">
        <v>364</v>
      </c>
      <c r="D1676">
        <v>0</v>
      </c>
      <c r="E1676">
        <v>-73.7657</v>
      </c>
      <c r="F1676">
        <v>18.4176</v>
      </c>
      <c r="G1676">
        <v>3836.32</v>
      </c>
      <c r="H1676" s="1">
        <v>40237</v>
      </c>
      <c r="I1676" s="1">
        <v>40239</v>
      </c>
      <c r="J1676">
        <v>0</v>
      </c>
      <c r="K1676">
        <v>13</v>
      </c>
      <c r="L1676">
        <v>0</v>
      </c>
      <c r="M1676" t="s">
        <v>49</v>
      </c>
      <c r="N1676">
        <v>1</v>
      </c>
    </row>
    <row r="1677" hidden="1" spans="1:14">
      <c r="A1677">
        <v>3742</v>
      </c>
      <c r="B1677" t="s">
        <v>461</v>
      </c>
      <c r="C1677" t="s">
        <v>364</v>
      </c>
      <c r="E1677">
        <v>-75.8813</v>
      </c>
      <c r="F1677">
        <v>20.4766</v>
      </c>
      <c r="G1677">
        <v>39742.27</v>
      </c>
      <c r="H1677" s="1">
        <v>40487</v>
      </c>
      <c r="I1677" s="1">
        <v>40492</v>
      </c>
      <c r="J1677" t="s">
        <v>15</v>
      </c>
      <c r="K1677">
        <v>0</v>
      </c>
      <c r="L1677">
        <v>0</v>
      </c>
      <c r="M1677" t="s">
        <v>462</v>
      </c>
      <c r="N1677">
        <v>1.5</v>
      </c>
    </row>
    <row r="1678" hidden="1" spans="1:14">
      <c r="A1678">
        <v>3817</v>
      </c>
      <c r="C1678" t="s">
        <v>364</v>
      </c>
      <c r="D1678" t="s">
        <v>363</v>
      </c>
      <c r="E1678">
        <v>-71.9966</v>
      </c>
      <c r="F1678">
        <v>18.5965</v>
      </c>
      <c r="G1678">
        <v>1115.2</v>
      </c>
      <c r="H1678" s="1">
        <v>40698</v>
      </c>
      <c r="I1678" s="1">
        <v>40707</v>
      </c>
      <c r="J1678" t="s">
        <v>15</v>
      </c>
      <c r="K1678">
        <v>23</v>
      </c>
      <c r="L1678">
        <v>250</v>
      </c>
      <c r="M1678" t="s">
        <v>49</v>
      </c>
      <c r="N1678">
        <v>1</v>
      </c>
    </row>
    <row r="1679" hidden="1" spans="1:14">
      <c r="A1679">
        <v>3915</v>
      </c>
      <c r="C1679" t="s">
        <v>364</v>
      </c>
      <c r="D1679" t="s">
        <v>363</v>
      </c>
      <c r="E1679">
        <v>-72.5821</v>
      </c>
      <c r="F1679">
        <v>19.4433</v>
      </c>
      <c r="G1679">
        <v>35151.93</v>
      </c>
      <c r="H1679" s="1">
        <v>41007</v>
      </c>
      <c r="I1679" s="1">
        <v>41025</v>
      </c>
      <c r="J1679" t="s">
        <v>15</v>
      </c>
      <c r="K1679">
        <v>9</v>
      </c>
      <c r="L1679">
        <v>11000</v>
      </c>
      <c r="M1679" t="s">
        <v>49</v>
      </c>
      <c r="N1679">
        <v>1.5</v>
      </c>
    </row>
    <row r="1680" hidden="1" spans="1:14">
      <c r="A1680">
        <v>3973</v>
      </c>
      <c r="B1680" t="s">
        <v>463</v>
      </c>
      <c r="C1680" t="s">
        <v>364</v>
      </c>
      <c r="E1680">
        <v>-72.2827</v>
      </c>
      <c r="F1680">
        <v>19.1356</v>
      </c>
      <c r="G1680">
        <v>4904.1</v>
      </c>
      <c r="H1680" s="1">
        <v>41146</v>
      </c>
      <c r="I1680" s="1">
        <v>41150</v>
      </c>
      <c r="J1680" t="s">
        <v>15</v>
      </c>
      <c r="K1680">
        <v>19</v>
      </c>
      <c r="L1680">
        <v>15000</v>
      </c>
      <c r="M1680" t="s">
        <v>464</v>
      </c>
      <c r="N1680">
        <v>1.5</v>
      </c>
    </row>
    <row r="1681" hidden="1" spans="1:14">
      <c r="A1681">
        <v>4243</v>
      </c>
      <c r="C1681" t="s">
        <v>364</v>
      </c>
      <c r="E1681">
        <v>-72.1912</v>
      </c>
      <c r="F1681">
        <v>18.685</v>
      </c>
      <c r="G1681">
        <v>3672.34</v>
      </c>
      <c r="H1681" s="1">
        <v>42098</v>
      </c>
      <c r="I1681" s="1">
        <v>42100</v>
      </c>
      <c r="J1681" t="s">
        <v>15</v>
      </c>
      <c r="K1681">
        <v>6</v>
      </c>
      <c r="L1681">
        <v>1000</v>
      </c>
      <c r="M1681" t="s">
        <v>49</v>
      </c>
      <c r="N1681">
        <v>1</v>
      </c>
    </row>
    <row r="1682" hidden="1" spans="1:14">
      <c r="A1682">
        <v>4415</v>
      </c>
      <c r="C1682" t="s">
        <v>364</v>
      </c>
      <c r="E1682">
        <v>-72.5871</v>
      </c>
      <c r="F1682">
        <v>19.7388</v>
      </c>
      <c r="G1682">
        <v>4534.1</v>
      </c>
      <c r="H1682" s="1">
        <v>42679</v>
      </c>
      <c r="I1682" s="1">
        <v>42684</v>
      </c>
      <c r="J1682" t="s">
        <v>15</v>
      </c>
      <c r="K1682">
        <v>10</v>
      </c>
      <c r="L1682">
        <v>0</v>
      </c>
      <c r="M1682" t="s">
        <v>49</v>
      </c>
      <c r="N1682">
        <v>1</v>
      </c>
    </row>
    <row r="1683" hidden="1" spans="1:14">
      <c r="A1683">
        <v>4956</v>
      </c>
      <c r="C1683" t="s">
        <v>364</v>
      </c>
      <c r="D1683" t="s">
        <v>363</v>
      </c>
      <c r="E1683">
        <v>-70.9046</v>
      </c>
      <c r="F1683">
        <v>18.9079</v>
      </c>
      <c r="G1683">
        <v>61964.98</v>
      </c>
      <c r="H1683" s="1">
        <v>44064</v>
      </c>
      <c r="I1683" s="1">
        <v>44068</v>
      </c>
      <c r="J1683" t="s">
        <v>56</v>
      </c>
      <c r="K1683">
        <v>11</v>
      </c>
      <c r="L1683">
        <v>0</v>
      </c>
      <c r="M1683" t="s">
        <v>465</v>
      </c>
      <c r="N1683">
        <v>2</v>
      </c>
    </row>
    <row r="1684" hidden="1" spans="1:14">
      <c r="A1684">
        <v>5050</v>
      </c>
      <c r="C1684" t="s">
        <v>364</v>
      </c>
      <c r="E1684">
        <v>-72.3521</v>
      </c>
      <c r="F1684">
        <v>18.9203</v>
      </c>
      <c r="G1684">
        <v>11054.93</v>
      </c>
      <c r="H1684" s="1">
        <v>44288</v>
      </c>
      <c r="I1684" s="1">
        <v>44293</v>
      </c>
      <c r="J1684" t="s">
        <v>56</v>
      </c>
      <c r="K1684">
        <v>3</v>
      </c>
      <c r="L1684">
        <v>750</v>
      </c>
      <c r="M1684" t="s">
        <v>49</v>
      </c>
      <c r="N1684">
        <v>1.5</v>
      </c>
    </row>
    <row r="1685" hidden="1" spans="1:14">
      <c r="A1685">
        <v>5114</v>
      </c>
      <c r="C1685" t="s">
        <v>364</v>
      </c>
      <c r="E1685">
        <v>-73.0696</v>
      </c>
      <c r="F1685">
        <v>18.4744</v>
      </c>
      <c r="G1685">
        <v>10341.15</v>
      </c>
      <c r="H1685" s="1">
        <v>44424</v>
      </c>
      <c r="I1685" s="1">
        <v>44425</v>
      </c>
      <c r="J1685" t="s">
        <v>466</v>
      </c>
      <c r="K1685">
        <v>0</v>
      </c>
      <c r="L1685">
        <v>0</v>
      </c>
      <c r="M1685" t="s">
        <v>467</v>
      </c>
      <c r="N1685">
        <v>1.5</v>
      </c>
    </row>
    <row r="1686" hidden="1" spans="1:14">
      <c r="A1686">
        <v>111</v>
      </c>
      <c r="B1686">
        <v>0</v>
      </c>
      <c r="C1686" t="s">
        <v>468</v>
      </c>
      <c r="D1686">
        <v>0</v>
      </c>
      <c r="E1686">
        <v>-72.9026</v>
      </c>
      <c r="F1686">
        <v>18.7575</v>
      </c>
      <c r="G1686">
        <v>1153.3</v>
      </c>
      <c r="H1686" s="1">
        <v>31708</v>
      </c>
      <c r="I1686" s="1">
        <v>31710</v>
      </c>
      <c r="J1686" t="s">
        <v>15</v>
      </c>
      <c r="K1686">
        <v>40</v>
      </c>
      <c r="L1686">
        <v>901</v>
      </c>
      <c r="M1686" t="s">
        <v>16</v>
      </c>
      <c r="N1686">
        <v>1</v>
      </c>
    </row>
    <row r="1687" hidden="1" spans="1:14">
      <c r="A1687">
        <v>1727</v>
      </c>
      <c r="B1687">
        <v>0</v>
      </c>
      <c r="C1687" t="s">
        <v>468</v>
      </c>
      <c r="D1687">
        <v>0</v>
      </c>
      <c r="E1687">
        <v>-72.4737</v>
      </c>
      <c r="F1687">
        <v>19.0665</v>
      </c>
      <c r="G1687">
        <v>7778.67</v>
      </c>
      <c r="H1687" s="1">
        <v>37027</v>
      </c>
      <c r="I1687" s="1">
        <v>37029</v>
      </c>
      <c r="J1687" t="s">
        <v>15</v>
      </c>
      <c r="K1687">
        <v>15</v>
      </c>
      <c r="L1687">
        <v>0</v>
      </c>
      <c r="M1687" t="s">
        <v>16</v>
      </c>
      <c r="N1687">
        <v>1</v>
      </c>
    </row>
    <row r="1688" hidden="1" spans="1:14">
      <c r="A1688">
        <v>460</v>
      </c>
      <c r="B1688">
        <v>0</v>
      </c>
      <c r="C1688" t="s">
        <v>386</v>
      </c>
      <c r="D1688">
        <v>0</v>
      </c>
      <c r="E1688">
        <v>-87.0534</v>
      </c>
      <c r="F1688">
        <v>13.2878</v>
      </c>
      <c r="G1688">
        <v>2786.73</v>
      </c>
      <c r="H1688" s="1">
        <v>33133</v>
      </c>
      <c r="I1688" s="1">
        <v>33134</v>
      </c>
      <c r="J1688" t="s">
        <v>15</v>
      </c>
      <c r="K1688">
        <v>33</v>
      </c>
      <c r="L1688">
        <v>0</v>
      </c>
      <c r="M1688" t="s">
        <v>64</v>
      </c>
      <c r="N1688">
        <v>1</v>
      </c>
    </row>
    <row r="1689" hidden="1" spans="1:14">
      <c r="A1689">
        <v>480</v>
      </c>
      <c r="B1689">
        <v>0</v>
      </c>
      <c r="C1689" t="s">
        <v>386</v>
      </c>
      <c r="D1689">
        <v>0</v>
      </c>
      <c r="E1689">
        <v>-84.4927</v>
      </c>
      <c r="F1689">
        <v>15.3233</v>
      </c>
      <c r="G1689">
        <v>41826.15</v>
      </c>
      <c r="H1689" s="1">
        <v>33186</v>
      </c>
      <c r="I1689" s="1">
        <v>33198</v>
      </c>
      <c r="J1689" t="s">
        <v>15</v>
      </c>
      <c r="K1689">
        <v>9</v>
      </c>
      <c r="L1689">
        <v>20000</v>
      </c>
      <c r="M1689" t="s">
        <v>16</v>
      </c>
      <c r="N1689">
        <v>1</v>
      </c>
    </row>
    <row r="1690" hidden="1" spans="1:14">
      <c r="A1690">
        <v>994</v>
      </c>
      <c r="B1690">
        <v>0</v>
      </c>
      <c r="C1690" t="s">
        <v>386</v>
      </c>
      <c r="D1690">
        <v>0</v>
      </c>
      <c r="E1690">
        <v>-87.7141</v>
      </c>
      <c r="F1690">
        <v>15.3937</v>
      </c>
      <c r="G1690">
        <v>9441.71</v>
      </c>
      <c r="H1690" s="1">
        <v>34951</v>
      </c>
      <c r="I1690" s="1">
        <v>34954</v>
      </c>
      <c r="J1690" t="s">
        <v>15</v>
      </c>
      <c r="K1690">
        <v>30</v>
      </c>
      <c r="L1690">
        <v>6000</v>
      </c>
      <c r="M1690" t="s">
        <v>16</v>
      </c>
      <c r="N1690">
        <v>1</v>
      </c>
    </row>
    <row r="1691" hidden="1" spans="1:14">
      <c r="A1691">
        <v>1122</v>
      </c>
      <c r="B1691">
        <v>0</v>
      </c>
      <c r="C1691" t="s">
        <v>386</v>
      </c>
      <c r="D1691" t="s">
        <v>331</v>
      </c>
      <c r="E1691">
        <v>-83.7888</v>
      </c>
      <c r="F1691">
        <v>11.8569</v>
      </c>
      <c r="G1691">
        <v>272817.98</v>
      </c>
      <c r="H1691" s="1">
        <v>35352</v>
      </c>
      <c r="I1691" s="1">
        <v>35356</v>
      </c>
      <c r="J1691" t="s">
        <v>15</v>
      </c>
      <c r="K1691">
        <v>11</v>
      </c>
      <c r="L1691">
        <v>10500</v>
      </c>
      <c r="M1691" t="s">
        <v>49</v>
      </c>
      <c r="N1691">
        <v>1</v>
      </c>
    </row>
    <row r="1692" hidden="1" spans="1:14">
      <c r="A1692">
        <v>1464</v>
      </c>
      <c r="B1692">
        <v>0</v>
      </c>
      <c r="C1692" t="s">
        <v>386</v>
      </c>
      <c r="D1692" t="s">
        <v>332</v>
      </c>
      <c r="E1692">
        <v>-83.9413</v>
      </c>
      <c r="F1692">
        <v>12.1801</v>
      </c>
      <c r="G1692">
        <v>241305.54</v>
      </c>
      <c r="H1692" s="1">
        <v>36092</v>
      </c>
      <c r="I1692" s="1">
        <v>36104</v>
      </c>
      <c r="J1692" t="s">
        <v>15</v>
      </c>
      <c r="K1692">
        <v>11000</v>
      </c>
      <c r="L1692">
        <v>2000000</v>
      </c>
      <c r="M1692" t="s">
        <v>18</v>
      </c>
      <c r="N1692">
        <v>2</v>
      </c>
    </row>
    <row r="1693" hidden="1" spans="1:14">
      <c r="A1693">
        <v>1476</v>
      </c>
      <c r="B1693">
        <v>0</v>
      </c>
      <c r="C1693" t="s">
        <v>386</v>
      </c>
      <c r="D1693">
        <v>0</v>
      </c>
      <c r="E1693">
        <v>-86.9888</v>
      </c>
      <c r="F1693">
        <v>15.4994</v>
      </c>
      <c r="G1693">
        <v>18006.15</v>
      </c>
      <c r="H1693" s="1">
        <v>36126</v>
      </c>
      <c r="I1693" s="1">
        <v>36129</v>
      </c>
      <c r="J1693" t="s">
        <v>15</v>
      </c>
      <c r="K1693">
        <v>0</v>
      </c>
      <c r="L1693">
        <v>20000</v>
      </c>
      <c r="M1693" t="s">
        <v>16</v>
      </c>
      <c r="N1693">
        <v>1</v>
      </c>
    </row>
    <row r="1694" hidden="1" spans="1:14">
      <c r="A1694">
        <v>1482</v>
      </c>
      <c r="B1694">
        <v>0</v>
      </c>
      <c r="C1694" t="s">
        <v>386</v>
      </c>
      <c r="E1694">
        <v>-87.3203</v>
      </c>
      <c r="F1694">
        <v>15.5233</v>
      </c>
      <c r="G1694">
        <v>16546.85</v>
      </c>
      <c r="H1694" s="1">
        <v>36149</v>
      </c>
      <c r="I1694" s="1">
        <v>36150</v>
      </c>
      <c r="J1694" t="s">
        <v>15</v>
      </c>
      <c r="K1694">
        <v>0</v>
      </c>
      <c r="L1694">
        <v>0</v>
      </c>
      <c r="M1694">
        <v>0</v>
      </c>
      <c r="N1694">
        <v>1</v>
      </c>
    </row>
    <row r="1695" hidden="1" spans="1:14">
      <c r="A1695">
        <v>1941</v>
      </c>
      <c r="B1695">
        <v>0</v>
      </c>
      <c r="C1695" t="s">
        <v>386</v>
      </c>
      <c r="D1695">
        <v>0</v>
      </c>
      <c r="E1695">
        <v>-87.1782</v>
      </c>
      <c r="F1695">
        <v>14.1031</v>
      </c>
      <c r="G1695">
        <v>2916.82</v>
      </c>
      <c r="H1695" s="1">
        <v>37413</v>
      </c>
      <c r="I1695" s="1">
        <v>37420</v>
      </c>
      <c r="J1695" t="s">
        <v>15</v>
      </c>
      <c r="K1695">
        <v>10</v>
      </c>
      <c r="L1695">
        <v>4000</v>
      </c>
      <c r="M1695" t="s">
        <v>16</v>
      </c>
      <c r="N1695">
        <v>1</v>
      </c>
    </row>
    <row r="1696" hidden="1" spans="1:14">
      <c r="A1696">
        <v>2392</v>
      </c>
      <c r="B1696">
        <v>0</v>
      </c>
      <c r="C1696" t="s">
        <v>386</v>
      </c>
      <c r="D1696">
        <v>0</v>
      </c>
      <c r="E1696">
        <v>-86.8593</v>
      </c>
      <c r="F1696">
        <v>15.7298</v>
      </c>
      <c r="G1696">
        <v>5307.76</v>
      </c>
      <c r="H1696" s="1">
        <v>37953</v>
      </c>
      <c r="I1696" s="1">
        <v>37979</v>
      </c>
      <c r="J1696" t="s">
        <v>15</v>
      </c>
      <c r="K1696">
        <v>7</v>
      </c>
      <c r="L1696">
        <v>3000</v>
      </c>
      <c r="M1696" t="s">
        <v>16</v>
      </c>
      <c r="N1696">
        <v>1</v>
      </c>
    </row>
    <row r="1697" hidden="1" spans="1:14">
      <c r="A1697">
        <v>2899</v>
      </c>
      <c r="B1697">
        <v>0</v>
      </c>
      <c r="C1697" t="s">
        <v>386</v>
      </c>
      <c r="D1697">
        <v>0</v>
      </c>
      <c r="E1697">
        <v>-88.0668</v>
      </c>
      <c r="F1697">
        <v>14.8995</v>
      </c>
      <c r="G1697">
        <v>9984.92</v>
      </c>
      <c r="H1697" s="1">
        <v>38893</v>
      </c>
      <c r="I1697" s="1">
        <v>38899</v>
      </c>
      <c r="J1697" t="s">
        <v>15</v>
      </c>
      <c r="K1697">
        <v>4</v>
      </c>
      <c r="L1697">
        <v>1500</v>
      </c>
      <c r="M1697" t="s">
        <v>16</v>
      </c>
      <c r="N1697">
        <v>1</v>
      </c>
    </row>
    <row r="1698" hidden="1" spans="1:14">
      <c r="A1698">
        <v>3034</v>
      </c>
      <c r="B1698">
        <v>0</v>
      </c>
      <c r="C1698" t="s">
        <v>386</v>
      </c>
      <c r="D1698">
        <v>0</v>
      </c>
      <c r="E1698">
        <v>-86.5356</v>
      </c>
      <c r="F1698">
        <v>15.5787</v>
      </c>
      <c r="G1698">
        <v>11383.97</v>
      </c>
      <c r="H1698" s="1">
        <v>39147</v>
      </c>
      <c r="I1698" s="1">
        <v>39151</v>
      </c>
      <c r="J1698" t="s">
        <v>15</v>
      </c>
      <c r="K1698">
        <v>0</v>
      </c>
      <c r="L1698">
        <v>3000</v>
      </c>
      <c r="M1698" t="s">
        <v>16</v>
      </c>
      <c r="N1698">
        <v>1</v>
      </c>
    </row>
    <row r="1699" hidden="1" spans="1:14">
      <c r="A1699">
        <v>3039</v>
      </c>
      <c r="B1699">
        <v>0</v>
      </c>
      <c r="C1699" t="s">
        <v>386</v>
      </c>
      <c r="D1699">
        <v>0</v>
      </c>
      <c r="E1699">
        <v>-86.6007</v>
      </c>
      <c r="F1699">
        <v>13.9257</v>
      </c>
      <c r="G1699">
        <v>5759.2</v>
      </c>
      <c r="H1699" s="1">
        <v>39158</v>
      </c>
      <c r="I1699" s="1">
        <v>39160</v>
      </c>
      <c r="J1699" t="s">
        <v>15</v>
      </c>
      <c r="K1699">
        <v>2</v>
      </c>
      <c r="L1699">
        <v>0</v>
      </c>
      <c r="M1699" t="s">
        <v>16</v>
      </c>
      <c r="N1699">
        <v>1</v>
      </c>
    </row>
    <row r="1700" hidden="1" spans="1:14">
      <c r="A1700">
        <v>3397</v>
      </c>
      <c r="B1700">
        <v>0</v>
      </c>
      <c r="C1700" t="s">
        <v>386</v>
      </c>
      <c r="E1700">
        <v>-89.2869</v>
      </c>
      <c r="F1700">
        <v>15.8519</v>
      </c>
      <c r="G1700">
        <v>96385.8</v>
      </c>
      <c r="H1700" s="1">
        <v>39740</v>
      </c>
      <c r="I1700" s="1">
        <v>39764</v>
      </c>
      <c r="J1700" t="s">
        <v>15</v>
      </c>
      <c r="K1700">
        <v>110</v>
      </c>
      <c r="L1700">
        <v>320000</v>
      </c>
      <c r="M1700" t="s">
        <v>469</v>
      </c>
      <c r="N1700">
        <v>2</v>
      </c>
    </row>
    <row r="1701" hidden="1" spans="1:14">
      <c r="A1701">
        <v>3932</v>
      </c>
      <c r="B1701" t="s">
        <v>470</v>
      </c>
      <c r="C1701" t="s">
        <v>386</v>
      </c>
      <c r="E1701">
        <v>-86.5954</v>
      </c>
      <c r="F1701">
        <v>14.1478</v>
      </c>
      <c r="G1701">
        <v>6519.13</v>
      </c>
      <c r="H1701" s="1">
        <v>41051</v>
      </c>
      <c r="I1701" s="1">
        <v>41058</v>
      </c>
      <c r="J1701" t="s">
        <v>15</v>
      </c>
      <c r="K1701">
        <v>0</v>
      </c>
      <c r="L1701">
        <v>500</v>
      </c>
      <c r="M1701" t="s">
        <v>49</v>
      </c>
      <c r="N1701">
        <v>1</v>
      </c>
    </row>
    <row r="1702" hidden="1" spans="1:14">
      <c r="A1702">
        <v>4437</v>
      </c>
      <c r="C1702" t="s">
        <v>386</v>
      </c>
      <c r="E1702">
        <v>-85.3672</v>
      </c>
      <c r="F1702">
        <v>15.5805</v>
      </c>
      <c r="G1702">
        <v>13364.22</v>
      </c>
      <c r="H1702" s="1">
        <v>42742</v>
      </c>
      <c r="I1702" s="1">
        <v>42756</v>
      </c>
      <c r="J1702" t="s">
        <v>15</v>
      </c>
      <c r="K1702">
        <v>7</v>
      </c>
      <c r="L1702">
        <v>400</v>
      </c>
      <c r="M1702" t="s">
        <v>49</v>
      </c>
      <c r="N1702">
        <v>1</v>
      </c>
    </row>
    <row r="1703" hidden="1" spans="1:14">
      <c r="A1703">
        <v>4481</v>
      </c>
      <c r="C1703" t="s">
        <v>386</v>
      </c>
      <c r="E1703">
        <v>-87.2229</v>
      </c>
      <c r="F1703">
        <v>13.4982</v>
      </c>
      <c r="G1703">
        <v>5489.1</v>
      </c>
      <c r="H1703" s="1">
        <v>42896</v>
      </c>
      <c r="I1703" s="1">
        <v>42900</v>
      </c>
      <c r="J1703" t="s">
        <v>15</v>
      </c>
      <c r="K1703">
        <v>0</v>
      </c>
      <c r="L1703">
        <v>0</v>
      </c>
      <c r="M1703" t="s">
        <v>49</v>
      </c>
      <c r="N1703">
        <v>1</v>
      </c>
    </row>
    <row r="1704" hidden="1" spans="1:14">
      <c r="A1704">
        <v>4803</v>
      </c>
      <c r="C1704" t="s">
        <v>386</v>
      </c>
      <c r="E1704">
        <v>-87.8662</v>
      </c>
      <c r="F1704">
        <v>15.2835</v>
      </c>
      <c r="G1704">
        <v>14279.32</v>
      </c>
      <c r="H1704" s="1">
        <v>43746</v>
      </c>
      <c r="I1704" s="1">
        <v>43750</v>
      </c>
      <c r="J1704" t="s">
        <v>56</v>
      </c>
      <c r="K1704">
        <v>0</v>
      </c>
      <c r="L1704">
        <v>200</v>
      </c>
      <c r="M1704" t="s">
        <v>52</v>
      </c>
      <c r="N1704">
        <v>1.5</v>
      </c>
    </row>
    <row r="1705" hidden="1" spans="1:14">
      <c r="A1705">
        <v>4922</v>
      </c>
      <c r="C1705" t="s">
        <v>386</v>
      </c>
      <c r="D1705" t="s">
        <v>387</v>
      </c>
      <c r="E1705">
        <v>-86.3569</v>
      </c>
      <c r="F1705">
        <v>14.7996</v>
      </c>
      <c r="G1705">
        <v>48913.88</v>
      </c>
      <c r="H1705" s="1">
        <v>43977</v>
      </c>
      <c r="I1705" s="1">
        <v>43985</v>
      </c>
      <c r="J1705" t="s">
        <v>56</v>
      </c>
      <c r="K1705">
        <v>14</v>
      </c>
      <c r="L1705">
        <v>200</v>
      </c>
      <c r="M1705" t="s">
        <v>471</v>
      </c>
      <c r="N1705">
        <v>1</v>
      </c>
    </row>
    <row r="1706" hidden="1" spans="1:14">
      <c r="A1706">
        <v>794</v>
      </c>
      <c r="B1706">
        <v>0</v>
      </c>
      <c r="C1706" t="s">
        <v>472</v>
      </c>
      <c r="D1706">
        <v>0</v>
      </c>
      <c r="E1706">
        <v>-86.4699</v>
      </c>
      <c r="F1706">
        <v>15.6489</v>
      </c>
      <c r="G1706">
        <v>6656.49</v>
      </c>
      <c r="H1706" s="1">
        <v>34273</v>
      </c>
      <c r="I1706" s="1">
        <v>34276</v>
      </c>
      <c r="J1706" t="s">
        <v>15</v>
      </c>
      <c r="K1706">
        <v>174</v>
      </c>
      <c r="L1706">
        <v>15000</v>
      </c>
      <c r="M1706" t="s">
        <v>64</v>
      </c>
      <c r="N1706">
        <v>1</v>
      </c>
    </row>
    <row r="1707" hidden="1" spans="1:14">
      <c r="A1707">
        <v>2375</v>
      </c>
      <c r="B1707">
        <v>0</v>
      </c>
      <c r="C1707" t="s">
        <v>122</v>
      </c>
      <c r="D1707">
        <v>0</v>
      </c>
      <c r="E1707">
        <v>20</v>
      </c>
      <c r="F1707">
        <v>48.1</v>
      </c>
      <c r="G1707">
        <v>94.8275</v>
      </c>
      <c r="H1707" s="1">
        <v>37926</v>
      </c>
      <c r="I1707" s="1">
        <v>37927</v>
      </c>
      <c r="J1707" t="s">
        <v>15</v>
      </c>
      <c r="K1707">
        <v>0</v>
      </c>
      <c r="L1707">
        <v>150</v>
      </c>
      <c r="M1707" t="s">
        <v>25</v>
      </c>
      <c r="N1707">
        <v>1</v>
      </c>
    </row>
    <row r="1708" hidden="1" spans="1:14">
      <c r="A1708">
        <v>2778</v>
      </c>
      <c r="B1708">
        <v>0</v>
      </c>
      <c r="C1708" t="s">
        <v>122</v>
      </c>
      <c r="D1708">
        <v>0</v>
      </c>
      <c r="E1708">
        <v>19.5834</v>
      </c>
      <c r="F1708">
        <v>47.7171</v>
      </c>
      <c r="G1708">
        <v>45838.45</v>
      </c>
      <c r="H1708" s="1">
        <v>38720</v>
      </c>
      <c r="I1708" s="1">
        <v>38728</v>
      </c>
      <c r="J1708" t="s">
        <v>15</v>
      </c>
      <c r="K1708">
        <v>0</v>
      </c>
      <c r="L1708">
        <v>0</v>
      </c>
      <c r="M1708" t="s">
        <v>16</v>
      </c>
      <c r="N1708">
        <v>1</v>
      </c>
    </row>
    <row r="1709" hidden="1" spans="1:14">
      <c r="A1709">
        <v>3657</v>
      </c>
      <c r="B1709">
        <v>0</v>
      </c>
      <c r="C1709" t="s">
        <v>122</v>
      </c>
      <c r="E1709">
        <v>19.7971</v>
      </c>
      <c r="F1709">
        <v>49.6716</v>
      </c>
      <c r="G1709">
        <v>174970.1</v>
      </c>
      <c r="H1709" s="1">
        <v>40327</v>
      </c>
      <c r="I1709" s="1">
        <v>40340</v>
      </c>
      <c r="J1709">
        <v>0</v>
      </c>
      <c r="K1709">
        <v>0</v>
      </c>
      <c r="L1709">
        <v>3000</v>
      </c>
      <c r="M1709" t="s">
        <v>49</v>
      </c>
      <c r="N1709">
        <v>1</v>
      </c>
    </row>
    <row r="1710" hidden="1" spans="1:14">
      <c r="A1710">
        <v>4762</v>
      </c>
      <c r="C1710" t="s">
        <v>122</v>
      </c>
      <c r="E1710">
        <v>20.1639</v>
      </c>
      <c r="F1710">
        <v>47.2624</v>
      </c>
      <c r="G1710">
        <v>14047.33</v>
      </c>
      <c r="H1710" s="1">
        <v>43635</v>
      </c>
      <c r="I1710" s="1">
        <v>43640</v>
      </c>
      <c r="J1710" t="s">
        <v>56</v>
      </c>
      <c r="K1710">
        <v>0</v>
      </c>
      <c r="L1710">
        <v>0</v>
      </c>
      <c r="M1710" t="s">
        <v>49</v>
      </c>
      <c r="N1710">
        <v>1</v>
      </c>
    </row>
    <row r="1711" hidden="1" spans="1:14">
      <c r="A1711">
        <v>1129</v>
      </c>
      <c r="B1711">
        <v>0</v>
      </c>
      <c r="C1711" t="s">
        <v>473</v>
      </c>
      <c r="D1711">
        <v>0</v>
      </c>
      <c r="E1711">
        <v>-16.7921</v>
      </c>
      <c r="F1711">
        <v>64.3628</v>
      </c>
      <c r="G1711">
        <v>5678.59</v>
      </c>
      <c r="H1711" s="1">
        <v>35375</v>
      </c>
      <c r="I1711" s="1">
        <v>35376</v>
      </c>
      <c r="J1711" t="s">
        <v>15</v>
      </c>
      <c r="K1711">
        <v>0</v>
      </c>
      <c r="L1711">
        <v>0</v>
      </c>
      <c r="M1711" t="s">
        <v>39</v>
      </c>
      <c r="N1711">
        <v>1</v>
      </c>
    </row>
    <row r="1712" hidden="1" spans="1:14">
      <c r="A1712">
        <v>27</v>
      </c>
      <c r="B1712">
        <v>0</v>
      </c>
      <c r="C1712" t="s">
        <v>131</v>
      </c>
      <c r="D1712">
        <v>0</v>
      </c>
      <c r="E1712">
        <v>75.0937</v>
      </c>
      <c r="F1712">
        <v>14.5398</v>
      </c>
      <c r="G1712">
        <v>254234.6</v>
      </c>
      <c r="H1712" s="1">
        <v>31221</v>
      </c>
      <c r="I1712" s="1">
        <v>31225</v>
      </c>
      <c r="J1712" t="s">
        <v>15</v>
      </c>
      <c r="K1712">
        <v>95</v>
      </c>
      <c r="L1712">
        <v>25000</v>
      </c>
      <c r="M1712" t="s">
        <v>16</v>
      </c>
      <c r="N1712">
        <v>1</v>
      </c>
    </row>
    <row r="1713" hidden="1" spans="1:14">
      <c r="A1713">
        <v>33</v>
      </c>
      <c r="B1713">
        <v>0</v>
      </c>
      <c r="C1713" t="s">
        <v>131</v>
      </c>
      <c r="D1713">
        <v>0</v>
      </c>
      <c r="E1713">
        <v>76.9103</v>
      </c>
      <c r="F1713">
        <v>32.8353</v>
      </c>
      <c r="G1713">
        <v>117441.17</v>
      </c>
      <c r="H1713" s="1">
        <v>31246</v>
      </c>
      <c r="I1713" s="1">
        <v>31258</v>
      </c>
      <c r="J1713" t="s">
        <v>15</v>
      </c>
      <c r="K1713">
        <v>340</v>
      </c>
      <c r="L1713">
        <v>20000</v>
      </c>
      <c r="M1713" t="s">
        <v>16</v>
      </c>
      <c r="N1713">
        <v>1</v>
      </c>
    </row>
    <row r="1714" hidden="1" spans="1:14">
      <c r="A1714">
        <v>53</v>
      </c>
      <c r="B1714">
        <v>0</v>
      </c>
      <c r="C1714" t="s">
        <v>131</v>
      </c>
      <c r="D1714">
        <v>0</v>
      </c>
      <c r="E1714">
        <v>82.8434</v>
      </c>
      <c r="F1714">
        <v>26.4816</v>
      </c>
      <c r="G1714">
        <v>89994.67</v>
      </c>
      <c r="H1714" s="1">
        <v>31303</v>
      </c>
      <c r="I1714" s="1">
        <v>31335</v>
      </c>
      <c r="J1714" t="s">
        <v>15</v>
      </c>
      <c r="K1714">
        <v>557</v>
      </c>
      <c r="L1714">
        <v>152000</v>
      </c>
      <c r="M1714" t="s">
        <v>49</v>
      </c>
      <c r="N1714">
        <v>2</v>
      </c>
    </row>
    <row r="1715" hidden="1" spans="1:14">
      <c r="A1715">
        <v>61</v>
      </c>
      <c r="B1715">
        <v>0</v>
      </c>
      <c r="C1715" t="s">
        <v>131</v>
      </c>
      <c r="D1715">
        <v>0</v>
      </c>
      <c r="E1715">
        <v>86.7154</v>
      </c>
      <c r="F1715">
        <v>21.1495</v>
      </c>
      <c r="G1715">
        <v>46758.64</v>
      </c>
      <c r="H1715" s="1">
        <v>31338</v>
      </c>
      <c r="I1715" s="1">
        <v>31340</v>
      </c>
      <c r="J1715" t="s">
        <v>15</v>
      </c>
      <c r="K1715">
        <v>49</v>
      </c>
      <c r="L1715">
        <v>150000</v>
      </c>
      <c r="M1715" t="s">
        <v>86</v>
      </c>
      <c r="N1715">
        <v>2</v>
      </c>
    </row>
    <row r="1716" hidden="1" spans="1:14">
      <c r="A1716">
        <v>93</v>
      </c>
      <c r="B1716">
        <v>0</v>
      </c>
      <c r="C1716" t="s">
        <v>131</v>
      </c>
      <c r="E1716">
        <v>84.0726</v>
      </c>
      <c r="F1716">
        <v>25.6339</v>
      </c>
      <c r="G1716">
        <v>507167.44</v>
      </c>
      <c r="H1716" s="1">
        <v>31578</v>
      </c>
      <c r="I1716" s="1">
        <v>31644</v>
      </c>
      <c r="J1716" t="s">
        <v>15</v>
      </c>
      <c r="K1716">
        <v>258</v>
      </c>
      <c r="L1716">
        <v>3040000</v>
      </c>
      <c r="M1716" t="s">
        <v>23</v>
      </c>
      <c r="N1716">
        <v>1</v>
      </c>
    </row>
    <row r="1717" hidden="1" spans="1:14">
      <c r="A1717">
        <v>98</v>
      </c>
      <c r="B1717">
        <v>0</v>
      </c>
      <c r="C1717" t="s">
        <v>131</v>
      </c>
      <c r="D1717">
        <v>0</v>
      </c>
      <c r="E1717">
        <v>80.187</v>
      </c>
      <c r="F1717">
        <v>17.4331</v>
      </c>
      <c r="G1717">
        <v>107355.33</v>
      </c>
      <c r="H1717" s="1">
        <v>31639</v>
      </c>
      <c r="I1717" s="1">
        <v>31646</v>
      </c>
      <c r="J1717" t="s">
        <v>15</v>
      </c>
      <c r="K1717">
        <v>150</v>
      </c>
      <c r="L1717">
        <v>3000000</v>
      </c>
      <c r="M1717" t="s">
        <v>23</v>
      </c>
      <c r="N1717">
        <v>1</v>
      </c>
    </row>
    <row r="1718" hidden="1" spans="1:14">
      <c r="A1718">
        <v>106</v>
      </c>
      <c r="B1718">
        <v>0</v>
      </c>
      <c r="C1718" t="s">
        <v>131</v>
      </c>
      <c r="E1718">
        <v>89.4296</v>
      </c>
      <c r="F1718">
        <v>23.6547</v>
      </c>
      <c r="G1718">
        <v>231516.28</v>
      </c>
      <c r="H1718" s="1">
        <v>31677</v>
      </c>
      <c r="I1718" s="1">
        <v>31695</v>
      </c>
      <c r="J1718" t="s">
        <v>15</v>
      </c>
      <c r="K1718">
        <v>49</v>
      </c>
      <c r="L1718">
        <v>700000</v>
      </c>
      <c r="M1718" t="s">
        <v>16</v>
      </c>
      <c r="N1718">
        <v>1</v>
      </c>
    </row>
    <row r="1719" hidden="1" spans="1:14">
      <c r="A1719">
        <v>196</v>
      </c>
      <c r="B1719">
        <v>0</v>
      </c>
      <c r="C1719" t="s">
        <v>131</v>
      </c>
      <c r="E1719">
        <v>80.7246</v>
      </c>
      <c r="F1719">
        <v>28.886</v>
      </c>
      <c r="G1719">
        <v>847737.26</v>
      </c>
      <c r="H1719" s="1">
        <v>32328</v>
      </c>
      <c r="I1719" s="1">
        <v>32363</v>
      </c>
      <c r="J1719" t="s">
        <v>15</v>
      </c>
      <c r="K1719">
        <v>233</v>
      </c>
      <c r="L1719">
        <v>500000</v>
      </c>
      <c r="M1719" t="s">
        <v>23</v>
      </c>
      <c r="N1719">
        <v>2</v>
      </c>
    </row>
    <row r="1720" hidden="1" spans="1:14">
      <c r="A1720">
        <v>228</v>
      </c>
      <c r="B1720">
        <v>0</v>
      </c>
      <c r="C1720" t="s">
        <v>131</v>
      </c>
      <c r="E1720">
        <v>86.5429</v>
      </c>
      <c r="F1720">
        <v>26.5037</v>
      </c>
      <c r="G1720">
        <v>626872.46</v>
      </c>
      <c r="H1720" s="1">
        <v>32378</v>
      </c>
      <c r="I1720" s="1">
        <v>32401</v>
      </c>
      <c r="J1720" t="s">
        <v>15</v>
      </c>
      <c r="K1720">
        <v>876</v>
      </c>
      <c r="L1720">
        <v>2000</v>
      </c>
      <c r="M1720" t="s">
        <v>23</v>
      </c>
      <c r="N1720">
        <v>1</v>
      </c>
    </row>
    <row r="1721" hidden="1" spans="1:14">
      <c r="A1721">
        <v>253</v>
      </c>
      <c r="B1721">
        <v>0</v>
      </c>
      <c r="C1721" t="s">
        <v>131</v>
      </c>
      <c r="E1721">
        <v>75.0459</v>
      </c>
      <c r="F1721">
        <v>30.9339</v>
      </c>
      <c r="G1721">
        <v>268528.55</v>
      </c>
      <c r="H1721" s="1">
        <v>32407</v>
      </c>
      <c r="I1721" s="1">
        <v>32424</v>
      </c>
      <c r="J1721" t="s">
        <v>15</v>
      </c>
      <c r="K1721">
        <v>731</v>
      </c>
      <c r="L1721">
        <v>1250000</v>
      </c>
      <c r="M1721" t="s">
        <v>16</v>
      </c>
      <c r="N1721">
        <v>2</v>
      </c>
    </row>
    <row r="1722" hidden="1" spans="1:14">
      <c r="A1722">
        <v>330</v>
      </c>
      <c r="B1722">
        <v>0</v>
      </c>
      <c r="C1722" t="s">
        <v>131</v>
      </c>
      <c r="D1722">
        <v>0</v>
      </c>
      <c r="E1722">
        <v>76.4736</v>
      </c>
      <c r="F1722">
        <v>15.1816</v>
      </c>
      <c r="G1722">
        <v>905209.24</v>
      </c>
      <c r="H1722" s="1">
        <v>32711</v>
      </c>
      <c r="I1722" s="1">
        <v>32720</v>
      </c>
      <c r="J1722" t="s">
        <v>15</v>
      </c>
      <c r="K1722">
        <v>780</v>
      </c>
      <c r="L1722">
        <v>0</v>
      </c>
      <c r="M1722" t="s">
        <v>23</v>
      </c>
      <c r="N1722">
        <v>1</v>
      </c>
    </row>
    <row r="1723" hidden="1" spans="1:14">
      <c r="A1723">
        <v>334</v>
      </c>
      <c r="B1723">
        <v>0</v>
      </c>
      <c r="C1723" t="s">
        <v>131</v>
      </c>
      <c r="D1723">
        <v>0</v>
      </c>
      <c r="E1723">
        <v>92.8291</v>
      </c>
      <c r="F1723">
        <v>24.8678</v>
      </c>
      <c r="G1723">
        <v>112816.35</v>
      </c>
      <c r="H1723" s="1">
        <v>32694</v>
      </c>
      <c r="I1723" s="1">
        <v>32730</v>
      </c>
      <c r="J1723" t="s">
        <v>15</v>
      </c>
      <c r="K1723">
        <v>31</v>
      </c>
      <c r="L1723">
        <v>32000</v>
      </c>
      <c r="M1723" t="s">
        <v>23</v>
      </c>
      <c r="N1723">
        <v>2</v>
      </c>
    </row>
    <row r="1724" hidden="1" spans="1:14">
      <c r="A1724">
        <v>360</v>
      </c>
      <c r="B1724">
        <v>0</v>
      </c>
      <c r="C1724" t="s">
        <v>131</v>
      </c>
      <c r="D1724">
        <v>0</v>
      </c>
      <c r="E1724">
        <v>80.8611</v>
      </c>
      <c r="F1724">
        <v>26.4375</v>
      </c>
      <c r="G1724">
        <v>204979.38</v>
      </c>
      <c r="H1724" s="1">
        <v>32754</v>
      </c>
      <c r="I1724" s="1">
        <v>32761</v>
      </c>
      <c r="J1724" t="s">
        <v>15</v>
      </c>
      <c r="K1724">
        <v>7</v>
      </c>
      <c r="L1724">
        <v>0</v>
      </c>
      <c r="M1724" t="s">
        <v>16</v>
      </c>
      <c r="N1724">
        <v>1</v>
      </c>
    </row>
    <row r="1725" hidden="1" spans="1:14">
      <c r="A1725">
        <v>401</v>
      </c>
      <c r="B1725">
        <v>0</v>
      </c>
      <c r="C1725" t="s">
        <v>131</v>
      </c>
      <c r="D1725">
        <v>0</v>
      </c>
      <c r="E1725">
        <v>76.2592</v>
      </c>
      <c r="F1725">
        <v>33.8036</v>
      </c>
      <c r="G1725">
        <v>90818.98</v>
      </c>
      <c r="H1725" s="1">
        <v>32953</v>
      </c>
      <c r="I1725" s="1">
        <v>32954</v>
      </c>
      <c r="J1725" t="s">
        <v>15</v>
      </c>
      <c r="K1725">
        <v>17</v>
      </c>
      <c r="L1725">
        <v>0</v>
      </c>
      <c r="M1725" t="s">
        <v>64</v>
      </c>
      <c r="N1725">
        <v>1</v>
      </c>
    </row>
    <row r="1726" hidden="1" spans="1:14">
      <c r="A1726">
        <v>411</v>
      </c>
      <c r="B1726">
        <v>0</v>
      </c>
      <c r="C1726" t="s">
        <v>131</v>
      </c>
      <c r="D1726">
        <v>0</v>
      </c>
      <c r="E1726">
        <v>80.6926</v>
      </c>
      <c r="F1726">
        <v>16.2843</v>
      </c>
      <c r="G1726">
        <v>267344.4</v>
      </c>
      <c r="H1726" s="1">
        <v>33003</v>
      </c>
      <c r="I1726" s="1">
        <v>33006</v>
      </c>
      <c r="J1726" t="s">
        <v>15</v>
      </c>
      <c r="K1726">
        <v>430</v>
      </c>
      <c r="L1726">
        <v>470000</v>
      </c>
      <c r="M1726" t="s">
        <v>86</v>
      </c>
      <c r="N1726">
        <v>1</v>
      </c>
    </row>
    <row r="1727" hidden="1" spans="1:14">
      <c r="A1727">
        <v>419</v>
      </c>
      <c r="B1727">
        <v>0</v>
      </c>
      <c r="C1727" t="s">
        <v>131</v>
      </c>
      <c r="D1727">
        <v>0</v>
      </c>
      <c r="E1727">
        <v>92.7754</v>
      </c>
      <c r="F1727">
        <v>26.7553</v>
      </c>
      <c r="G1727">
        <v>53045.31</v>
      </c>
      <c r="H1727" s="1">
        <v>33037</v>
      </c>
      <c r="I1727" s="1">
        <v>33042</v>
      </c>
      <c r="J1727" t="s">
        <v>15</v>
      </c>
      <c r="K1727">
        <v>21</v>
      </c>
      <c r="L1727">
        <v>0</v>
      </c>
      <c r="M1727" t="s">
        <v>23</v>
      </c>
      <c r="N1727">
        <v>2</v>
      </c>
    </row>
    <row r="1728" hidden="1" spans="1:14">
      <c r="A1728">
        <v>431</v>
      </c>
      <c r="B1728">
        <v>0</v>
      </c>
      <c r="C1728" t="s">
        <v>131</v>
      </c>
      <c r="D1728">
        <v>0</v>
      </c>
      <c r="E1728">
        <v>78.8703</v>
      </c>
      <c r="F1728">
        <v>26.7055</v>
      </c>
      <c r="G1728">
        <v>1100663.3</v>
      </c>
      <c r="H1728" s="1">
        <v>33057</v>
      </c>
      <c r="I1728" s="1">
        <v>33078</v>
      </c>
      <c r="J1728" t="s">
        <v>15</v>
      </c>
      <c r="K1728">
        <v>425</v>
      </c>
      <c r="L1728">
        <v>63517</v>
      </c>
      <c r="M1728" t="s">
        <v>23</v>
      </c>
      <c r="N1728">
        <v>1</v>
      </c>
    </row>
    <row r="1729" hidden="1" spans="1:14">
      <c r="A1729">
        <v>447</v>
      </c>
      <c r="B1729">
        <v>0</v>
      </c>
      <c r="C1729" t="s">
        <v>131</v>
      </c>
      <c r="D1729">
        <v>0</v>
      </c>
      <c r="E1729">
        <v>80.6956</v>
      </c>
      <c r="F1729">
        <v>27.5435</v>
      </c>
      <c r="G1729">
        <v>284926.61</v>
      </c>
      <c r="H1729" s="1">
        <v>33098</v>
      </c>
      <c r="I1729" s="1">
        <v>33099</v>
      </c>
      <c r="J1729" t="s">
        <v>15</v>
      </c>
      <c r="K1729">
        <v>17</v>
      </c>
      <c r="L1729">
        <v>0</v>
      </c>
      <c r="M1729" t="s">
        <v>16</v>
      </c>
      <c r="N1729">
        <v>1</v>
      </c>
    </row>
    <row r="1730" hidden="1" spans="1:14">
      <c r="A1730">
        <v>450</v>
      </c>
      <c r="B1730">
        <v>0</v>
      </c>
      <c r="C1730" t="s">
        <v>131</v>
      </c>
      <c r="D1730">
        <v>0</v>
      </c>
      <c r="E1730">
        <v>71.3244</v>
      </c>
      <c r="F1730">
        <v>22.4257</v>
      </c>
      <c r="G1730">
        <v>186161.6</v>
      </c>
      <c r="H1730" s="1">
        <v>33104</v>
      </c>
      <c r="I1730" s="1">
        <v>33110</v>
      </c>
      <c r="J1730" t="s">
        <v>15</v>
      </c>
      <c r="K1730">
        <v>50</v>
      </c>
      <c r="L1730">
        <v>0</v>
      </c>
      <c r="M1730" t="s">
        <v>23</v>
      </c>
      <c r="N1730">
        <v>1</v>
      </c>
    </row>
    <row r="1731" hidden="1" spans="1:14">
      <c r="A1731">
        <v>472</v>
      </c>
      <c r="B1731">
        <v>0</v>
      </c>
      <c r="C1731" t="s">
        <v>131</v>
      </c>
      <c r="D1731">
        <v>0</v>
      </c>
      <c r="E1731">
        <v>92.817</v>
      </c>
      <c r="F1731">
        <v>26.0747</v>
      </c>
      <c r="G1731">
        <v>93839.75</v>
      </c>
      <c r="H1731" s="1">
        <v>33163</v>
      </c>
      <c r="I1731" s="1">
        <v>33164</v>
      </c>
      <c r="J1731" t="s">
        <v>15</v>
      </c>
      <c r="K1731">
        <v>10</v>
      </c>
      <c r="L1731">
        <v>6000</v>
      </c>
      <c r="M1731" t="s">
        <v>16</v>
      </c>
      <c r="N1731">
        <v>1</v>
      </c>
    </row>
    <row r="1732" hidden="1" spans="1:14">
      <c r="A1732">
        <v>474</v>
      </c>
      <c r="B1732">
        <v>0</v>
      </c>
      <c r="C1732" t="s">
        <v>131</v>
      </c>
      <c r="D1732">
        <v>0</v>
      </c>
      <c r="E1732">
        <v>77.0504</v>
      </c>
      <c r="F1732">
        <v>11.3982</v>
      </c>
      <c r="G1732">
        <v>13576.31</v>
      </c>
      <c r="H1732" s="1">
        <v>33170</v>
      </c>
      <c r="I1732" s="1">
        <v>33174</v>
      </c>
      <c r="J1732" t="s">
        <v>15</v>
      </c>
      <c r="K1732">
        <v>44</v>
      </c>
      <c r="L1732">
        <v>0</v>
      </c>
      <c r="M1732" t="s">
        <v>23</v>
      </c>
      <c r="N1732">
        <v>1</v>
      </c>
    </row>
    <row r="1733" hidden="1" spans="1:14">
      <c r="A1733">
        <v>510</v>
      </c>
      <c r="B1733">
        <v>0</v>
      </c>
      <c r="C1733" t="s">
        <v>131</v>
      </c>
      <c r="D1733">
        <v>0</v>
      </c>
      <c r="E1733">
        <v>92.4232</v>
      </c>
      <c r="F1733">
        <v>24.4696</v>
      </c>
      <c r="G1733">
        <v>26042.82</v>
      </c>
      <c r="H1733" s="1">
        <v>33365</v>
      </c>
      <c r="I1733" s="1">
        <v>33369</v>
      </c>
      <c r="J1733" t="s">
        <v>15</v>
      </c>
      <c r="K1733">
        <v>13</v>
      </c>
      <c r="L1733">
        <v>25000</v>
      </c>
      <c r="M1733" t="s">
        <v>86</v>
      </c>
      <c r="N1733">
        <v>1</v>
      </c>
    </row>
    <row r="1734" hidden="1" spans="1:14">
      <c r="A1734">
        <v>521</v>
      </c>
      <c r="B1734">
        <v>0</v>
      </c>
      <c r="C1734" t="s">
        <v>131</v>
      </c>
      <c r="D1734">
        <v>0</v>
      </c>
      <c r="E1734">
        <v>73.7324</v>
      </c>
      <c r="F1734">
        <v>15.733</v>
      </c>
      <c r="G1734">
        <v>491361.5</v>
      </c>
      <c r="H1734" s="1">
        <v>33399</v>
      </c>
      <c r="I1734" s="1">
        <v>33401</v>
      </c>
      <c r="J1734" t="s">
        <v>15</v>
      </c>
      <c r="K1734">
        <v>72</v>
      </c>
      <c r="L1734">
        <v>300000</v>
      </c>
      <c r="M1734" t="s">
        <v>23</v>
      </c>
      <c r="N1734">
        <v>2</v>
      </c>
    </row>
    <row r="1735" hidden="1" spans="1:14">
      <c r="A1735">
        <v>539</v>
      </c>
      <c r="B1735">
        <v>0</v>
      </c>
      <c r="C1735" t="s">
        <v>131</v>
      </c>
      <c r="D1735">
        <v>0</v>
      </c>
      <c r="E1735">
        <v>92.9592</v>
      </c>
      <c r="F1735">
        <v>26.6059</v>
      </c>
      <c r="G1735">
        <v>55550.83</v>
      </c>
      <c r="H1735" s="1">
        <v>33432</v>
      </c>
      <c r="I1735" s="1">
        <v>33438</v>
      </c>
      <c r="J1735" t="s">
        <v>15</v>
      </c>
      <c r="K1735">
        <v>25</v>
      </c>
      <c r="L1735">
        <v>400000</v>
      </c>
      <c r="M1735" t="s">
        <v>23</v>
      </c>
      <c r="N1735">
        <v>1</v>
      </c>
    </row>
    <row r="1736" hidden="1" spans="1:14">
      <c r="A1736">
        <v>553</v>
      </c>
      <c r="B1736">
        <v>0</v>
      </c>
      <c r="C1736" t="s">
        <v>131</v>
      </c>
      <c r="D1736">
        <v>0</v>
      </c>
      <c r="E1736">
        <v>79.1574</v>
      </c>
      <c r="F1736">
        <v>20.9474</v>
      </c>
      <c r="G1736">
        <v>47249.13</v>
      </c>
      <c r="H1736" s="1">
        <v>33448</v>
      </c>
      <c r="I1736" s="1">
        <v>33450</v>
      </c>
      <c r="J1736" t="s">
        <v>15</v>
      </c>
      <c r="K1736">
        <v>500</v>
      </c>
      <c r="L1736">
        <v>6000</v>
      </c>
      <c r="M1736" t="s">
        <v>23</v>
      </c>
      <c r="N1736">
        <v>1</v>
      </c>
    </row>
    <row r="1737" hidden="1" spans="1:14">
      <c r="A1737">
        <v>570</v>
      </c>
      <c r="B1737">
        <v>0</v>
      </c>
      <c r="C1737" t="s">
        <v>131</v>
      </c>
      <c r="D1737">
        <v>0</v>
      </c>
      <c r="E1737">
        <v>84.4178</v>
      </c>
      <c r="F1737">
        <v>20.2047</v>
      </c>
      <c r="G1737">
        <v>151947.06</v>
      </c>
      <c r="H1737" s="1">
        <v>33464</v>
      </c>
      <c r="I1737" s="1">
        <v>33468</v>
      </c>
      <c r="J1737" t="s">
        <v>15</v>
      </c>
      <c r="K1737">
        <v>15</v>
      </c>
      <c r="L1737">
        <v>0</v>
      </c>
      <c r="M1737" t="s">
        <v>16</v>
      </c>
      <c r="N1737">
        <v>1</v>
      </c>
    </row>
    <row r="1738" hidden="1" spans="1:14">
      <c r="A1738">
        <v>571</v>
      </c>
      <c r="B1738">
        <v>0</v>
      </c>
      <c r="C1738" t="s">
        <v>131</v>
      </c>
      <c r="D1738">
        <v>0</v>
      </c>
      <c r="E1738">
        <v>81.0334</v>
      </c>
      <c r="F1738">
        <v>28.3671</v>
      </c>
      <c r="G1738">
        <v>547679.02</v>
      </c>
      <c r="H1738" s="1">
        <v>33465</v>
      </c>
      <c r="I1738" s="1">
        <v>33479</v>
      </c>
      <c r="J1738" t="s">
        <v>15</v>
      </c>
      <c r="K1738">
        <v>88</v>
      </c>
      <c r="L1738">
        <v>0</v>
      </c>
      <c r="M1738" t="s">
        <v>23</v>
      </c>
      <c r="N1738">
        <v>1</v>
      </c>
    </row>
    <row r="1739" hidden="1" spans="1:14">
      <c r="A1739">
        <v>578</v>
      </c>
      <c r="B1739">
        <v>0</v>
      </c>
      <c r="C1739" t="s">
        <v>131</v>
      </c>
      <c r="D1739">
        <v>0</v>
      </c>
      <c r="E1739">
        <v>85.7348</v>
      </c>
      <c r="F1739">
        <v>24.707</v>
      </c>
      <c r="G1739">
        <v>170873.64</v>
      </c>
      <c r="H1739" s="1">
        <v>33482</v>
      </c>
      <c r="I1739" s="1">
        <v>33495</v>
      </c>
      <c r="J1739" t="s">
        <v>15</v>
      </c>
      <c r="K1739">
        <v>0</v>
      </c>
      <c r="L1739">
        <v>87500</v>
      </c>
      <c r="M1739" t="s">
        <v>23</v>
      </c>
      <c r="N1739">
        <v>1</v>
      </c>
    </row>
    <row r="1740" hidden="1" spans="1:14">
      <c r="A1740">
        <v>585</v>
      </c>
      <c r="B1740">
        <v>0</v>
      </c>
      <c r="C1740" t="s">
        <v>131</v>
      </c>
      <c r="D1740">
        <v>0</v>
      </c>
      <c r="E1740">
        <v>87.8328</v>
      </c>
      <c r="F1740">
        <v>24.3395</v>
      </c>
      <c r="G1740">
        <v>91960.65</v>
      </c>
      <c r="H1740" s="1">
        <v>33495</v>
      </c>
      <c r="I1740" s="1">
        <v>33496</v>
      </c>
      <c r="J1740" t="s">
        <v>15</v>
      </c>
      <c r="K1740">
        <v>21</v>
      </c>
      <c r="L1740">
        <v>0</v>
      </c>
      <c r="M1740" t="s">
        <v>23</v>
      </c>
      <c r="N1740">
        <v>1</v>
      </c>
    </row>
    <row r="1741" hidden="1" spans="1:14">
      <c r="A1741">
        <v>598</v>
      </c>
      <c r="B1741">
        <v>0</v>
      </c>
      <c r="C1741" t="s">
        <v>131</v>
      </c>
      <c r="D1741">
        <v>0</v>
      </c>
      <c r="E1741">
        <v>79.4752</v>
      </c>
      <c r="F1741">
        <v>14.0025</v>
      </c>
      <c r="G1741">
        <v>599564.89</v>
      </c>
      <c r="H1741" s="1">
        <v>33555</v>
      </c>
      <c r="I1741" s="1">
        <v>33560</v>
      </c>
      <c r="J1741" t="s">
        <v>15</v>
      </c>
      <c r="K1741">
        <v>90</v>
      </c>
      <c r="L1741">
        <v>85000</v>
      </c>
      <c r="M1741" t="s">
        <v>16</v>
      </c>
      <c r="N1741">
        <v>1</v>
      </c>
    </row>
    <row r="1742" hidden="1" spans="1:14">
      <c r="A1742">
        <v>656</v>
      </c>
      <c r="B1742">
        <v>0</v>
      </c>
      <c r="C1742" t="s">
        <v>131</v>
      </c>
      <c r="D1742">
        <v>0</v>
      </c>
      <c r="E1742">
        <v>75.9695</v>
      </c>
      <c r="F1742">
        <v>16.5216</v>
      </c>
      <c r="G1742">
        <v>752428.66</v>
      </c>
      <c r="H1742" s="1">
        <v>33770</v>
      </c>
      <c r="I1742" s="1">
        <v>33808</v>
      </c>
      <c r="J1742" t="s">
        <v>15</v>
      </c>
      <c r="K1742">
        <v>90</v>
      </c>
      <c r="L1742">
        <v>8000</v>
      </c>
      <c r="M1742" t="s">
        <v>23</v>
      </c>
      <c r="N1742">
        <v>1</v>
      </c>
    </row>
    <row r="1743" hidden="1" spans="1:14">
      <c r="A1743">
        <v>667</v>
      </c>
      <c r="B1743">
        <v>0</v>
      </c>
      <c r="C1743" t="s">
        <v>131</v>
      </c>
      <c r="D1743">
        <v>0</v>
      </c>
      <c r="E1743">
        <v>94.46</v>
      </c>
      <c r="F1743">
        <v>26.9122</v>
      </c>
      <c r="G1743">
        <v>28221.72</v>
      </c>
      <c r="H1743" s="1">
        <v>33795</v>
      </c>
      <c r="I1743" s="1">
        <v>33805</v>
      </c>
      <c r="J1743" t="s">
        <v>15</v>
      </c>
      <c r="K1743">
        <v>0</v>
      </c>
      <c r="L1743">
        <v>0</v>
      </c>
      <c r="M1743" t="s">
        <v>16</v>
      </c>
      <c r="N1743">
        <v>1</v>
      </c>
    </row>
    <row r="1744" hidden="1" spans="1:14">
      <c r="A1744">
        <v>672</v>
      </c>
      <c r="B1744">
        <v>0</v>
      </c>
      <c r="C1744" t="s">
        <v>131</v>
      </c>
      <c r="D1744">
        <v>0</v>
      </c>
      <c r="E1744">
        <v>86.0449</v>
      </c>
      <c r="F1744">
        <v>20.5033</v>
      </c>
      <c r="G1744">
        <v>44021.23</v>
      </c>
      <c r="H1744" s="1">
        <v>33811</v>
      </c>
      <c r="I1744" s="1">
        <v>33823</v>
      </c>
      <c r="J1744" t="s">
        <v>15</v>
      </c>
      <c r="K1744">
        <v>16</v>
      </c>
      <c r="L1744">
        <v>0</v>
      </c>
      <c r="M1744" t="s">
        <v>23</v>
      </c>
      <c r="N1744">
        <v>1</v>
      </c>
    </row>
    <row r="1745" hidden="1" spans="1:14">
      <c r="A1745">
        <v>675</v>
      </c>
      <c r="B1745">
        <v>0</v>
      </c>
      <c r="C1745" t="s">
        <v>131</v>
      </c>
      <c r="D1745">
        <v>0</v>
      </c>
      <c r="E1745">
        <v>80.7003</v>
      </c>
      <c r="F1745">
        <v>24.8678</v>
      </c>
      <c r="G1745">
        <v>518125.28</v>
      </c>
      <c r="H1745" s="1">
        <v>33817</v>
      </c>
      <c r="I1745" s="1">
        <v>33850</v>
      </c>
      <c r="J1745" t="s">
        <v>15</v>
      </c>
      <c r="K1745">
        <v>40</v>
      </c>
      <c r="L1745">
        <v>2000</v>
      </c>
      <c r="M1745" t="s">
        <v>23</v>
      </c>
      <c r="N1745">
        <v>1</v>
      </c>
    </row>
    <row r="1746" hidden="1" spans="1:14">
      <c r="A1746">
        <v>694</v>
      </c>
      <c r="B1746">
        <v>0</v>
      </c>
      <c r="C1746" t="s">
        <v>131</v>
      </c>
      <c r="D1746" t="s">
        <v>474</v>
      </c>
      <c r="E1746">
        <v>78.8487</v>
      </c>
      <c r="F1746">
        <v>13.0242</v>
      </c>
      <c r="G1746">
        <v>552562.43</v>
      </c>
      <c r="H1746" s="1">
        <v>33859</v>
      </c>
      <c r="I1746" s="1">
        <v>33928</v>
      </c>
      <c r="J1746" t="s">
        <v>15</v>
      </c>
      <c r="K1746">
        <v>263</v>
      </c>
      <c r="L1746">
        <v>20000</v>
      </c>
      <c r="M1746" t="s">
        <v>86</v>
      </c>
      <c r="N1746">
        <v>2</v>
      </c>
    </row>
    <row r="1747" hidden="1" spans="1:14">
      <c r="A1747">
        <v>747</v>
      </c>
      <c r="B1747">
        <v>0</v>
      </c>
      <c r="C1747" t="s">
        <v>131</v>
      </c>
      <c r="D1747" t="s">
        <v>132</v>
      </c>
      <c r="E1747">
        <v>92.0974</v>
      </c>
      <c r="F1747">
        <v>24.9382</v>
      </c>
      <c r="G1747">
        <v>259045.68</v>
      </c>
      <c r="H1747" s="1">
        <v>34124</v>
      </c>
      <c r="I1747" s="1">
        <v>34142</v>
      </c>
      <c r="J1747" t="s">
        <v>15</v>
      </c>
      <c r="K1747">
        <v>238</v>
      </c>
      <c r="L1747">
        <v>950000</v>
      </c>
      <c r="M1747" t="s">
        <v>23</v>
      </c>
      <c r="N1747">
        <v>1</v>
      </c>
    </row>
    <row r="1748" hidden="1" spans="1:14">
      <c r="A1748">
        <v>757</v>
      </c>
      <c r="B1748">
        <v>0</v>
      </c>
      <c r="C1748" t="s">
        <v>131</v>
      </c>
      <c r="D1748" t="s">
        <v>475</v>
      </c>
      <c r="E1748">
        <v>89.7567</v>
      </c>
      <c r="F1748">
        <v>25.1622</v>
      </c>
      <c r="G1748">
        <v>531506.66</v>
      </c>
      <c r="H1748" s="1">
        <v>34158</v>
      </c>
      <c r="I1748" s="1">
        <v>34194</v>
      </c>
      <c r="J1748" t="s">
        <v>15</v>
      </c>
      <c r="K1748">
        <v>3083</v>
      </c>
      <c r="L1748">
        <v>9370926</v>
      </c>
      <c r="M1748" t="s">
        <v>23</v>
      </c>
      <c r="N1748">
        <v>2</v>
      </c>
    </row>
    <row r="1749" hidden="1" spans="1:14">
      <c r="A1749">
        <v>778</v>
      </c>
      <c r="B1749">
        <v>0</v>
      </c>
      <c r="C1749" t="s">
        <v>131</v>
      </c>
      <c r="D1749" t="s">
        <v>475</v>
      </c>
      <c r="E1749">
        <v>78.9675</v>
      </c>
      <c r="F1749">
        <v>27.9917</v>
      </c>
      <c r="G1749">
        <v>65928.48</v>
      </c>
      <c r="H1749" s="1">
        <v>34221</v>
      </c>
      <c r="I1749" s="1">
        <v>34229</v>
      </c>
      <c r="J1749" t="s">
        <v>15</v>
      </c>
      <c r="K1749">
        <v>232</v>
      </c>
      <c r="L1749">
        <v>4590</v>
      </c>
      <c r="M1749" t="s">
        <v>16</v>
      </c>
      <c r="N1749">
        <v>1</v>
      </c>
    </row>
    <row r="1750" hidden="1" spans="1:14">
      <c r="A1750">
        <v>791</v>
      </c>
      <c r="B1750">
        <v>0</v>
      </c>
      <c r="C1750" t="s">
        <v>131</v>
      </c>
      <c r="D1750">
        <v>0</v>
      </c>
      <c r="E1750">
        <v>75.4042</v>
      </c>
      <c r="F1750">
        <v>13.407</v>
      </c>
      <c r="G1750">
        <v>40595.2</v>
      </c>
      <c r="H1750" s="1">
        <v>34253</v>
      </c>
      <c r="I1750" s="1">
        <v>34263</v>
      </c>
      <c r="J1750" t="s">
        <v>15</v>
      </c>
      <c r="K1750">
        <v>35</v>
      </c>
      <c r="L1750">
        <v>40000</v>
      </c>
      <c r="M1750" t="s">
        <v>64</v>
      </c>
      <c r="N1750">
        <v>1</v>
      </c>
    </row>
    <row r="1751" hidden="1" spans="1:14">
      <c r="A1751">
        <v>798</v>
      </c>
      <c r="B1751">
        <v>0</v>
      </c>
      <c r="C1751" t="s">
        <v>131</v>
      </c>
      <c r="D1751">
        <v>0</v>
      </c>
      <c r="E1751">
        <v>77.5024</v>
      </c>
      <c r="F1751">
        <v>11.054</v>
      </c>
      <c r="G1751">
        <v>40501.37</v>
      </c>
      <c r="H1751" s="1">
        <v>34283</v>
      </c>
      <c r="I1751" s="1">
        <v>34287</v>
      </c>
      <c r="J1751" t="s">
        <v>15</v>
      </c>
      <c r="K1751">
        <v>95</v>
      </c>
      <c r="L1751">
        <v>0</v>
      </c>
      <c r="M1751" t="s">
        <v>16</v>
      </c>
      <c r="N1751">
        <v>1</v>
      </c>
    </row>
    <row r="1752" hidden="1" spans="1:14">
      <c r="A1752">
        <v>804</v>
      </c>
      <c r="B1752">
        <v>0</v>
      </c>
      <c r="C1752" t="s">
        <v>131</v>
      </c>
      <c r="D1752">
        <v>0</v>
      </c>
      <c r="E1752">
        <v>79.9572</v>
      </c>
      <c r="F1752">
        <v>12.5851</v>
      </c>
      <c r="G1752">
        <v>7968.64</v>
      </c>
      <c r="H1752" s="1">
        <v>34307</v>
      </c>
      <c r="I1752" s="1">
        <v>34318</v>
      </c>
      <c r="J1752" t="s">
        <v>15</v>
      </c>
      <c r="K1752">
        <v>70</v>
      </c>
      <c r="L1752">
        <v>45000</v>
      </c>
      <c r="M1752" t="s">
        <v>86</v>
      </c>
      <c r="N1752">
        <v>1</v>
      </c>
    </row>
    <row r="1753" hidden="1" spans="1:14">
      <c r="A1753">
        <v>855</v>
      </c>
      <c r="B1753">
        <v>0</v>
      </c>
      <c r="C1753" t="s">
        <v>131</v>
      </c>
      <c r="D1753">
        <v>0</v>
      </c>
      <c r="E1753">
        <v>76.6191</v>
      </c>
      <c r="F1753">
        <v>20.6258</v>
      </c>
      <c r="G1753">
        <v>1981837.41</v>
      </c>
      <c r="H1753" s="1">
        <v>34516</v>
      </c>
      <c r="I1753" s="1">
        <v>34539</v>
      </c>
      <c r="J1753" t="s">
        <v>15</v>
      </c>
      <c r="K1753">
        <v>617</v>
      </c>
      <c r="L1753">
        <v>800000</v>
      </c>
      <c r="M1753" t="s">
        <v>23</v>
      </c>
      <c r="N1753">
        <v>1</v>
      </c>
    </row>
    <row r="1754" hidden="1" spans="1:14">
      <c r="A1754">
        <v>858</v>
      </c>
      <c r="B1754">
        <v>0</v>
      </c>
      <c r="C1754" t="s">
        <v>131</v>
      </c>
      <c r="D1754">
        <v>0</v>
      </c>
      <c r="E1754">
        <v>77.252</v>
      </c>
      <c r="F1754">
        <v>31.7869</v>
      </c>
      <c r="G1754">
        <v>52338.52</v>
      </c>
      <c r="H1754" s="1">
        <v>34518</v>
      </c>
      <c r="I1754" s="1">
        <v>34527</v>
      </c>
      <c r="J1754" t="s">
        <v>15</v>
      </c>
      <c r="K1754">
        <v>60</v>
      </c>
      <c r="L1754">
        <v>0</v>
      </c>
      <c r="M1754" t="s">
        <v>23</v>
      </c>
      <c r="N1754">
        <v>1</v>
      </c>
    </row>
    <row r="1755" hidden="1" spans="1:14">
      <c r="A1755">
        <v>879</v>
      </c>
      <c r="B1755">
        <v>0</v>
      </c>
      <c r="C1755" t="s">
        <v>131</v>
      </c>
      <c r="D1755">
        <v>0</v>
      </c>
      <c r="E1755">
        <v>80.6237</v>
      </c>
      <c r="F1755">
        <v>27.586</v>
      </c>
      <c r="G1755">
        <v>292130.64</v>
      </c>
      <c r="H1755" s="1">
        <v>34550</v>
      </c>
      <c r="I1755" s="1">
        <v>34557</v>
      </c>
      <c r="J1755" t="s">
        <v>15</v>
      </c>
      <c r="K1755">
        <v>53</v>
      </c>
      <c r="L1755">
        <v>3000</v>
      </c>
      <c r="M1755" t="s">
        <v>54</v>
      </c>
      <c r="N1755">
        <v>1</v>
      </c>
    </row>
    <row r="1756" hidden="1" spans="1:14">
      <c r="A1756">
        <v>880</v>
      </c>
      <c r="B1756">
        <v>0</v>
      </c>
      <c r="C1756" t="s">
        <v>131</v>
      </c>
      <c r="D1756">
        <v>0</v>
      </c>
      <c r="E1756">
        <v>76.9177</v>
      </c>
      <c r="F1756">
        <v>31.7821</v>
      </c>
      <c r="G1756">
        <v>16795.7</v>
      </c>
      <c r="H1756" s="1">
        <v>34554</v>
      </c>
      <c r="I1756" s="1">
        <v>34556</v>
      </c>
      <c r="J1756" t="s">
        <v>15</v>
      </c>
      <c r="K1756">
        <v>11</v>
      </c>
      <c r="L1756">
        <v>0</v>
      </c>
      <c r="M1756" t="s">
        <v>64</v>
      </c>
      <c r="N1756">
        <v>1</v>
      </c>
    </row>
    <row r="1757" hidden="1" spans="1:14">
      <c r="A1757">
        <v>887</v>
      </c>
      <c r="B1757">
        <v>0</v>
      </c>
      <c r="C1757" t="s">
        <v>131</v>
      </c>
      <c r="D1757">
        <v>0</v>
      </c>
      <c r="E1757">
        <v>77.27</v>
      </c>
      <c r="F1757">
        <v>31.7668</v>
      </c>
      <c r="G1757">
        <v>14450.04</v>
      </c>
      <c r="H1757" s="1">
        <v>34566</v>
      </c>
      <c r="I1757" s="1">
        <v>34569</v>
      </c>
      <c r="J1757" t="s">
        <v>15</v>
      </c>
      <c r="K1757">
        <v>9</v>
      </c>
      <c r="L1757">
        <v>0</v>
      </c>
      <c r="M1757" t="s">
        <v>64</v>
      </c>
      <c r="N1757">
        <v>1</v>
      </c>
    </row>
    <row r="1758" hidden="1" spans="1:14">
      <c r="A1758">
        <v>892</v>
      </c>
      <c r="B1758">
        <v>0</v>
      </c>
      <c r="C1758" t="s">
        <v>131</v>
      </c>
      <c r="D1758">
        <v>0</v>
      </c>
      <c r="E1758">
        <v>79.2684</v>
      </c>
      <c r="F1758">
        <v>20.7866</v>
      </c>
      <c r="G1758">
        <v>44159.25</v>
      </c>
      <c r="H1758" s="1">
        <v>34572</v>
      </c>
      <c r="I1758" s="1">
        <v>34579</v>
      </c>
      <c r="J1758" t="s">
        <v>15</v>
      </c>
      <c r="K1758">
        <v>26</v>
      </c>
      <c r="L1758">
        <v>0</v>
      </c>
      <c r="M1758" t="s">
        <v>54</v>
      </c>
      <c r="N1758">
        <v>1</v>
      </c>
    </row>
    <row r="1759" hidden="1" spans="1:14">
      <c r="A1759">
        <v>894</v>
      </c>
      <c r="B1759">
        <v>0</v>
      </c>
      <c r="C1759" t="s">
        <v>131</v>
      </c>
      <c r="D1759">
        <v>0</v>
      </c>
      <c r="E1759">
        <v>77.0555</v>
      </c>
      <c r="F1759">
        <v>31.5294</v>
      </c>
      <c r="G1759">
        <v>5275.13</v>
      </c>
      <c r="H1759" s="1">
        <v>34577</v>
      </c>
      <c r="I1759" s="1">
        <v>34582</v>
      </c>
      <c r="J1759" t="s">
        <v>15</v>
      </c>
      <c r="K1759">
        <v>20</v>
      </c>
      <c r="L1759">
        <v>0</v>
      </c>
      <c r="M1759" t="s">
        <v>54</v>
      </c>
      <c r="N1759">
        <v>1</v>
      </c>
    </row>
    <row r="1760" hidden="1" spans="1:14">
      <c r="A1760">
        <v>895</v>
      </c>
      <c r="B1760">
        <v>0</v>
      </c>
      <c r="C1760" t="s">
        <v>131</v>
      </c>
      <c r="D1760">
        <v>0</v>
      </c>
      <c r="E1760">
        <v>84.4369</v>
      </c>
      <c r="F1760">
        <v>20.1358</v>
      </c>
      <c r="G1760">
        <v>154649.2</v>
      </c>
      <c r="H1760" s="1">
        <v>34579</v>
      </c>
      <c r="I1760" s="1">
        <v>34584</v>
      </c>
      <c r="J1760" t="s">
        <v>15</v>
      </c>
      <c r="K1760">
        <v>0</v>
      </c>
      <c r="L1760">
        <v>0</v>
      </c>
      <c r="M1760" t="s">
        <v>54</v>
      </c>
      <c r="N1760">
        <v>1</v>
      </c>
    </row>
    <row r="1761" hidden="1" spans="1:14">
      <c r="A1761">
        <v>909</v>
      </c>
      <c r="B1761">
        <v>0</v>
      </c>
      <c r="C1761" t="s">
        <v>131</v>
      </c>
      <c r="D1761">
        <v>0</v>
      </c>
      <c r="E1761">
        <v>78.7248</v>
      </c>
      <c r="F1761">
        <v>10.7214</v>
      </c>
      <c r="G1761">
        <v>89229.9</v>
      </c>
      <c r="H1761" s="1">
        <v>34634</v>
      </c>
      <c r="I1761" s="1">
        <v>34638</v>
      </c>
      <c r="J1761" t="s">
        <v>15</v>
      </c>
      <c r="K1761">
        <v>40</v>
      </c>
      <c r="L1761">
        <v>0</v>
      </c>
      <c r="M1761" t="s">
        <v>86</v>
      </c>
      <c r="N1761">
        <v>1</v>
      </c>
    </row>
    <row r="1762" hidden="1" spans="1:14">
      <c r="A1762">
        <v>911</v>
      </c>
      <c r="B1762">
        <v>0</v>
      </c>
      <c r="C1762" t="s">
        <v>131</v>
      </c>
      <c r="D1762">
        <v>0</v>
      </c>
      <c r="E1762">
        <v>80.0422</v>
      </c>
      <c r="F1762">
        <v>16.2498</v>
      </c>
      <c r="G1762">
        <v>110657.58</v>
      </c>
      <c r="H1762" s="1">
        <v>34637</v>
      </c>
      <c r="I1762" s="1">
        <v>34642</v>
      </c>
      <c r="J1762" t="s">
        <v>15</v>
      </c>
      <c r="K1762">
        <v>230</v>
      </c>
      <c r="L1762">
        <v>16000</v>
      </c>
      <c r="M1762" t="s">
        <v>86</v>
      </c>
      <c r="N1762">
        <v>1</v>
      </c>
    </row>
    <row r="1763" hidden="1" spans="1:14">
      <c r="A1763">
        <v>959</v>
      </c>
      <c r="B1763">
        <v>0</v>
      </c>
      <c r="C1763" t="s">
        <v>131</v>
      </c>
      <c r="D1763">
        <v>0</v>
      </c>
      <c r="E1763">
        <v>92.8575</v>
      </c>
      <c r="F1763">
        <v>23.2582</v>
      </c>
      <c r="G1763">
        <v>20147.72</v>
      </c>
      <c r="H1763" s="1">
        <v>34852</v>
      </c>
      <c r="I1763" s="1">
        <v>34853</v>
      </c>
      <c r="J1763" t="s">
        <v>15</v>
      </c>
      <c r="K1763">
        <v>40</v>
      </c>
      <c r="L1763">
        <v>3200</v>
      </c>
      <c r="M1763" t="s">
        <v>16</v>
      </c>
      <c r="N1763">
        <v>1</v>
      </c>
    </row>
    <row r="1764" hidden="1" spans="1:14">
      <c r="A1764">
        <v>963</v>
      </c>
      <c r="B1764">
        <v>0</v>
      </c>
      <c r="C1764" t="s">
        <v>131</v>
      </c>
      <c r="D1764">
        <v>0</v>
      </c>
      <c r="E1764">
        <v>92.8902</v>
      </c>
      <c r="F1764">
        <v>26.0363</v>
      </c>
      <c r="G1764">
        <v>102906.11</v>
      </c>
      <c r="H1764" s="1">
        <v>34870</v>
      </c>
      <c r="I1764" s="1">
        <v>34873</v>
      </c>
      <c r="J1764" t="s">
        <v>15</v>
      </c>
      <c r="K1764">
        <v>17</v>
      </c>
      <c r="L1764">
        <v>1000000</v>
      </c>
      <c r="M1764" t="s">
        <v>23</v>
      </c>
      <c r="N1764">
        <v>1</v>
      </c>
    </row>
    <row r="1765" hidden="1" spans="1:14">
      <c r="A1765">
        <v>990</v>
      </c>
      <c r="B1765">
        <v>0</v>
      </c>
      <c r="C1765" t="s">
        <v>131</v>
      </c>
      <c r="D1765">
        <v>0</v>
      </c>
      <c r="E1765">
        <v>76.8263</v>
      </c>
      <c r="F1765">
        <v>28.2424</v>
      </c>
      <c r="G1765">
        <v>762936.89</v>
      </c>
      <c r="H1765" s="1">
        <v>34943</v>
      </c>
      <c r="I1765" s="1">
        <v>34962</v>
      </c>
      <c r="J1765" t="s">
        <v>15</v>
      </c>
      <c r="K1765">
        <v>600</v>
      </c>
      <c r="L1765">
        <v>2000000</v>
      </c>
      <c r="M1765" t="s">
        <v>23</v>
      </c>
      <c r="N1765">
        <v>1</v>
      </c>
    </row>
    <row r="1766" hidden="1" spans="1:14">
      <c r="A1766">
        <v>992</v>
      </c>
      <c r="B1766">
        <v>0</v>
      </c>
      <c r="C1766" t="s">
        <v>131</v>
      </c>
      <c r="D1766">
        <v>0</v>
      </c>
      <c r="E1766">
        <v>88.4616</v>
      </c>
      <c r="F1766">
        <v>27.5887</v>
      </c>
      <c r="G1766">
        <v>6520.57</v>
      </c>
      <c r="H1766" s="1">
        <v>34947</v>
      </c>
      <c r="I1766" s="1">
        <v>34950</v>
      </c>
      <c r="J1766" t="s">
        <v>15</v>
      </c>
      <c r="K1766">
        <v>35</v>
      </c>
      <c r="L1766">
        <v>0</v>
      </c>
      <c r="M1766" t="s">
        <v>23</v>
      </c>
      <c r="N1766">
        <v>1</v>
      </c>
    </row>
    <row r="1767" hidden="1" spans="1:14">
      <c r="A1767">
        <v>1010</v>
      </c>
      <c r="B1767">
        <v>0</v>
      </c>
      <c r="C1767" t="s">
        <v>131</v>
      </c>
      <c r="D1767">
        <v>0</v>
      </c>
      <c r="E1767">
        <v>87.3749</v>
      </c>
      <c r="F1767">
        <v>22.4615</v>
      </c>
      <c r="G1767">
        <v>308073.2</v>
      </c>
      <c r="H1767" s="1">
        <v>34968</v>
      </c>
      <c r="I1767" s="1">
        <v>34974</v>
      </c>
      <c r="J1767" t="s">
        <v>15</v>
      </c>
      <c r="K1767">
        <v>144</v>
      </c>
      <c r="L1767">
        <v>510000</v>
      </c>
      <c r="M1767" t="s">
        <v>23</v>
      </c>
      <c r="N1767">
        <v>1</v>
      </c>
    </row>
    <row r="1768" hidden="1" spans="1:14">
      <c r="A1768">
        <v>1027</v>
      </c>
      <c r="B1768">
        <v>0</v>
      </c>
      <c r="C1768" t="s">
        <v>131</v>
      </c>
      <c r="D1768">
        <v>0</v>
      </c>
      <c r="E1768">
        <v>80.612</v>
      </c>
      <c r="F1768">
        <v>16.4132</v>
      </c>
      <c r="G1768">
        <v>262803.2</v>
      </c>
      <c r="H1768" s="1">
        <v>34992</v>
      </c>
      <c r="I1768" s="1">
        <v>34995</v>
      </c>
      <c r="J1768" t="s">
        <v>15</v>
      </c>
      <c r="K1768">
        <v>94</v>
      </c>
      <c r="L1768">
        <v>12000</v>
      </c>
      <c r="M1768" t="s">
        <v>86</v>
      </c>
      <c r="N1768">
        <v>1</v>
      </c>
    </row>
    <row r="1769" hidden="1" spans="1:14">
      <c r="A1769">
        <v>1080</v>
      </c>
      <c r="B1769">
        <v>0</v>
      </c>
      <c r="C1769" t="s">
        <v>131</v>
      </c>
      <c r="D1769">
        <v>0</v>
      </c>
      <c r="E1769">
        <v>73.762</v>
      </c>
      <c r="F1769">
        <v>26.5766</v>
      </c>
      <c r="G1769">
        <v>328726.92</v>
      </c>
      <c r="H1769" s="1">
        <v>35226</v>
      </c>
      <c r="I1769" s="1">
        <v>35246</v>
      </c>
      <c r="J1769" t="s">
        <v>15</v>
      </c>
      <c r="K1769">
        <v>63</v>
      </c>
      <c r="L1769">
        <v>20000</v>
      </c>
      <c r="M1769" t="s">
        <v>23</v>
      </c>
      <c r="N1769">
        <v>1</v>
      </c>
    </row>
    <row r="1770" hidden="1" spans="1:14">
      <c r="A1770">
        <v>1088</v>
      </c>
      <c r="B1770">
        <v>0</v>
      </c>
      <c r="C1770" t="s">
        <v>131</v>
      </c>
      <c r="D1770">
        <v>0</v>
      </c>
      <c r="E1770">
        <v>92.3599</v>
      </c>
      <c r="F1770">
        <v>27.4105</v>
      </c>
      <c r="G1770">
        <v>128966.83</v>
      </c>
      <c r="H1770" s="1">
        <v>35256</v>
      </c>
      <c r="I1770" s="1">
        <v>35270</v>
      </c>
      <c r="J1770" t="s">
        <v>15</v>
      </c>
      <c r="K1770">
        <v>82</v>
      </c>
      <c r="L1770">
        <v>3000000</v>
      </c>
      <c r="M1770" t="s">
        <v>23</v>
      </c>
      <c r="N1770">
        <v>1</v>
      </c>
    </row>
    <row r="1771" hidden="1" spans="1:14">
      <c r="A1771">
        <v>1090</v>
      </c>
      <c r="B1771">
        <v>0</v>
      </c>
      <c r="C1771" t="s">
        <v>131</v>
      </c>
      <c r="D1771">
        <v>0</v>
      </c>
      <c r="E1771">
        <v>85.6883</v>
      </c>
      <c r="F1771">
        <v>24.7685</v>
      </c>
      <c r="G1771">
        <v>171939.46</v>
      </c>
      <c r="H1771" s="1">
        <v>35263</v>
      </c>
      <c r="I1771" s="1">
        <v>35287</v>
      </c>
      <c r="J1771" t="s">
        <v>15</v>
      </c>
      <c r="K1771">
        <v>74</v>
      </c>
      <c r="L1771">
        <v>4000000</v>
      </c>
      <c r="M1771" t="s">
        <v>16</v>
      </c>
      <c r="N1771">
        <v>1</v>
      </c>
    </row>
    <row r="1772" hidden="1" spans="1:14">
      <c r="A1772">
        <v>1125</v>
      </c>
      <c r="B1772">
        <v>0</v>
      </c>
      <c r="C1772" t="s">
        <v>131</v>
      </c>
      <c r="D1772">
        <v>0</v>
      </c>
      <c r="E1772">
        <v>78.7288</v>
      </c>
      <c r="F1772">
        <v>15.0341</v>
      </c>
      <c r="G1772">
        <v>177527.02</v>
      </c>
      <c r="H1772" s="1">
        <v>35359</v>
      </c>
      <c r="I1772" s="1">
        <v>35363</v>
      </c>
      <c r="J1772" t="s">
        <v>15</v>
      </c>
      <c r="K1772">
        <v>326</v>
      </c>
      <c r="L1772">
        <v>100000</v>
      </c>
      <c r="M1772" t="s">
        <v>49</v>
      </c>
      <c r="N1772">
        <v>1</v>
      </c>
    </row>
    <row r="1773" hidden="1" spans="1:14">
      <c r="A1773">
        <v>1128</v>
      </c>
      <c r="B1773">
        <v>0</v>
      </c>
      <c r="C1773" t="s">
        <v>131</v>
      </c>
      <c r="D1773">
        <v>0</v>
      </c>
      <c r="E1773">
        <v>81.7657</v>
      </c>
      <c r="F1773">
        <v>17.0009</v>
      </c>
      <c r="G1773">
        <v>21445.46</v>
      </c>
      <c r="H1773" s="1">
        <v>35375</v>
      </c>
      <c r="I1773" s="1">
        <v>35379</v>
      </c>
      <c r="J1773" t="s">
        <v>15</v>
      </c>
      <c r="K1773">
        <v>2500</v>
      </c>
      <c r="L1773">
        <v>140000</v>
      </c>
      <c r="M1773" t="s">
        <v>103</v>
      </c>
      <c r="N1773">
        <v>2</v>
      </c>
    </row>
    <row r="1774" hidden="1" spans="1:14">
      <c r="A1774">
        <v>1168</v>
      </c>
      <c r="B1774">
        <v>0</v>
      </c>
      <c r="C1774" t="s">
        <v>131</v>
      </c>
      <c r="D1774">
        <v>0</v>
      </c>
      <c r="E1774">
        <v>86.2554</v>
      </c>
      <c r="F1774">
        <v>24.0572</v>
      </c>
      <c r="G1774">
        <v>201818.75</v>
      </c>
      <c r="H1774" s="1">
        <v>35643</v>
      </c>
      <c r="I1774" s="1">
        <v>35653</v>
      </c>
      <c r="J1774" t="s">
        <v>15</v>
      </c>
      <c r="K1774">
        <v>24</v>
      </c>
      <c r="L1774">
        <v>100000</v>
      </c>
      <c r="M1774" t="s">
        <v>23</v>
      </c>
      <c r="N1774">
        <v>1</v>
      </c>
    </row>
    <row r="1775" hidden="1" spans="1:14">
      <c r="A1775">
        <v>1172</v>
      </c>
      <c r="B1775">
        <v>0</v>
      </c>
      <c r="C1775" t="s">
        <v>131</v>
      </c>
      <c r="D1775">
        <v>0</v>
      </c>
      <c r="E1775">
        <v>77.3409</v>
      </c>
      <c r="F1775">
        <v>31.7905</v>
      </c>
      <c r="G1775">
        <v>57530.65</v>
      </c>
      <c r="H1775" s="1">
        <v>35650</v>
      </c>
      <c r="I1775" s="1">
        <v>35656</v>
      </c>
      <c r="J1775" t="s">
        <v>15</v>
      </c>
      <c r="K1775">
        <v>200</v>
      </c>
      <c r="L1775">
        <v>0</v>
      </c>
      <c r="M1775" t="s">
        <v>23</v>
      </c>
      <c r="N1775">
        <v>1</v>
      </c>
    </row>
    <row r="1776" hidden="1" spans="1:14">
      <c r="A1776">
        <v>1232</v>
      </c>
      <c r="B1776">
        <v>0</v>
      </c>
      <c r="C1776" t="s">
        <v>131</v>
      </c>
      <c r="D1776">
        <v>0</v>
      </c>
      <c r="E1776">
        <v>71.3091</v>
      </c>
      <c r="F1776">
        <v>22.4404</v>
      </c>
      <c r="G1776">
        <v>183142.55</v>
      </c>
      <c r="H1776" s="1">
        <v>35603</v>
      </c>
      <c r="I1776" s="1">
        <v>35668</v>
      </c>
      <c r="J1776" t="s">
        <v>15</v>
      </c>
      <c r="K1776">
        <v>273</v>
      </c>
      <c r="L1776">
        <v>20000</v>
      </c>
      <c r="M1776" t="s">
        <v>23</v>
      </c>
      <c r="N1776">
        <v>1</v>
      </c>
    </row>
    <row r="1777" hidden="1" spans="1:14">
      <c r="A1777">
        <v>1256</v>
      </c>
      <c r="B1777">
        <v>0</v>
      </c>
      <c r="C1777" t="s">
        <v>131</v>
      </c>
      <c r="D1777">
        <v>0</v>
      </c>
      <c r="E1777">
        <v>76.6811</v>
      </c>
      <c r="F1777">
        <v>9.49041</v>
      </c>
      <c r="G1777">
        <v>233024.37</v>
      </c>
      <c r="H1777" s="1">
        <v>35616</v>
      </c>
      <c r="I1777" s="1">
        <v>35633</v>
      </c>
      <c r="J1777" t="s">
        <v>15</v>
      </c>
      <c r="K1777">
        <v>100</v>
      </c>
      <c r="L1777">
        <v>0</v>
      </c>
      <c r="M1777" t="s">
        <v>23</v>
      </c>
      <c r="N1777">
        <v>1</v>
      </c>
    </row>
    <row r="1778" hidden="1" spans="1:14">
      <c r="A1778">
        <v>1258</v>
      </c>
      <c r="B1778">
        <v>0</v>
      </c>
      <c r="C1778" t="s">
        <v>131</v>
      </c>
      <c r="D1778">
        <v>0</v>
      </c>
      <c r="E1778">
        <v>92.9144</v>
      </c>
      <c r="F1778">
        <v>26.0909</v>
      </c>
      <c r="G1778">
        <v>70603.06</v>
      </c>
      <c r="H1778" s="1">
        <v>35616</v>
      </c>
      <c r="I1778" s="1">
        <v>35625</v>
      </c>
      <c r="J1778" t="s">
        <v>15</v>
      </c>
      <c r="K1778">
        <v>97</v>
      </c>
      <c r="L1778">
        <v>0</v>
      </c>
      <c r="M1778" t="s">
        <v>23</v>
      </c>
      <c r="N1778">
        <v>1</v>
      </c>
    </row>
    <row r="1779" hidden="1" spans="1:14">
      <c r="A1779">
        <v>1265</v>
      </c>
      <c r="B1779">
        <v>0</v>
      </c>
      <c r="C1779" t="s">
        <v>131</v>
      </c>
      <c r="D1779">
        <v>0</v>
      </c>
      <c r="E1779">
        <v>74.8298</v>
      </c>
      <c r="F1779">
        <v>33.9398</v>
      </c>
      <c r="G1779">
        <v>40014.04</v>
      </c>
      <c r="H1779" s="1">
        <v>35664</v>
      </c>
      <c r="I1779" s="1">
        <v>35668</v>
      </c>
      <c r="J1779" t="s">
        <v>15</v>
      </c>
      <c r="K1779">
        <v>26</v>
      </c>
      <c r="L1779">
        <v>0</v>
      </c>
      <c r="M1779" t="s">
        <v>23</v>
      </c>
      <c r="N1779">
        <v>1</v>
      </c>
    </row>
    <row r="1780" hidden="1" spans="1:14">
      <c r="A1780">
        <v>1267</v>
      </c>
      <c r="B1780">
        <v>0</v>
      </c>
      <c r="C1780" t="s">
        <v>131</v>
      </c>
      <c r="D1780">
        <v>0</v>
      </c>
      <c r="E1780">
        <v>75.4418</v>
      </c>
      <c r="F1780">
        <v>18.8234</v>
      </c>
      <c r="G1780">
        <v>228334.99</v>
      </c>
      <c r="H1780" s="1">
        <v>35661</v>
      </c>
      <c r="I1780" s="1">
        <v>35666</v>
      </c>
      <c r="J1780" t="s">
        <v>15</v>
      </c>
      <c r="K1780">
        <v>50</v>
      </c>
      <c r="L1780">
        <v>10000</v>
      </c>
      <c r="M1780" t="s">
        <v>23</v>
      </c>
      <c r="N1780">
        <v>1</v>
      </c>
    </row>
    <row r="1781" hidden="1" spans="1:14">
      <c r="A1781">
        <v>1275</v>
      </c>
      <c r="B1781">
        <v>0</v>
      </c>
      <c r="C1781" t="s">
        <v>131</v>
      </c>
      <c r="D1781">
        <v>0</v>
      </c>
      <c r="E1781">
        <v>82.1012</v>
      </c>
      <c r="F1781">
        <v>16.9874</v>
      </c>
      <c r="G1781">
        <v>80644.64</v>
      </c>
      <c r="H1781" s="1">
        <v>35692</v>
      </c>
      <c r="I1781" s="1">
        <v>35697</v>
      </c>
      <c r="J1781" t="s">
        <v>15</v>
      </c>
      <c r="K1781">
        <v>32</v>
      </c>
      <c r="L1781">
        <v>20000</v>
      </c>
      <c r="M1781" t="s">
        <v>86</v>
      </c>
      <c r="N1781">
        <v>1</v>
      </c>
    </row>
    <row r="1782" hidden="1" spans="1:14">
      <c r="A1782">
        <v>1295</v>
      </c>
      <c r="B1782">
        <v>0</v>
      </c>
      <c r="C1782" t="s">
        <v>131</v>
      </c>
      <c r="D1782">
        <v>0</v>
      </c>
      <c r="E1782">
        <v>78.9883</v>
      </c>
      <c r="F1782">
        <v>13.8493</v>
      </c>
      <c r="G1782">
        <v>384888.4</v>
      </c>
      <c r="H1782" s="1">
        <v>35768</v>
      </c>
      <c r="I1782" s="1">
        <v>35773</v>
      </c>
      <c r="J1782" t="s">
        <v>15</v>
      </c>
      <c r="K1782">
        <v>6</v>
      </c>
      <c r="L1782">
        <v>0</v>
      </c>
      <c r="M1782" t="s">
        <v>23</v>
      </c>
      <c r="N1782">
        <v>1</v>
      </c>
    </row>
    <row r="1783" hidden="1" spans="1:14">
      <c r="A1783">
        <v>1383</v>
      </c>
      <c r="B1783">
        <v>0</v>
      </c>
      <c r="C1783" t="s">
        <v>131</v>
      </c>
      <c r="D1783">
        <v>0</v>
      </c>
      <c r="E1783">
        <v>68.8677</v>
      </c>
      <c r="F1783">
        <v>24.0181</v>
      </c>
      <c r="G1783">
        <v>4931.72</v>
      </c>
      <c r="H1783" s="1">
        <v>35955</v>
      </c>
      <c r="I1783" s="1">
        <v>35957</v>
      </c>
      <c r="J1783" t="s">
        <v>15</v>
      </c>
      <c r="K1783">
        <v>1126</v>
      </c>
      <c r="L1783">
        <v>15000</v>
      </c>
      <c r="M1783" t="s">
        <v>104</v>
      </c>
      <c r="N1783">
        <v>1</v>
      </c>
    </row>
    <row r="1784" hidden="1" spans="1:14">
      <c r="A1784">
        <v>1444</v>
      </c>
      <c r="B1784">
        <v>0</v>
      </c>
      <c r="C1784" t="s">
        <v>131</v>
      </c>
      <c r="D1784">
        <v>0</v>
      </c>
      <c r="E1784">
        <v>74.4164</v>
      </c>
      <c r="F1784">
        <v>20.4037</v>
      </c>
      <c r="G1784">
        <v>214517.36</v>
      </c>
      <c r="H1784" s="1">
        <v>36054</v>
      </c>
      <c r="I1784" s="1">
        <v>36056</v>
      </c>
      <c r="J1784" t="s">
        <v>15</v>
      </c>
      <c r="K1784">
        <v>12</v>
      </c>
      <c r="L1784">
        <v>50000</v>
      </c>
      <c r="M1784" t="s">
        <v>25</v>
      </c>
      <c r="N1784">
        <v>1</v>
      </c>
    </row>
    <row r="1785" hidden="1" spans="1:14">
      <c r="A1785">
        <v>1457</v>
      </c>
      <c r="B1785">
        <v>0</v>
      </c>
      <c r="C1785" t="s">
        <v>131</v>
      </c>
      <c r="D1785">
        <v>0</v>
      </c>
      <c r="E1785">
        <v>79.4042</v>
      </c>
      <c r="F1785">
        <v>16.1464</v>
      </c>
      <c r="G1785">
        <v>194230.08</v>
      </c>
      <c r="H1785" s="1">
        <v>36069</v>
      </c>
      <c r="I1785" s="1">
        <v>36088</v>
      </c>
      <c r="J1785" t="s">
        <v>15</v>
      </c>
      <c r="K1785">
        <v>230</v>
      </c>
      <c r="L1785">
        <v>80000</v>
      </c>
      <c r="M1785" t="s">
        <v>16</v>
      </c>
      <c r="N1785">
        <v>1</v>
      </c>
    </row>
    <row r="1786" hidden="1" spans="1:14">
      <c r="A1786">
        <v>1559</v>
      </c>
      <c r="B1786">
        <v>0</v>
      </c>
      <c r="C1786" t="s">
        <v>131</v>
      </c>
      <c r="D1786" t="s">
        <v>132</v>
      </c>
      <c r="E1786">
        <v>88.9474</v>
      </c>
      <c r="F1786">
        <v>23.3997</v>
      </c>
      <c r="G1786">
        <v>168965.63</v>
      </c>
      <c r="H1786" s="1">
        <v>36427</v>
      </c>
      <c r="I1786" s="1">
        <v>36432</v>
      </c>
      <c r="J1786" t="s">
        <v>15</v>
      </c>
      <c r="K1786">
        <v>45</v>
      </c>
      <c r="L1786">
        <v>0</v>
      </c>
      <c r="M1786" t="s">
        <v>18</v>
      </c>
      <c r="N1786">
        <v>1</v>
      </c>
    </row>
    <row r="1787" hidden="1" spans="1:14">
      <c r="A1787">
        <v>1567</v>
      </c>
      <c r="B1787">
        <v>0</v>
      </c>
      <c r="C1787" t="s">
        <v>131</v>
      </c>
      <c r="D1787">
        <v>0</v>
      </c>
      <c r="E1787">
        <v>85.3527</v>
      </c>
      <c r="F1787">
        <v>21.1735</v>
      </c>
      <c r="G1787">
        <v>191940.24</v>
      </c>
      <c r="H1787" s="1">
        <v>36462</v>
      </c>
      <c r="I1787" s="1">
        <v>36476</v>
      </c>
      <c r="J1787" t="s">
        <v>15</v>
      </c>
      <c r="K1787">
        <v>9803</v>
      </c>
      <c r="L1787">
        <v>10000000</v>
      </c>
      <c r="M1787" t="s">
        <v>86</v>
      </c>
      <c r="N1787">
        <v>2</v>
      </c>
    </row>
    <row r="1788" hidden="1" spans="1:14">
      <c r="A1788">
        <v>1617</v>
      </c>
      <c r="B1788">
        <v>0</v>
      </c>
      <c r="C1788" t="s">
        <v>131</v>
      </c>
      <c r="D1788" t="s">
        <v>132</v>
      </c>
      <c r="E1788">
        <v>94.643</v>
      </c>
      <c r="F1788">
        <v>27.094</v>
      </c>
      <c r="G1788">
        <v>326457.88</v>
      </c>
      <c r="H1788" s="1">
        <v>36740</v>
      </c>
      <c r="I1788" s="1">
        <v>36768</v>
      </c>
      <c r="J1788" t="s">
        <v>15</v>
      </c>
      <c r="K1788">
        <v>637</v>
      </c>
      <c r="L1788">
        <v>10504000</v>
      </c>
      <c r="M1788" t="s">
        <v>23</v>
      </c>
      <c r="N1788">
        <v>1</v>
      </c>
    </row>
    <row r="1789" hidden="1" spans="1:14">
      <c r="A1789">
        <v>1731</v>
      </c>
      <c r="B1789">
        <v>0</v>
      </c>
      <c r="C1789" t="s">
        <v>131</v>
      </c>
      <c r="D1789" t="s">
        <v>132</v>
      </c>
      <c r="E1789">
        <v>92.0058</v>
      </c>
      <c r="F1789">
        <v>24.4457</v>
      </c>
      <c r="G1789">
        <v>17561.54</v>
      </c>
      <c r="H1789" s="1">
        <v>37047</v>
      </c>
      <c r="I1789" s="1">
        <v>37064</v>
      </c>
      <c r="J1789" t="s">
        <v>15</v>
      </c>
      <c r="K1789">
        <v>15</v>
      </c>
      <c r="L1789">
        <v>800000</v>
      </c>
      <c r="M1789" t="s">
        <v>23</v>
      </c>
      <c r="N1789">
        <v>1</v>
      </c>
    </row>
    <row r="1790" hidden="1" spans="1:14">
      <c r="A1790">
        <v>1744</v>
      </c>
      <c r="B1790">
        <v>0</v>
      </c>
      <c r="C1790" t="s">
        <v>131</v>
      </c>
      <c r="D1790">
        <v>0</v>
      </c>
      <c r="E1790">
        <v>76.423</v>
      </c>
      <c r="F1790">
        <v>9.72651</v>
      </c>
      <c r="G1790">
        <v>4467.85</v>
      </c>
      <c r="H1790" s="1">
        <v>37076</v>
      </c>
      <c r="I1790" s="1">
        <v>37088</v>
      </c>
      <c r="J1790" t="s">
        <v>15</v>
      </c>
      <c r="K1790">
        <v>86</v>
      </c>
      <c r="L1790">
        <v>40000</v>
      </c>
      <c r="M1790" t="s">
        <v>23</v>
      </c>
      <c r="N1790">
        <v>1</v>
      </c>
    </row>
    <row r="1791" hidden="1" spans="1:14">
      <c r="A1791">
        <v>1791</v>
      </c>
      <c r="B1791">
        <v>0</v>
      </c>
      <c r="C1791" t="s">
        <v>131</v>
      </c>
      <c r="D1791">
        <v>0</v>
      </c>
      <c r="E1791">
        <v>84.87</v>
      </c>
      <c r="F1791">
        <v>26.5321</v>
      </c>
      <c r="G1791">
        <v>30123.95</v>
      </c>
      <c r="H1791" s="1">
        <v>37141</v>
      </c>
      <c r="I1791" s="1">
        <v>37158</v>
      </c>
      <c r="J1791" t="s">
        <v>15</v>
      </c>
      <c r="K1791">
        <v>146</v>
      </c>
      <c r="L1791">
        <v>30000</v>
      </c>
      <c r="M1791" t="s">
        <v>16</v>
      </c>
      <c r="N1791">
        <v>1</v>
      </c>
    </row>
    <row r="1792" hidden="1" spans="1:14">
      <c r="A1792">
        <v>1871</v>
      </c>
      <c r="B1792">
        <v>0</v>
      </c>
      <c r="C1792" t="s">
        <v>131</v>
      </c>
      <c r="D1792">
        <v>0</v>
      </c>
      <c r="E1792">
        <v>78.7843</v>
      </c>
      <c r="F1792">
        <v>10.4517</v>
      </c>
      <c r="G1792">
        <v>35586.88</v>
      </c>
      <c r="H1792" s="1">
        <v>37289</v>
      </c>
      <c r="I1792" s="1">
        <v>37292</v>
      </c>
      <c r="J1792" t="s">
        <v>15</v>
      </c>
      <c r="K1792">
        <v>11</v>
      </c>
      <c r="L1792">
        <v>0</v>
      </c>
      <c r="M1792" t="s">
        <v>16</v>
      </c>
      <c r="N1792">
        <v>1</v>
      </c>
    </row>
    <row r="1793" hidden="1" spans="1:14">
      <c r="A1793">
        <v>1952</v>
      </c>
      <c r="B1793">
        <v>0</v>
      </c>
      <c r="C1793" t="s">
        <v>131</v>
      </c>
      <c r="D1793">
        <v>0</v>
      </c>
      <c r="E1793">
        <v>95.3833</v>
      </c>
      <c r="F1793">
        <v>27.8034</v>
      </c>
      <c r="G1793">
        <v>3790.23</v>
      </c>
      <c r="H1793" s="1">
        <v>37423</v>
      </c>
      <c r="I1793" s="1">
        <v>37429</v>
      </c>
      <c r="J1793" t="s">
        <v>15</v>
      </c>
      <c r="K1793">
        <v>0</v>
      </c>
      <c r="L1793">
        <v>25000</v>
      </c>
      <c r="M1793" t="s">
        <v>23</v>
      </c>
      <c r="N1793">
        <v>1</v>
      </c>
    </row>
    <row r="1794" hidden="1" spans="1:14">
      <c r="A1794">
        <v>1967</v>
      </c>
      <c r="B1794">
        <v>0</v>
      </c>
      <c r="C1794" t="s">
        <v>131</v>
      </c>
      <c r="D1794">
        <v>0</v>
      </c>
      <c r="E1794">
        <v>88.9351</v>
      </c>
      <c r="F1794">
        <v>22.342</v>
      </c>
      <c r="G1794">
        <v>41.7932</v>
      </c>
      <c r="H1794" s="1">
        <v>37432</v>
      </c>
      <c r="I1794" s="1">
        <v>37433</v>
      </c>
      <c r="J1794" t="s">
        <v>15</v>
      </c>
      <c r="K1794">
        <v>4</v>
      </c>
      <c r="L1794">
        <v>11000</v>
      </c>
      <c r="M1794" t="s">
        <v>25</v>
      </c>
      <c r="N1794">
        <v>1</v>
      </c>
    </row>
    <row r="1795" hidden="1" spans="1:14">
      <c r="A1795">
        <v>1969</v>
      </c>
      <c r="B1795">
        <v>0</v>
      </c>
      <c r="C1795" t="s">
        <v>131</v>
      </c>
      <c r="D1795">
        <v>0</v>
      </c>
      <c r="E1795">
        <v>73.6623</v>
      </c>
      <c r="F1795">
        <v>20.8681</v>
      </c>
      <c r="G1795">
        <v>170587.72</v>
      </c>
      <c r="H1795" s="1">
        <v>37433</v>
      </c>
      <c r="I1795" s="1">
        <v>37440</v>
      </c>
      <c r="J1795" t="s">
        <v>15</v>
      </c>
      <c r="K1795">
        <v>169</v>
      </c>
      <c r="L1795">
        <v>28000</v>
      </c>
      <c r="M1795" t="s">
        <v>23</v>
      </c>
      <c r="N1795">
        <v>1</v>
      </c>
    </row>
    <row r="1796" hidden="1" spans="1:14">
      <c r="A1796">
        <v>1974</v>
      </c>
      <c r="B1796">
        <v>0</v>
      </c>
      <c r="C1796" t="s">
        <v>131</v>
      </c>
      <c r="D1796" t="s">
        <v>150</v>
      </c>
      <c r="E1796">
        <v>89.2696</v>
      </c>
      <c r="F1796">
        <v>25.8418</v>
      </c>
      <c r="G1796">
        <v>276609.37</v>
      </c>
      <c r="H1796" s="1">
        <v>37428</v>
      </c>
      <c r="I1796" s="1">
        <v>37496</v>
      </c>
      <c r="J1796" t="s">
        <v>15</v>
      </c>
      <c r="K1796">
        <v>503</v>
      </c>
      <c r="L1796">
        <v>15000000</v>
      </c>
      <c r="M1796" t="s">
        <v>23</v>
      </c>
      <c r="N1796">
        <v>1</v>
      </c>
    </row>
    <row r="1797" hidden="1" spans="1:14">
      <c r="A1797">
        <v>2027</v>
      </c>
      <c r="B1797">
        <v>0</v>
      </c>
      <c r="C1797" t="s">
        <v>131</v>
      </c>
      <c r="D1797">
        <v>0</v>
      </c>
      <c r="E1797">
        <v>78.5235</v>
      </c>
      <c r="F1797">
        <v>30.5622</v>
      </c>
      <c r="G1797">
        <v>6762.02</v>
      </c>
      <c r="H1797" s="1">
        <v>37479</v>
      </c>
      <c r="I1797" s="1">
        <v>37481</v>
      </c>
      <c r="J1797" t="s">
        <v>15</v>
      </c>
      <c r="K1797">
        <v>33</v>
      </c>
      <c r="L1797">
        <v>0</v>
      </c>
      <c r="M1797" t="s">
        <v>16</v>
      </c>
      <c r="N1797">
        <v>1</v>
      </c>
    </row>
    <row r="1798" hidden="1" spans="1:14">
      <c r="A1798">
        <v>2049</v>
      </c>
      <c r="B1798">
        <v>0</v>
      </c>
      <c r="C1798" t="s">
        <v>131</v>
      </c>
      <c r="D1798">
        <v>0</v>
      </c>
      <c r="E1798">
        <v>73.2201</v>
      </c>
      <c r="F1798">
        <v>21.5391</v>
      </c>
      <c r="G1798">
        <v>78978.7</v>
      </c>
      <c r="H1798" s="1">
        <v>37502</v>
      </c>
      <c r="I1798" s="1">
        <v>37505</v>
      </c>
      <c r="J1798" t="s">
        <v>15</v>
      </c>
      <c r="K1798">
        <v>22</v>
      </c>
      <c r="L1798">
        <v>5000</v>
      </c>
      <c r="M1798" t="s">
        <v>23</v>
      </c>
      <c r="N1798">
        <v>1</v>
      </c>
    </row>
    <row r="1799" hidden="1" spans="1:14">
      <c r="A1799">
        <v>2069</v>
      </c>
      <c r="B1799">
        <v>0</v>
      </c>
      <c r="C1799" t="s">
        <v>131</v>
      </c>
      <c r="D1799">
        <v>0</v>
      </c>
      <c r="E1799">
        <v>75.527</v>
      </c>
      <c r="F1799">
        <v>11.8739</v>
      </c>
      <c r="G1799">
        <v>9745.41</v>
      </c>
      <c r="H1799" s="1">
        <v>37539</v>
      </c>
      <c r="I1799" s="1">
        <v>37545</v>
      </c>
      <c r="J1799" t="s">
        <v>15</v>
      </c>
      <c r="K1799">
        <v>11</v>
      </c>
      <c r="L1799">
        <v>0</v>
      </c>
      <c r="M1799" t="s">
        <v>23</v>
      </c>
      <c r="N1799">
        <v>1</v>
      </c>
    </row>
    <row r="1800" hidden="1" spans="1:14">
      <c r="A1800">
        <v>2258</v>
      </c>
      <c r="B1800">
        <v>0</v>
      </c>
      <c r="C1800" t="s">
        <v>131</v>
      </c>
      <c r="D1800">
        <v>0</v>
      </c>
      <c r="E1800">
        <v>74.9274</v>
      </c>
      <c r="F1800">
        <v>12.9158</v>
      </c>
      <c r="G1800">
        <v>766.522</v>
      </c>
      <c r="H1800" s="1">
        <v>37793</v>
      </c>
      <c r="I1800" s="1">
        <v>37796</v>
      </c>
      <c r="J1800" t="s">
        <v>15</v>
      </c>
      <c r="K1800">
        <v>4</v>
      </c>
      <c r="L1800">
        <v>0</v>
      </c>
      <c r="M1800" t="s">
        <v>23</v>
      </c>
      <c r="N1800">
        <v>1</v>
      </c>
    </row>
    <row r="1801" hidden="1" spans="1:14">
      <c r="A1801">
        <v>2260</v>
      </c>
      <c r="B1801">
        <v>0</v>
      </c>
      <c r="C1801" t="s">
        <v>131</v>
      </c>
      <c r="D1801">
        <v>0</v>
      </c>
      <c r="E1801">
        <v>73.44</v>
      </c>
      <c r="F1801">
        <v>21.3961</v>
      </c>
      <c r="G1801">
        <v>37685.27</v>
      </c>
      <c r="H1801" s="1">
        <v>37792</v>
      </c>
      <c r="I1801" s="1">
        <v>37798</v>
      </c>
      <c r="J1801" t="s">
        <v>15</v>
      </c>
      <c r="K1801">
        <v>4</v>
      </c>
      <c r="L1801">
        <v>0</v>
      </c>
      <c r="M1801" t="s">
        <v>23</v>
      </c>
      <c r="N1801">
        <v>1</v>
      </c>
    </row>
    <row r="1802" hidden="1" spans="1:14">
      <c r="A1802">
        <v>2299</v>
      </c>
      <c r="B1802">
        <v>0</v>
      </c>
      <c r="C1802" t="s">
        <v>131</v>
      </c>
      <c r="D1802">
        <v>0</v>
      </c>
      <c r="E1802">
        <v>73.9596</v>
      </c>
      <c r="F1802">
        <v>21.9811</v>
      </c>
      <c r="G1802">
        <v>12776.68</v>
      </c>
      <c r="H1802" s="1">
        <v>37831</v>
      </c>
      <c r="I1802" s="1">
        <v>37835</v>
      </c>
      <c r="J1802" t="s">
        <v>15</v>
      </c>
      <c r="K1802">
        <v>2</v>
      </c>
      <c r="L1802">
        <v>14000</v>
      </c>
      <c r="M1802" t="s">
        <v>23</v>
      </c>
      <c r="N1802">
        <v>1</v>
      </c>
    </row>
    <row r="1803" hidden="1" spans="1:14">
      <c r="A1803">
        <v>2312</v>
      </c>
      <c r="B1803">
        <v>0</v>
      </c>
      <c r="C1803" t="s">
        <v>131</v>
      </c>
      <c r="D1803">
        <v>0</v>
      </c>
      <c r="E1803">
        <v>79.2948</v>
      </c>
      <c r="F1803">
        <v>19.1881</v>
      </c>
      <c r="G1803">
        <v>21087.65</v>
      </c>
      <c r="H1803" s="1">
        <v>37831</v>
      </c>
      <c r="I1803" s="1">
        <v>37836</v>
      </c>
      <c r="J1803" t="s">
        <v>15</v>
      </c>
      <c r="K1803">
        <v>2</v>
      </c>
      <c r="L1803">
        <v>14000</v>
      </c>
      <c r="M1803" t="s">
        <v>476</v>
      </c>
      <c r="N1803">
        <v>1.5</v>
      </c>
    </row>
    <row r="1804" hidden="1" spans="1:14">
      <c r="A1804">
        <v>2338</v>
      </c>
      <c r="B1804">
        <v>0</v>
      </c>
      <c r="C1804" t="s">
        <v>131</v>
      </c>
      <c r="D1804">
        <v>0</v>
      </c>
      <c r="E1804">
        <v>85.8936</v>
      </c>
      <c r="F1804">
        <v>20.6258</v>
      </c>
      <c r="G1804">
        <v>117883.62</v>
      </c>
      <c r="H1804" s="1">
        <v>37860</v>
      </c>
      <c r="I1804" s="1">
        <v>37914</v>
      </c>
      <c r="J1804" t="s">
        <v>15</v>
      </c>
      <c r="K1804">
        <v>67</v>
      </c>
      <c r="L1804">
        <v>3000000</v>
      </c>
      <c r="M1804" t="s">
        <v>23</v>
      </c>
      <c r="N1804">
        <v>1</v>
      </c>
    </row>
    <row r="1805" hidden="1" spans="1:14">
      <c r="A1805">
        <v>2496</v>
      </c>
      <c r="B1805">
        <v>0</v>
      </c>
      <c r="C1805" t="s">
        <v>131</v>
      </c>
      <c r="D1805">
        <v>0</v>
      </c>
      <c r="E1805">
        <v>75.4747</v>
      </c>
      <c r="F1805">
        <v>12.1226</v>
      </c>
      <c r="G1805">
        <v>8999.41</v>
      </c>
      <c r="H1805" s="1">
        <v>38147</v>
      </c>
      <c r="I1805" s="1">
        <v>38149</v>
      </c>
      <c r="J1805" t="s">
        <v>15</v>
      </c>
      <c r="K1805">
        <v>45</v>
      </c>
      <c r="L1805">
        <v>1000</v>
      </c>
      <c r="M1805" t="s">
        <v>23</v>
      </c>
      <c r="N1805">
        <v>1</v>
      </c>
    </row>
    <row r="1806" hidden="1" spans="1:14">
      <c r="A1806">
        <v>2507</v>
      </c>
      <c r="B1806">
        <v>0</v>
      </c>
      <c r="C1806" t="s">
        <v>131</v>
      </c>
      <c r="D1806" t="s">
        <v>132</v>
      </c>
      <c r="E1806">
        <v>85.8918</v>
      </c>
      <c r="F1806">
        <v>25.4989</v>
      </c>
      <c r="G1806">
        <v>1162598.06</v>
      </c>
      <c r="H1806" s="1">
        <v>38158</v>
      </c>
      <c r="I1806" s="1">
        <v>38267</v>
      </c>
      <c r="J1806" t="s">
        <v>15</v>
      </c>
      <c r="K1806">
        <v>3000</v>
      </c>
      <c r="L1806">
        <v>40000000</v>
      </c>
      <c r="M1806" t="s">
        <v>23</v>
      </c>
      <c r="N1806">
        <v>2</v>
      </c>
    </row>
    <row r="1807" hidden="1" spans="1:14">
      <c r="A1807">
        <v>2541</v>
      </c>
      <c r="B1807">
        <v>0</v>
      </c>
      <c r="C1807" t="s">
        <v>131</v>
      </c>
      <c r="D1807" t="s">
        <v>57</v>
      </c>
      <c r="E1807">
        <v>73.7641</v>
      </c>
      <c r="F1807">
        <v>21.0247</v>
      </c>
      <c r="G1807">
        <v>638379.86</v>
      </c>
      <c r="H1807" s="1">
        <v>38200</v>
      </c>
      <c r="I1807" s="1">
        <v>38238</v>
      </c>
      <c r="J1807" t="s">
        <v>15</v>
      </c>
      <c r="K1807">
        <v>210</v>
      </c>
      <c r="L1807">
        <v>100000</v>
      </c>
      <c r="M1807" t="s">
        <v>23</v>
      </c>
      <c r="N1807">
        <v>1</v>
      </c>
    </row>
    <row r="1808" hidden="1" spans="1:14">
      <c r="A1808">
        <v>2570</v>
      </c>
      <c r="B1808">
        <v>0</v>
      </c>
      <c r="C1808" t="s">
        <v>131</v>
      </c>
      <c r="D1808" t="s">
        <v>132</v>
      </c>
      <c r="E1808">
        <v>89.4002</v>
      </c>
      <c r="F1808">
        <v>24.6862</v>
      </c>
      <c r="G1808">
        <v>161739.65</v>
      </c>
      <c r="H1808" s="1">
        <v>38267</v>
      </c>
      <c r="I1808" s="1">
        <v>38278</v>
      </c>
      <c r="J1808" t="s">
        <v>15</v>
      </c>
      <c r="K1808">
        <v>210</v>
      </c>
      <c r="L1808">
        <v>100000</v>
      </c>
      <c r="M1808" t="s">
        <v>16</v>
      </c>
      <c r="N1808">
        <v>1</v>
      </c>
    </row>
    <row r="1809" hidden="1" spans="1:14">
      <c r="A1809">
        <v>2678</v>
      </c>
      <c r="B1809">
        <v>0</v>
      </c>
      <c r="C1809" t="s">
        <v>131</v>
      </c>
      <c r="D1809">
        <v>0</v>
      </c>
      <c r="E1809">
        <v>78.4423</v>
      </c>
      <c r="F1809">
        <v>31.6718</v>
      </c>
      <c r="G1809">
        <v>6530.74</v>
      </c>
      <c r="H1809" s="1">
        <v>38529</v>
      </c>
      <c r="I1809" s="1">
        <v>38532</v>
      </c>
      <c r="J1809" t="s">
        <v>15</v>
      </c>
      <c r="K1809">
        <v>6</v>
      </c>
      <c r="L1809">
        <v>5000</v>
      </c>
      <c r="M1809" t="s">
        <v>16</v>
      </c>
      <c r="N1809">
        <v>1</v>
      </c>
    </row>
    <row r="1810" hidden="1" spans="1:14">
      <c r="A1810">
        <v>2680</v>
      </c>
      <c r="B1810">
        <v>0</v>
      </c>
      <c r="C1810" t="s">
        <v>131</v>
      </c>
      <c r="D1810">
        <v>0</v>
      </c>
      <c r="E1810">
        <v>73.0739</v>
      </c>
      <c r="F1810">
        <v>21.433</v>
      </c>
      <c r="G1810">
        <v>73780.97</v>
      </c>
      <c r="H1810" s="1">
        <v>38531</v>
      </c>
      <c r="I1810" s="1">
        <v>38548</v>
      </c>
      <c r="J1810" t="s">
        <v>15</v>
      </c>
      <c r="K1810">
        <v>202</v>
      </c>
      <c r="L1810">
        <v>500000</v>
      </c>
      <c r="M1810" t="s">
        <v>23</v>
      </c>
      <c r="N1810">
        <v>2</v>
      </c>
    </row>
    <row r="1811" hidden="1" spans="1:14">
      <c r="A1811">
        <v>2682</v>
      </c>
      <c r="B1811">
        <v>0</v>
      </c>
      <c r="C1811" t="s">
        <v>131</v>
      </c>
      <c r="D1811">
        <v>0</v>
      </c>
      <c r="E1811">
        <v>86.4305</v>
      </c>
      <c r="F1811">
        <v>20.9765</v>
      </c>
      <c r="G1811">
        <v>6802.76</v>
      </c>
      <c r="H1811" s="1">
        <v>38532</v>
      </c>
      <c r="I1811" s="1">
        <v>38536</v>
      </c>
      <c r="J1811" t="s">
        <v>15</v>
      </c>
      <c r="K1811">
        <v>1</v>
      </c>
      <c r="L1811">
        <v>140000</v>
      </c>
      <c r="M1811" t="s">
        <v>23</v>
      </c>
      <c r="N1811">
        <v>1</v>
      </c>
    </row>
    <row r="1812" hidden="1" spans="1:14">
      <c r="A1812">
        <v>2686</v>
      </c>
      <c r="B1812">
        <v>0</v>
      </c>
      <c r="C1812" t="s">
        <v>131</v>
      </c>
      <c r="D1812">
        <v>0</v>
      </c>
      <c r="E1812">
        <v>80.1999</v>
      </c>
      <c r="F1812">
        <v>24.1288</v>
      </c>
      <c r="G1812">
        <v>55740.23</v>
      </c>
      <c r="H1812" s="1">
        <v>38535</v>
      </c>
      <c r="I1812" s="1">
        <v>38548</v>
      </c>
      <c r="J1812" t="s">
        <v>15</v>
      </c>
      <c r="K1812">
        <v>62</v>
      </c>
      <c r="L1812">
        <v>49000</v>
      </c>
      <c r="M1812" t="s">
        <v>23</v>
      </c>
      <c r="N1812">
        <v>1</v>
      </c>
    </row>
    <row r="1813" hidden="1" spans="1:14">
      <c r="A1813">
        <v>2690</v>
      </c>
      <c r="B1813">
        <v>0</v>
      </c>
      <c r="C1813" t="s">
        <v>131</v>
      </c>
      <c r="D1813" t="s">
        <v>132</v>
      </c>
      <c r="E1813">
        <v>87.0126</v>
      </c>
      <c r="F1813">
        <v>27.4363</v>
      </c>
      <c r="G1813">
        <v>823461.88</v>
      </c>
      <c r="H1813" s="1">
        <v>38540</v>
      </c>
      <c r="I1813" s="1">
        <v>38560</v>
      </c>
      <c r="J1813" t="s">
        <v>15</v>
      </c>
      <c r="K1813">
        <v>40</v>
      </c>
      <c r="L1813">
        <v>3000000</v>
      </c>
      <c r="M1813" t="s">
        <v>23</v>
      </c>
      <c r="N1813">
        <v>1</v>
      </c>
    </row>
    <row r="1814" hidden="1" spans="1:14">
      <c r="A1814">
        <v>2697</v>
      </c>
      <c r="B1814">
        <v>0</v>
      </c>
      <c r="C1814" t="s">
        <v>131</v>
      </c>
      <c r="D1814">
        <v>0</v>
      </c>
      <c r="E1814">
        <v>73.435</v>
      </c>
      <c r="F1814">
        <v>17.9836</v>
      </c>
      <c r="G1814">
        <v>35551.57</v>
      </c>
      <c r="H1814" s="1">
        <v>38557</v>
      </c>
      <c r="I1814" s="1">
        <v>38569</v>
      </c>
      <c r="J1814" t="s">
        <v>15</v>
      </c>
      <c r="K1814">
        <v>987</v>
      </c>
      <c r="L1814">
        <v>160000</v>
      </c>
      <c r="M1814" t="s">
        <v>23</v>
      </c>
      <c r="N1814">
        <v>1</v>
      </c>
    </row>
    <row r="1815" hidden="1" spans="1:14">
      <c r="A1815">
        <v>2698</v>
      </c>
      <c r="B1815">
        <v>0</v>
      </c>
      <c r="C1815" t="s">
        <v>131</v>
      </c>
      <c r="D1815">
        <v>0</v>
      </c>
      <c r="E1815">
        <v>79.9654</v>
      </c>
      <c r="F1815">
        <v>16.9772</v>
      </c>
      <c r="G1815">
        <v>619197.82</v>
      </c>
      <c r="H1815" s="1">
        <v>38556</v>
      </c>
      <c r="I1815" s="1">
        <v>38580</v>
      </c>
      <c r="J1815" t="s">
        <v>15</v>
      </c>
      <c r="K1815">
        <v>126</v>
      </c>
      <c r="L1815">
        <v>100000</v>
      </c>
      <c r="M1815" t="s">
        <v>23</v>
      </c>
      <c r="N1815">
        <v>1</v>
      </c>
    </row>
    <row r="1816" hidden="1" spans="1:14">
      <c r="A1816">
        <v>2700</v>
      </c>
      <c r="B1816">
        <v>0</v>
      </c>
      <c r="C1816" t="s">
        <v>131</v>
      </c>
      <c r="D1816">
        <v>0</v>
      </c>
      <c r="E1816">
        <v>86.2759</v>
      </c>
      <c r="F1816">
        <v>20.9915</v>
      </c>
      <c r="G1816">
        <v>11721.28</v>
      </c>
      <c r="H1816" s="1">
        <v>38563</v>
      </c>
      <c r="I1816" s="1">
        <v>38567</v>
      </c>
      <c r="J1816" t="s">
        <v>15</v>
      </c>
      <c r="K1816">
        <v>8</v>
      </c>
      <c r="L1816">
        <v>344857</v>
      </c>
      <c r="M1816" t="s">
        <v>23</v>
      </c>
      <c r="N1816">
        <v>1</v>
      </c>
    </row>
    <row r="1817" hidden="1" spans="1:14">
      <c r="A1817">
        <v>2718</v>
      </c>
      <c r="B1817">
        <v>0</v>
      </c>
      <c r="C1817" t="s">
        <v>131</v>
      </c>
      <c r="D1817">
        <v>0</v>
      </c>
      <c r="E1817">
        <v>83.2115</v>
      </c>
      <c r="F1817">
        <v>25.886</v>
      </c>
      <c r="G1817">
        <v>12677.59</v>
      </c>
      <c r="H1817" s="1">
        <v>38590</v>
      </c>
      <c r="I1817" s="1">
        <v>38594</v>
      </c>
      <c r="J1817" t="s">
        <v>15</v>
      </c>
      <c r="K1817">
        <v>21</v>
      </c>
      <c r="L1817">
        <v>0</v>
      </c>
      <c r="M1817" t="s">
        <v>16</v>
      </c>
      <c r="N1817">
        <v>1</v>
      </c>
    </row>
    <row r="1818" hidden="1" spans="1:14">
      <c r="A1818">
        <v>2728</v>
      </c>
      <c r="B1818">
        <v>0</v>
      </c>
      <c r="C1818" t="s">
        <v>131</v>
      </c>
      <c r="D1818">
        <v>0</v>
      </c>
      <c r="E1818">
        <v>82.5389</v>
      </c>
      <c r="F1818">
        <v>21.1139</v>
      </c>
      <c r="G1818">
        <v>374448.85</v>
      </c>
      <c r="H1818" s="1">
        <v>38609</v>
      </c>
      <c r="I1818" s="1">
        <v>38625</v>
      </c>
      <c r="J1818" t="s">
        <v>15</v>
      </c>
      <c r="K1818">
        <v>89</v>
      </c>
      <c r="L1818">
        <v>550000</v>
      </c>
      <c r="M1818" t="s">
        <v>16</v>
      </c>
      <c r="N1818">
        <v>1</v>
      </c>
    </row>
    <row r="1819" hidden="1" spans="1:14">
      <c r="A1819">
        <v>2731</v>
      </c>
      <c r="B1819">
        <v>0</v>
      </c>
      <c r="C1819" t="s">
        <v>131</v>
      </c>
      <c r="D1819">
        <v>0</v>
      </c>
      <c r="E1819">
        <v>79.3734</v>
      </c>
      <c r="F1819">
        <v>28.1973</v>
      </c>
      <c r="G1819">
        <v>308728.72</v>
      </c>
      <c r="H1819" s="1">
        <v>38611</v>
      </c>
      <c r="I1819" s="1">
        <v>38630</v>
      </c>
      <c r="J1819" t="s">
        <v>15</v>
      </c>
      <c r="K1819">
        <v>23</v>
      </c>
      <c r="L1819">
        <v>0</v>
      </c>
      <c r="M1819" t="s">
        <v>23</v>
      </c>
      <c r="N1819">
        <v>1</v>
      </c>
    </row>
    <row r="1820" hidden="1" spans="1:14">
      <c r="A1820">
        <v>2734</v>
      </c>
      <c r="B1820">
        <v>0</v>
      </c>
      <c r="C1820" t="s">
        <v>131</v>
      </c>
      <c r="D1820">
        <v>0</v>
      </c>
      <c r="E1820">
        <v>73.4733</v>
      </c>
      <c r="F1820">
        <v>21.7139</v>
      </c>
      <c r="G1820">
        <v>53194.83</v>
      </c>
      <c r="H1820" s="1">
        <v>38617</v>
      </c>
      <c r="I1820" s="1">
        <v>38636</v>
      </c>
      <c r="J1820" t="s">
        <v>15</v>
      </c>
      <c r="K1820">
        <v>15</v>
      </c>
      <c r="L1820">
        <v>0</v>
      </c>
      <c r="M1820" t="s">
        <v>16</v>
      </c>
      <c r="N1820">
        <v>1</v>
      </c>
    </row>
    <row r="1821" hidden="1" spans="1:14">
      <c r="A1821">
        <v>2754</v>
      </c>
      <c r="B1821">
        <v>0</v>
      </c>
      <c r="C1821" t="s">
        <v>131</v>
      </c>
      <c r="D1821">
        <v>0</v>
      </c>
      <c r="E1821">
        <v>87.9347</v>
      </c>
      <c r="F1821">
        <v>21.9409</v>
      </c>
      <c r="G1821">
        <v>29111.38</v>
      </c>
      <c r="H1821" s="1">
        <v>38646</v>
      </c>
      <c r="I1821" s="1">
        <v>38653</v>
      </c>
      <c r="J1821" t="s">
        <v>15</v>
      </c>
      <c r="K1821">
        <v>13</v>
      </c>
      <c r="L1821">
        <v>3000000</v>
      </c>
      <c r="M1821" t="s">
        <v>16</v>
      </c>
      <c r="N1821">
        <v>1</v>
      </c>
    </row>
    <row r="1822" hidden="1" spans="1:14">
      <c r="A1822">
        <v>2758</v>
      </c>
      <c r="B1822">
        <v>0</v>
      </c>
      <c r="C1822" t="s">
        <v>131</v>
      </c>
      <c r="D1822">
        <v>0</v>
      </c>
      <c r="E1822">
        <v>78.7317</v>
      </c>
      <c r="F1822">
        <v>11.7804</v>
      </c>
      <c r="G1822">
        <v>131307.99</v>
      </c>
      <c r="H1822" s="1">
        <v>38648</v>
      </c>
      <c r="I1822" s="1">
        <v>38695</v>
      </c>
      <c r="J1822" t="s">
        <v>15</v>
      </c>
      <c r="K1822">
        <v>279</v>
      </c>
      <c r="L1822">
        <v>300000</v>
      </c>
      <c r="M1822" t="s">
        <v>23</v>
      </c>
      <c r="N1822">
        <v>1</v>
      </c>
    </row>
    <row r="1823" hidden="1" spans="1:14">
      <c r="A1823">
        <v>2844</v>
      </c>
      <c r="B1823">
        <v>0</v>
      </c>
      <c r="C1823" t="s">
        <v>131</v>
      </c>
      <c r="D1823">
        <v>0</v>
      </c>
      <c r="E1823">
        <v>82.8115</v>
      </c>
      <c r="F1823">
        <v>17.4335</v>
      </c>
      <c r="G1823">
        <v>190869.85</v>
      </c>
      <c r="H1823" s="1">
        <v>38822</v>
      </c>
      <c r="I1823" s="1">
        <v>38825</v>
      </c>
      <c r="J1823" t="s">
        <v>15</v>
      </c>
      <c r="K1823">
        <v>20</v>
      </c>
      <c r="L1823">
        <v>0</v>
      </c>
      <c r="M1823" t="s">
        <v>16</v>
      </c>
      <c r="N1823">
        <v>1</v>
      </c>
    </row>
    <row r="1824" hidden="1" spans="1:14">
      <c r="A1824">
        <v>2876</v>
      </c>
      <c r="B1824">
        <v>0</v>
      </c>
      <c r="C1824" t="s">
        <v>131</v>
      </c>
      <c r="D1824">
        <v>0</v>
      </c>
      <c r="E1824">
        <v>75.2343</v>
      </c>
      <c r="F1824">
        <v>18.7332</v>
      </c>
      <c r="G1824">
        <v>394010.74</v>
      </c>
      <c r="H1824" s="1">
        <v>38868</v>
      </c>
      <c r="I1824" s="1">
        <v>38872</v>
      </c>
      <c r="J1824" t="s">
        <v>15</v>
      </c>
      <c r="K1824">
        <v>41</v>
      </c>
      <c r="L1824">
        <v>0</v>
      </c>
      <c r="M1824" t="s">
        <v>23</v>
      </c>
      <c r="N1824">
        <v>1</v>
      </c>
    </row>
    <row r="1825" hidden="1" spans="1:14">
      <c r="A1825">
        <v>2878</v>
      </c>
      <c r="B1825">
        <v>0</v>
      </c>
      <c r="C1825" t="s">
        <v>131</v>
      </c>
      <c r="D1825">
        <v>0</v>
      </c>
      <c r="E1825">
        <v>76.0498</v>
      </c>
      <c r="F1825">
        <v>10.5443</v>
      </c>
      <c r="G1825">
        <v>42686.92</v>
      </c>
      <c r="H1825" s="1">
        <v>38862</v>
      </c>
      <c r="I1825" s="1">
        <v>38870</v>
      </c>
      <c r="J1825" t="s">
        <v>15</v>
      </c>
      <c r="K1825">
        <v>32</v>
      </c>
      <c r="L1825">
        <v>10800</v>
      </c>
      <c r="M1825" t="s">
        <v>23</v>
      </c>
      <c r="N1825">
        <v>2</v>
      </c>
    </row>
    <row r="1826" hidden="1" spans="1:14">
      <c r="A1826">
        <v>2879</v>
      </c>
      <c r="B1826" t="s">
        <v>477</v>
      </c>
      <c r="C1826" t="s">
        <v>131</v>
      </c>
      <c r="D1826" t="s">
        <v>132</v>
      </c>
      <c r="E1826">
        <v>94.0245</v>
      </c>
      <c r="F1826">
        <v>26.5993</v>
      </c>
      <c r="G1826">
        <v>185348.84</v>
      </c>
      <c r="H1826" s="1">
        <v>38868</v>
      </c>
      <c r="I1826" s="1">
        <v>38922</v>
      </c>
      <c r="J1826" t="s">
        <v>15</v>
      </c>
      <c r="K1826">
        <v>21</v>
      </c>
      <c r="L1826">
        <v>600000</v>
      </c>
      <c r="M1826" t="s">
        <v>23</v>
      </c>
      <c r="N1826">
        <v>1</v>
      </c>
    </row>
    <row r="1827" hidden="1" spans="1:14">
      <c r="A1827">
        <v>2894</v>
      </c>
      <c r="B1827" t="s">
        <v>478</v>
      </c>
      <c r="C1827" t="s">
        <v>131</v>
      </c>
      <c r="D1827" t="s">
        <v>475</v>
      </c>
      <c r="E1827">
        <v>83.6713</v>
      </c>
      <c r="F1827">
        <v>25.6151</v>
      </c>
      <c r="G1827">
        <v>506577.31</v>
      </c>
      <c r="H1827" s="1">
        <v>38892</v>
      </c>
      <c r="I1827" s="1">
        <v>38932</v>
      </c>
      <c r="J1827" t="s">
        <v>15</v>
      </c>
      <c r="K1827">
        <v>160</v>
      </c>
      <c r="L1827">
        <v>0</v>
      </c>
      <c r="M1827" t="s">
        <v>23</v>
      </c>
      <c r="N1827">
        <v>1</v>
      </c>
    </row>
    <row r="1828" hidden="1" spans="1:14">
      <c r="A1828">
        <v>2909</v>
      </c>
      <c r="B1828">
        <v>0</v>
      </c>
      <c r="C1828" t="s">
        <v>131</v>
      </c>
      <c r="D1828">
        <v>0</v>
      </c>
      <c r="E1828">
        <v>83.6477</v>
      </c>
      <c r="F1828">
        <v>19.1719</v>
      </c>
      <c r="G1828">
        <v>31360.94</v>
      </c>
      <c r="H1828" s="1">
        <v>38901</v>
      </c>
      <c r="I1828" s="1">
        <v>38906</v>
      </c>
      <c r="J1828" t="s">
        <v>15</v>
      </c>
      <c r="K1828">
        <v>33</v>
      </c>
      <c r="L1828">
        <v>0</v>
      </c>
      <c r="M1828" t="s">
        <v>23</v>
      </c>
      <c r="N1828">
        <v>1</v>
      </c>
    </row>
    <row r="1829" hidden="1" spans="1:14">
      <c r="A1829">
        <v>2910</v>
      </c>
      <c r="B1829" t="s">
        <v>479</v>
      </c>
      <c r="C1829" t="s">
        <v>131</v>
      </c>
      <c r="D1829">
        <v>0</v>
      </c>
      <c r="E1829">
        <v>72.8816</v>
      </c>
      <c r="F1829">
        <v>19.1028</v>
      </c>
      <c r="G1829">
        <v>393.774</v>
      </c>
      <c r="H1829" s="1">
        <v>38901</v>
      </c>
      <c r="I1829" s="1">
        <v>38904</v>
      </c>
      <c r="J1829" t="s">
        <v>15</v>
      </c>
      <c r="K1829">
        <v>9</v>
      </c>
      <c r="L1829">
        <v>0</v>
      </c>
      <c r="M1829" t="s">
        <v>23</v>
      </c>
      <c r="N1829">
        <v>1</v>
      </c>
    </row>
    <row r="1830" hidden="1" spans="1:14">
      <c r="A1830">
        <v>2911</v>
      </c>
      <c r="B1830">
        <v>0</v>
      </c>
      <c r="C1830" t="s">
        <v>131</v>
      </c>
      <c r="D1830">
        <v>0</v>
      </c>
      <c r="E1830">
        <v>71.3097</v>
      </c>
      <c r="F1830">
        <v>22.4114</v>
      </c>
      <c r="G1830">
        <v>170055.89</v>
      </c>
      <c r="H1830" s="1">
        <v>38902</v>
      </c>
      <c r="I1830" s="1">
        <v>38905</v>
      </c>
      <c r="J1830" t="s">
        <v>15</v>
      </c>
      <c r="K1830">
        <v>24</v>
      </c>
      <c r="L1830">
        <v>8400</v>
      </c>
      <c r="M1830" t="s">
        <v>16</v>
      </c>
      <c r="N1830">
        <v>1</v>
      </c>
    </row>
    <row r="1831" hidden="1" spans="1:14">
      <c r="A1831">
        <v>2935</v>
      </c>
      <c r="B1831" t="s">
        <v>480</v>
      </c>
      <c r="C1831" t="s">
        <v>131</v>
      </c>
      <c r="D1831" t="s">
        <v>57</v>
      </c>
      <c r="E1831">
        <v>73.8242</v>
      </c>
      <c r="F1831">
        <v>20.1943</v>
      </c>
      <c r="G1831">
        <v>681019.56</v>
      </c>
      <c r="H1831" s="1">
        <v>38926</v>
      </c>
      <c r="I1831" s="1">
        <v>38972</v>
      </c>
      <c r="J1831" t="s">
        <v>15</v>
      </c>
      <c r="K1831">
        <v>457</v>
      </c>
      <c r="L1831">
        <v>140000</v>
      </c>
      <c r="M1831" t="s">
        <v>23</v>
      </c>
      <c r="N1831">
        <v>2</v>
      </c>
    </row>
    <row r="1832" hidden="1" spans="1:14">
      <c r="A1832">
        <v>2940</v>
      </c>
      <c r="B1832" t="s">
        <v>481</v>
      </c>
      <c r="C1832" t="s">
        <v>131</v>
      </c>
      <c r="D1832">
        <v>0</v>
      </c>
      <c r="E1832">
        <v>81.5288</v>
      </c>
      <c r="F1832">
        <v>18.1046</v>
      </c>
      <c r="G1832">
        <v>302774.27</v>
      </c>
      <c r="H1832" s="1">
        <v>38930</v>
      </c>
      <c r="I1832" s="1">
        <v>38970</v>
      </c>
      <c r="J1832" t="s">
        <v>15</v>
      </c>
      <c r="K1832">
        <v>185</v>
      </c>
      <c r="L1832">
        <v>2000000</v>
      </c>
      <c r="M1832" t="s">
        <v>23</v>
      </c>
      <c r="N1832">
        <v>1</v>
      </c>
    </row>
    <row r="1833" hidden="1" spans="1:14">
      <c r="A1833">
        <v>2956</v>
      </c>
      <c r="B1833">
        <v>0</v>
      </c>
      <c r="C1833" t="s">
        <v>131</v>
      </c>
      <c r="D1833">
        <v>0</v>
      </c>
      <c r="E1833">
        <v>81.5174</v>
      </c>
      <c r="F1833">
        <v>27.5853</v>
      </c>
      <c r="G1833">
        <v>32712.75</v>
      </c>
      <c r="H1833" s="1">
        <v>38958</v>
      </c>
      <c r="I1833" s="1">
        <v>38964</v>
      </c>
      <c r="J1833" t="s">
        <v>15</v>
      </c>
      <c r="K1833">
        <v>42</v>
      </c>
      <c r="L1833">
        <v>50000</v>
      </c>
      <c r="M1833" t="s">
        <v>23</v>
      </c>
      <c r="N1833">
        <v>1</v>
      </c>
    </row>
    <row r="1834" hidden="1" spans="1:14">
      <c r="A1834">
        <v>2958</v>
      </c>
      <c r="B1834">
        <v>0</v>
      </c>
      <c r="C1834" t="s">
        <v>131</v>
      </c>
      <c r="D1834" t="s">
        <v>57</v>
      </c>
      <c r="E1834">
        <v>73.8842</v>
      </c>
      <c r="F1834">
        <v>32.8864</v>
      </c>
      <c r="G1834">
        <v>141449.13</v>
      </c>
      <c r="H1834" s="1">
        <v>38960</v>
      </c>
      <c r="I1834" s="1">
        <v>38971</v>
      </c>
      <c r="J1834" t="s">
        <v>15</v>
      </c>
      <c r="K1834">
        <v>39</v>
      </c>
      <c r="L1834">
        <v>3000</v>
      </c>
      <c r="M1834" t="s">
        <v>23</v>
      </c>
      <c r="N1834">
        <v>1</v>
      </c>
    </row>
    <row r="1835" hidden="1" spans="1:14">
      <c r="A1835">
        <v>2965</v>
      </c>
      <c r="B1835">
        <v>0</v>
      </c>
      <c r="C1835" t="s">
        <v>131</v>
      </c>
      <c r="D1835" t="s">
        <v>132</v>
      </c>
      <c r="E1835">
        <v>83.7466</v>
      </c>
      <c r="F1835">
        <v>19.73</v>
      </c>
      <c r="G1835">
        <v>606979.95</v>
      </c>
      <c r="H1835" s="1">
        <v>38978</v>
      </c>
      <c r="I1835" s="1">
        <v>38995</v>
      </c>
      <c r="J1835" t="s">
        <v>15</v>
      </c>
      <c r="K1835">
        <v>250</v>
      </c>
      <c r="L1835">
        <v>50000</v>
      </c>
      <c r="M1835" t="s">
        <v>23</v>
      </c>
      <c r="N1835">
        <v>1</v>
      </c>
    </row>
    <row r="1836" hidden="1" spans="1:14">
      <c r="A1836">
        <v>2985</v>
      </c>
      <c r="B1836">
        <v>0</v>
      </c>
      <c r="C1836" t="s">
        <v>131</v>
      </c>
      <c r="D1836">
        <v>0</v>
      </c>
      <c r="E1836">
        <v>79.9324</v>
      </c>
      <c r="F1836">
        <v>14.1349</v>
      </c>
      <c r="G1836">
        <v>40094.93</v>
      </c>
      <c r="H1836" s="1">
        <v>39016</v>
      </c>
      <c r="I1836" s="1">
        <v>39025</v>
      </c>
      <c r="J1836" t="s">
        <v>15</v>
      </c>
      <c r="K1836">
        <v>47</v>
      </c>
      <c r="L1836">
        <v>225000</v>
      </c>
      <c r="M1836" t="s">
        <v>23</v>
      </c>
      <c r="N1836">
        <v>1</v>
      </c>
    </row>
    <row r="1837" hidden="1" spans="1:14">
      <c r="A1837">
        <v>3042</v>
      </c>
      <c r="B1837" t="s">
        <v>482</v>
      </c>
      <c r="C1837" t="s">
        <v>131</v>
      </c>
      <c r="E1837">
        <v>74.2156</v>
      </c>
      <c r="F1837">
        <v>33.4819</v>
      </c>
      <c r="G1837">
        <v>68107.39</v>
      </c>
      <c r="H1837" s="1">
        <v>39161</v>
      </c>
      <c r="I1837" s="1">
        <v>39172</v>
      </c>
      <c r="J1837" t="s">
        <v>15</v>
      </c>
      <c r="K1837">
        <v>12</v>
      </c>
      <c r="L1837">
        <v>2000</v>
      </c>
      <c r="M1837" t="s">
        <v>16</v>
      </c>
      <c r="N1837">
        <v>1</v>
      </c>
    </row>
    <row r="1838" hidden="1" spans="1:14">
      <c r="A1838">
        <v>3104</v>
      </c>
      <c r="B1838" t="s">
        <v>483</v>
      </c>
      <c r="C1838" t="s">
        <v>131</v>
      </c>
      <c r="D1838">
        <v>0</v>
      </c>
      <c r="E1838">
        <v>94.0189</v>
      </c>
      <c r="F1838">
        <v>26.2558</v>
      </c>
      <c r="G1838">
        <v>74887.52</v>
      </c>
      <c r="H1838" s="1">
        <v>39251</v>
      </c>
      <c r="I1838" s="1">
        <v>39259</v>
      </c>
      <c r="J1838" t="s">
        <v>15</v>
      </c>
      <c r="K1838">
        <v>15</v>
      </c>
      <c r="L1838">
        <v>200000</v>
      </c>
      <c r="M1838" t="s">
        <v>23</v>
      </c>
      <c r="N1838">
        <v>1</v>
      </c>
    </row>
    <row r="1839" hidden="1" spans="1:14">
      <c r="A1839">
        <v>3107</v>
      </c>
      <c r="B1839" t="s">
        <v>484</v>
      </c>
      <c r="C1839" t="s">
        <v>131</v>
      </c>
      <c r="D1839">
        <v>0</v>
      </c>
      <c r="E1839">
        <v>78.1615</v>
      </c>
      <c r="F1839">
        <v>14.945</v>
      </c>
      <c r="G1839">
        <v>450564.36</v>
      </c>
      <c r="H1839" s="1">
        <v>39255</v>
      </c>
      <c r="I1839" s="1">
        <v>39267</v>
      </c>
      <c r="J1839" t="s">
        <v>15</v>
      </c>
      <c r="K1839">
        <v>127</v>
      </c>
      <c r="L1839">
        <v>200000</v>
      </c>
      <c r="M1839" t="s">
        <v>23</v>
      </c>
      <c r="N1839">
        <v>1</v>
      </c>
    </row>
    <row r="1840" hidden="1" spans="1:14">
      <c r="A1840">
        <v>3118</v>
      </c>
      <c r="B1840" t="s">
        <v>485</v>
      </c>
      <c r="C1840" t="s">
        <v>131</v>
      </c>
      <c r="D1840">
        <v>0</v>
      </c>
      <c r="E1840">
        <v>81.8601</v>
      </c>
      <c r="F1840">
        <v>20.0539</v>
      </c>
      <c r="G1840">
        <v>248438.85</v>
      </c>
      <c r="H1840" s="1">
        <v>39263</v>
      </c>
      <c r="I1840" s="1">
        <v>39276</v>
      </c>
      <c r="J1840" t="s">
        <v>15</v>
      </c>
      <c r="K1840">
        <v>29</v>
      </c>
      <c r="L1840">
        <v>50000</v>
      </c>
      <c r="M1840" t="s">
        <v>23</v>
      </c>
      <c r="N1840">
        <v>1</v>
      </c>
    </row>
    <row r="1841" hidden="1" spans="1:14">
      <c r="A1841">
        <v>3119</v>
      </c>
      <c r="B1841">
        <v>0</v>
      </c>
      <c r="C1841" t="s">
        <v>131</v>
      </c>
      <c r="D1841">
        <v>0</v>
      </c>
      <c r="E1841">
        <v>77.5237</v>
      </c>
      <c r="F1841">
        <v>21.0263</v>
      </c>
      <c r="G1841">
        <v>106578.44</v>
      </c>
      <c r="H1841" s="1">
        <v>39264</v>
      </c>
      <c r="I1841" s="1">
        <v>39269</v>
      </c>
      <c r="J1841" t="s">
        <v>15</v>
      </c>
      <c r="K1841">
        <v>62</v>
      </c>
      <c r="L1841">
        <v>10000</v>
      </c>
      <c r="M1841" t="s">
        <v>23</v>
      </c>
      <c r="N1841">
        <v>1</v>
      </c>
    </row>
    <row r="1842" hidden="1" spans="1:14">
      <c r="A1842">
        <v>3120</v>
      </c>
      <c r="B1842">
        <v>0</v>
      </c>
      <c r="C1842" t="s">
        <v>131</v>
      </c>
      <c r="D1842">
        <v>0</v>
      </c>
      <c r="E1842">
        <v>72.2495</v>
      </c>
      <c r="F1842">
        <v>22.0231</v>
      </c>
      <c r="G1842">
        <v>398939.17</v>
      </c>
      <c r="H1842" s="1">
        <v>39264</v>
      </c>
      <c r="I1842" s="1">
        <v>39276</v>
      </c>
      <c r="J1842" t="s">
        <v>15</v>
      </c>
      <c r="K1842">
        <v>225</v>
      </c>
      <c r="L1842">
        <v>63000</v>
      </c>
      <c r="M1842" t="s">
        <v>23</v>
      </c>
      <c r="N1842">
        <v>1</v>
      </c>
    </row>
    <row r="1843" hidden="1" spans="1:14">
      <c r="A1843">
        <v>3122</v>
      </c>
      <c r="B1843" t="s">
        <v>485</v>
      </c>
      <c r="C1843" t="s">
        <v>131</v>
      </c>
      <c r="D1843">
        <v>0</v>
      </c>
      <c r="E1843">
        <v>88.4871</v>
      </c>
      <c r="F1843">
        <v>22.6315</v>
      </c>
      <c r="G1843">
        <v>517303.2</v>
      </c>
      <c r="H1843" s="1">
        <v>39266</v>
      </c>
      <c r="I1843" s="1">
        <v>39347</v>
      </c>
      <c r="J1843" t="s">
        <v>15</v>
      </c>
      <c r="K1843">
        <v>958</v>
      </c>
      <c r="L1843">
        <v>3000000</v>
      </c>
      <c r="M1843" t="s">
        <v>23</v>
      </c>
      <c r="N1843">
        <v>1.5</v>
      </c>
    </row>
    <row r="1844" hidden="1" spans="1:14">
      <c r="A1844">
        <v>3128</v>
      </c>
      <c r="B1844">
        <v>0</v>
      </c>
      <c r="C1844" t="s">
        <v>131</v>
      </c>
      <c r="D1844">
        <v>0</v>
      </c>
      <c r="E1844">
        <v>95.263</v>
      </c>
      <c r="F1844">
        <v>27.5773</v>
      </c>
      <c r="G1844">
        <v>103551.73</v>
      </c>
      <c r="H1844" s="1">
        <v>39275</v>
      </c>
      <c r="I1844" s="1">
        <v>39365</v>
      </c>
      <c r="J1844" t="s">
        <v>15</v>
      </c>
      <c r="K1844">
        <v>96</v>
      </c>
      <c r="L1844">
        <v>11100000</v>
      </c>
      <c r="M1844" t="s">
        <v>23</v>
      </c>
      <c r="N1844">
        <v>1</v>
      </c>
    </row>
    <row r="1845" hidden="1" spans="1:14">
      <c r="A1845">
        <v>3131</v>
      </c>
      <c r="B1845">
        <v>0</v>
      </c>
      <c r="C1845" t="s">
        <v>131</v>
      </c>
      <c r="D1845">
        <v>0</v>
      </c>
      <c r="E1845">
        <v>76.3115</v>
      </c>
      <c r="F1845">
        <v>10.3906</v>
      </c>
      <c r="G1845">
        <v>24124.3</v>
      </c>
      <c r="H1845" s="1">
        <v>39279</v>
      </c>
      <c r="I1845" s="1">
        <v>39283</v>
      </c>
      <c r="J1845" t="s">
        <v>15</v>
      </c>
      <c r="K1845">
        <v>44</v>
      </c>
      <c r="L1845">
        <v>35000</v>
      </c>
      <c r="M1845" t="s">
        <v>23</v>
      </c>
      <c r="N1845">
        <v>1</v>
      </c>
    </row>
    <row r="1846" hidden="1" spans="1:14">
      <c r="A1846">
        <v>3150</v>
      </c>
      <c r="B1846">
        <v>0</v>
      </c>
      <c r="C1846" t="s">
        <v>131</v>
      </c>
      <c r="D1846">
        <v>0</v>
      </c>
      <c r="E1846">
        <v>86.1978</v>
      </c>
      <c r="F1846">
        <v>20.4525</v>
      </c>
      <c r="G1846">
        <v>15363.99</v>
      </c>
      <c r="H1846" s="1">
        <v>39297</v>
      </c>
      <c r="I1846" s="1">
        <v>39321</v>
      </c>
      <c r="J1846" t="s">
        <v>15</v>
      </c>
      <c r="K1846">
        <v>15</v>
      </c>
      <c r="L1846">
        <v>20000</v>
      </c>
      <c r="M1846" t="s">
        <v>23</v>
      </c>
      <c r="N1846">
        <v>1</v>
      </c>
    </row>
    <row r="1847" hidden="1" spans="1:14">
      <c r="A1847">
        <v>3160</v>
      </c>
      <c r="B1847">
        <v>0</v>
      </c>
      <c r="C1847" t="s">
        <v>131</v>
      </c>
      <c r="D1847">
        <v>0</v>
      </c>
      <c r="E1847">
        <v>70.925</v>
      </c>
      <c r="F1847">
        <v>22.6824</v>
      </c>
      <c r="G1847">
        <v>133805.7</v>
      </c>
      <c r="H1847" s="1">
        <v>39302</v>
      </c>
      <c r="I1847" s="1">
        <v>39309</v>
      </c>
      <c r="J1847" t="s">
        <v>15</v>
      </c>
      <c r="K1847">
        <v>12</v>
      </c>
      <c r="L1847">
        <v>0</v>
      </c>
      <c r="M1847" t="s">
        <v>23</v>
      </c>
      <c r="N1847">
        <v>1</v>
      </c>
    </row>
    <row r="1848" hidden="1" spans="1:14">
      <c r="A1848">
        <v>3164</v>
      </c>
      <c r="B1848">
        <v>0</v>
      </c>
      <c r="C1848" t="s">
        <v>131</v>
      </c>
      <c r="D1848">
        <v>0</v>
      </c>
      <c r="E1848">
        <v>76.5268</v>
      </c>
      <c r="F1848">
        <v>31.2388</v>
      </c>
      <c r="G1848">
        <v>191449.95</v>
      </c>
      <c r="H1848" s="1">
        <v>39306</v>
      </c>
      <c r="I1848" s="1">
        <v>39311</v>
      </c>
      <c r="J1848" t="s">
        <v>15</v>
      </c>
      <c r="K1848">
        <v>76</v>
      </c>
      <c r="L1848">
        <v>15000</v>
      </c>
      <c r="M1848" t="s">
        <v>23</v>
      </c>
      <c r="N1848">
        <v>1</v>
      </c>
    </row>
    <row r="1849" hidden="1" spans="1:14">
      <c r="A1849">
        <v>3191</v>
      </c>
      <c r="B1849">
        <v>0</v>
      </c>
      <c r="C1849" t="s">
        <v>131</v>
      </c>
      <c r="D1849">
        <v>0</v>
      </c>
      <c r="E1849">
        <v>79.878</v>
      </c>
      <c r="F1849">
        <v>15.7067</v>
      </c>
      <c r="G1849">
        <v>90279.71</v>
      </c>
      <c r="H1849" s="1">
        <v>39341</v>
      </c>
      <c r="I1849" s="1">
        <v>39362</v>
      </c>
      <c r="J1849" t="s">
        <v>15</v>
      </c>
      <c r="K1849">
        <v>94</v>
      </c>
      <c r="L1849">
        <v>20000</v>
      </c>
      <c r="M1849" t="s">
        <v>23</v>
      </c>
      <c r="N1849">
        <v>1</v>
      </c>
    </row>
    <row r="1850" hidden="1" spans="1:14">
      <c r="A1850">
        <v>3195</v>
      </c>
      <c r="B1850">
        <v>0</v>
      </c>
      <c r="C1850" t="s">
        <v>131</v>
      </c>
      <c r="D1850">
        <v>0</v>
      </c>
      <c r="E1850">
        <v>86.4033</v>
      </c>
      <c r="F1850">
        <v>20.9096</v>
      </c>
      <c r="G1850">
        <v>72007.74</v>
      </c>
      <c r="H1850" s="1">
        <v>39347</v>
      </c>
      <c r="I1850" s="1">
        <v>39363</v>
      </c>
      <c r="J1850" t="s">
        <v>15</v>
      </c>
      <c r="K1850">
        <v>80</v>
      </c>
      <c r="L1850">
        <v>400000</v>
      </c>
      <c r="M1850" t="s">
        <v>16</v>
      </c>
      <c r="N1850">
        <v>1</v>
      </c>
    </row>
    <row r="1851" hidden="1" spans="1:14">
      <c r="A1851">
        <v>3208</v>
      </c>
      <c r="B1851">
        <v>0</v>
      </c>
      <c r="C1851" t="s">
        <v>131</v>
      </c>
      <c r="D1851">
        <v>0</v>
      </c>
      <c r="E1851">
        <v>93.9705</v>
      </c>
      <c r="F1851">
        <v>24.7214</v>
      </c>
      <c r="G1851">
        <v>10886.11</v>
      </c>
      <c r="H1851" s="1">
        <v>39372</v>
      </c>
      <c r="I1851" s="1">
        <v>39379</v>
      </c>
      <c r="J1851" t="s">
        <v>15</v>
      </c>
      <c r="K1851">
        <v>2</v>
      </c>
      <c r="L1851">
        <v>30000</v>
      </c>
      <c r="M1851" t="s">
        <v>16</v>
      </c>
      <c r="N1851">
        <v>1.5</v>
      </c>
    </row>
    <row r="1852" hidden="1" spans="1:14">
      <c r="A1852">
        <v>3217</v>
      </c>
      <c r="B1852" t="s">
        <v>486</v>
      </c>
      <c r="C1852" t="s">
        <v>131</v>
      </c>
      <c r="D1852">
        <v>0</v>
      </c>
      <c r="E1852">
        <v>79.7002</v>
      </c>
      <c r="F1852">
        <v>12.725</v>
      </c>
      <c r="G1852">
        <v>76740.36</v>
      </c>
      <c r="H1852" s="1">
        <v>39382</v>
      </c>
      <c r="I1852" s="1">
        <v>39387</v>
      </c>
      <c r="J1852" t="s">
        <v>15</v>
      </c>
      <c r="K1852">
        <v>29</v>
      </c>
      <c r="L1852">
        <v>50000</v>
      </c>
      <c r="M1852" t="s">
        <v>16</v>
      </c>
      <c r="N1852">
        <v>1</v>
      </c>
    </row>
    <row r="1853" hidden="1" spans="1:14">
      <c r="A1853">
        <v>3286</v>
      </c>
      <c r="B1853">
        <v>0</v>
      </c>
      <c r="C1853" t="s">
        <v>131</v>
      </c>
      <c r="D1853">
        <v>0</v>
      </c>
      <c r="E1853">
        <v>78.7172</v>
      </c>
      <c r="F1853">
        <v>10.762</v>
      </c>
      <c r="G1853">
        <v>144329.28</v>
      </c>
      <c r="H1853" s="1">
        <v>39527</v>
      </c>
      <c r="I1853" s="1">
        <v>39534</v>
      </c>
      <c r="J1853" t="s">
        <v>15</v>
      </c>
      <c r="K1853">
        <v>37</v>
      </c>
      <c r="L1853">
        <v>10000</v>
      </c>
      <c r="M1853" t="s">
        <v>16</v>
      </c>
      <c r="N1853">
        <v>1</v>
      </c>
    </row>
    <row r="1854" hidden="1" spans="1:14">
      <c r="A1854">
        <v>3312</v>
      </c>
      <c r="B1854">
        <v>0</v>
      </c>
      <c r="C1854" t="s">
        <v>131</v>
      </c>
      <c r="D1854">
        <v>0</v>
      </c>
      <c r="E1854">
        <v>93.755</v>
      </c>
      <c r="F1854">
        <v>26.4</v>
      </c>
      <c r="G1854">
        <v>62279.3</v>
      </c>
      <c r="H1854" s="1">
        <v>39592</v>
      </c>
      <c r="I1854" s="1">
        <v>39596</v>
      </c>
      <c r="J1854" t="s">
        <v>15</v>
      </c>
      <c r="K1854">
        <v>0</v>
      </c>
      <c r="L1854">
        <v>0</v>
      </c>
      <c r="M1854" t="s">
        <v>16</v>
      </c>
      <c r="N1854">
        <v>1</v>
      </c>
    </row>
    <row r="1855" hidden="1" spans="1:14">
      <c r="A1855">
        <v>3318</v>
      </c>
      <c r="B1855" t="s">
        <v>487</v>
      </c>
      <c r="C1855" t="s">
        <v>131</v>
      </c>
      <c r="D1855">
        <v>0</v>
      </c>
      <c r="E1855">
        <v>91.5452</v>
      </c>
      <c r="F1855">
        <v>25.1835</v>
      </c>
      <c r="G1855">
        <v>350563.81</v>
      </c>
      <c r="H1855" s="1">
        <v>39606</v>
      </c>
      <c r="I1855" s="1">
        <v>39621</v>
      </c>
      <c r="J1855" t="s">
        <v>15</v>
      </c>
      <c r="K1855">
        <v>176</v>
      </c>
      <c r="L1855">
        <v>1600000</v>
      </c>
      <c r="M1855" t="s">
        <v>49</v>
      </c>
      <c r="N1855">
        <v>2</v>
      </c>
    </row>
    <row r="1856" hidden="1" spans="1:14">
      <c r="A1856">
        <v>3327</v>
      </c>
      <c r="B1856">
        <v>0</v>
      </c>
      <c r="C1856" t="s">
        <v>131</v>
      </c>
      <c r="E1856">
        <v>90.1201</v>
      </c>
      <c r="F1856">
        <v>25.2411</v>
      </c>
      <c r="G1856">
        <v>426531.54</v>
      </c>
      <c r="H1856" s="1">
        <v>39634</v>
      </c>
      <c r="I1856" s="1">
        <v>39643</v>
      </c>
      <c r="J1856" t="s">
        <v>15</v>
      </c>
      <c r="K1856">
        <v>350</v>
      </c>
      <c r="L1856">
        <v>70000</v>
      </c>
      <c r="M1856" t="s">
        <v>488</v>
      </c>
      <c r="N1856">
        <v>1.5</v>
      </c>
    </row>
    <row r="1857" hidden="1" spans="1:14">
      <c r="A1857">
        <v>3338</v>
      </c>
      <c r="C1857" t="s">
        <v>131</v>
      </c>
      <c r="E1857">
        <v>89.7871</v>
      </c>
      <c r="F1857">
        <v>27.4995</v>
      </c>
      <c r="G1857">
        <v>283806.15</v>
      </c>
      <c r="H1857" s="1">
        <v>39649</v>
      </c>
      <c r="I1857" s="1">
        <v>39668</v>
      </c>
      <c r="J1857" t="s">
        <v>15</v>
      </c>
      <c r="K1857">
        <v>142</v>
      </c>
      <c r="L1857">
        <v>225000</v>
      </c>
      <c r="M1857" t="s">
        <v>489</v>
      </c>
      <c r="N1857">
        <v>2</v>
      </c>
    </row>
    <row r="1858" hidden="1" spans="1:14">
      <c r="A1858">
        <v>3356</v>
      </c>
      <c r="B1858">
        <v>0</v>
      </c>
      <c r="C1858" t="s">
        <v>131</v>
      </c>
      <c r="D1858">
        <v>0</v>
      </c>
      <c r="E1858">
        <v>81.3801</v>
      </c>
      <c r="F1858">
        <v>16.6523</v>
      </c>
      <c r="G1858">
        <v>75487.93</v>
      </c>
      <c r="H1858" s="1">
        <v>39665</v>
      </c>
      <c r="I1858" s="1">
        <v>39671</v>
      </c>
      <c r="J1858" t="s">
        <v>15</v>
      </c>
      <c r="K1858">
        <v>74</v>
      </c>
      <c r="L1858">
        <v>0</v>
      </c>
      <c r="M1858" t="s">
        <v>490</v>
      </c>
      <c r="N1858">
        <v>1.5</v>
      </c>
    </row>
    <row r="1859" hidden="1" spans="1:14">
      <c r="A1859">
        <v>3372</v>
      </c>
      <c r="B1859">
        <v>0</v>
      </c>
      <c r="C1859" t="s">
        <v>131</v>
      </c>
      <c r="D1859">
        <v>0</v>
      </c>
      <c r="E1859">
        <v>94.5503</v>
      </c>
      <c r="F1859">
        <v>27.0442</v>
      </c>
      <c r="G1859">
        <v>80590.45</v>
      </c>
      <c r="H1859" s="1">
        <v>39690</v>
      </c>
      <c r="I1859" s="1">
        <v>39699</v>
      </c>
      <c r="J1859" t="s">
        <v>15</v>
      </c>
      <c r="K1859">
        <v>900</v>
      </c>
      <c r="L1859">
        <v>1000000</v>
      </c>
      <c r="M1859" t="s">
        <v>138</v>
      </c>
      <c r="N1859">
        <v>1.5</v>
      </c>
    </row>
    <row r="1860" hidden="1" spans="1:14">
      <c r="A1860">
        <v>3382</v>
      </c>
      <c r="B1860">
        <v>0</v>
      </c>
      <c r="C1860" t="s">
        <v>131</v>
      </c>
      <c r="D1860">
        <v>0</v>
      </c>
      <c r="E1860">
        <v>84.4064</v>
      </c>
      <c r="F1860">
        <v>20.9522</v>
      </c>
      <c r="G1860">
        <v>464318</v>
      </c>
      <c r="H1860" s="1">
        <v>39713</v>
      </c>
      <c r="I1860" s="1">
        <v>39720</v>
      </c>
      <c r="J1860" t="s">
        <v>15</v>
      </c>
      <c r="K1860">
        <v>2400</v>
      </c>
      <c r="L1860">
        <v>0</v>
      </c>
      <c r="M1860" t="s">
        <v>491</v>
      </c>
      <c r="N1860">
        <v>2</v>
      </c>
    </row>
    <row r="1861" hidden="1" spans="1:14">
      <c r="A1861">
        <v>3497</v>
      </c>
      <c r="C1861" t="s">
        <v>131</v>
      </c>
      <c r="E1861">
        <v>84.7692</v>
      </c>
      <c r="F1861">
        <v>20.2249</v>
      </c>
      <c r="G1861">
        <v>99876.58</v>
      </c>
      <c r="H1861" s="1">
        <v>39995</v>
      </c>
      <c r="I1861" s="1">
        <v>40000</v>
      </c>
      <c r="J1861" t="s">
        <v>15</v>
      </c>
      <c r="K1861">
        <v>0</v>
      </c>
      <c r="L1861">
        <v>500000</v>
      </c>
      <c r="M1861" t="s">
        <v>49</v>
      </c>
      <c r="N1861">
        <v>1</v>
      </c>
    </row>
    <row r="1862" hidden="1" spans="1:14">
      <c r="A1862">
        <v>3504</v>
      </c>
      <c r="B1862">
        <v>0</v>
      </c>
      <c r="C1862" t="s">
        <v>131</v>
      </c>
      <c r="D1862">
        <v>0</v>
      </c>
      <c r="E1862">
        <v>74.7271</v>
      </c>
      <c r="F1862">
        <v>15.3059</v>
      </c>
      <c r="G1862">
        <v>63616.23</v>
      </c>
      <c r="H1862" s="1">
        <v>40005</v>
      </c>
      <c r="I1862" s="1">
        <v>40011</v>
      </c>
      <c r="J1862" t="s">
        <v>15</v>
      </c>
      <c r="K1862">
        <v>0</v>
      </c>
      <c r="L1862">
        <v>0</v>
      </c>
      <c r="M1862" t="s">
        <v>49</v>
      </c>
      <c r="N1862">
        <v>1</v>
      </c>
    </row>
    <row r="1863" hidden="1" spans="1:14">
      <c r="A1863">
        <v>3496</v>
      </c>
      <c r="B1863" t="s">
        <v>492</v>
      </c>
      <c r="C1863" t="s">
        <v>131</v>
      </c>
      <c r="D1863">
        <v>0</v>
      </c>
      <c r="E1863">
        <v>93.8215</v>
      </c>
      <c r="F1863">
        <v>27.481</v>
      </c>
      <c r="G1863">
        <v>128962.3</v>
      </c>
      <c r="H1863" s="1">
        <v>39997</v>
      </c>
      <c r="I1863" s="1">
        <v>40000</v>
      </c>
      <c r="J1863" t="s">
        <v>15</v>
      </c>
      <c r="K1863">
        <v>6</v>
      </c>
      <c r="L1863">
        <v>0</v>
      </c>
      <c r="M1863" t="s">
        <v>52</v>
      </c>
      <c r="N1863">
        <v>1</v>
      </c>
    </row>
    <row r="1864" hidden="1" spans="1:14">
      <c r="A1864">
        <v>3519</v>
      </c>
      <c r="B1864">
        <v>0</v>
      </c>
      <c r="C1864" t="s">
        <v>131</v>
      </c>
      <c r="D1864">
        <v>0</v>
      </c>
      <c r="E1864">
        <v>85.5</v>
      </c>
      <c r="F1864">
        <v>26.5</v>
      </c>
      <c r="G1864">
        <v>21198.81</v>
      </c>
      <c r="H1864" s="1">
        <v>40026</v>
      </c>
      <c r="I1864" s="1">
        <v>40029</v>
      </c>
      <c r="J1864">
        <v>0</v>
      </c>
      <c r="K1864">
        <v>0</v>
      </c>
      <c r="L1864">
        <v>3000</v>
      </c>
      <c r="M1864" t="s">
        <v>493</v>
      </c>
      <c r="N1864">
        <v>1.5</v>
      </c>
    </row>
    <row r="1865" hidden="1" spans="1:14">
      <c r="A1865">
        <v>3529</v>
      </c>
      <c r="B1865">
        <v>0</v>
      </c>
      <c r="C1865" t="s">
        <v>131</v>
      </c>
      <c r="D1865">
        <v>0</v>
      </c>
      <c r="E1865">
        <v>80.7483</v>
      </c>
      <c r="F1865">
        <v>27.629</v>
      </c>
      <c r="G1865">
        <v>84897.57</v>
      </c>
      <c r="H1865" s="1">
        <v>40040</v>
      </c>
      <c r="I1865" s="1">
        <v>40052</v>
      </c>
      <c r="J1865">
        <v>0</v>
      </c>
      <c r="K1865">
        <v>14</v>
      </c>
      <c r="L1865">
        <v>1000000</v>
      </c>
      <c r="M1865" t="s">
        <v>494</v>
      </c>
      <c r="N1865">
        <v>1</v>
      </c>
    </row>
    <row r="1866" hidden="1" spans="1:14">
      <c r="A1866">
        <v>3530</v>
      </c>
      <c r="B1866">
        <v>0</v>
      </c>
      <c r="C1866" t="s">
        <v>131</v>
      </c>
      <c r="D1866">
        <v>0</v>
      </c>
      <c r="E1866">
        <v>94.143</v>
      </c>
      <c r="F1866">
        <v>26.8177</v>
      </c>
      <c r="G1866">
        <v>72244.8</v>
      </c>
      <c r="H1866" s="1">
        <v>40043</v>
      </c>
      <c r="I1866" s="1">
        <v>40052</v>
      </c>
      <c r="J1866">
        <v>0</v>
      </c>
      <c r="K1866">
        <v>0</v>
      </c>
      <c r="L1866">
        <v>300000</v>
      </c>
      <c r="M1866" t="s">
        <v>488</v>
      </c>
      <c r="N1866">
        <v>1</v>
      </c>
    </row>
    <row r="1867" hidden="1" spans="1:14">
      <c r="A1867">
        <v>3539</v>
      </c>
      <c r="B1867">
        <v>0</v>
      </c>
      <c r="C1867" t="s">
        <v>131</v>
      </c>
      <c r="D1867">
        <v>0</v>
      </c>
      <c r="E1867">
        <v>88.0605</v>
      </c>
      <c r="F1867">
        <v>22.5263</v>
      </c>
      <c r="G1867">
        <v>25504.05</v>
      </c>
      <c r="H1867" s="1">
        <v>40062</v>
      </c>
      <c r="I1867" s="1">
        <v>40066</v>
      </c>
      <c r="J1867">
        <v>0</v>
      </c>
      <c r="K1867">
        <v>0</v>
      </c>
      <c r="L1867">
        <v>37000</v>
      </c>
      <c r="M1867" t="s">
        <v>495</v>
      </c>
      <c r="N1867">
        <v>2</v>
      </c>
    </row>
    <row r="1868" hidden="1" spans="1:14">
      <c r="A1868">
        <v>3551</v>
      </c>
      <c r="B1868" t="s">
        <v>496</v>
      </c>
      <c r="C1868" t="s">
        <v>131</v>
      </c>
      <c r="D1868">
        <v>0</v>
      </c>
      <c r="E1868">
        <v>78.233</v>
      </c>
      <c r="F1868">
        <v>15.7081</v>
      </c>
      <c r="G1868">
        <v>309688.88</v>
      </c>
      <c r="H1868" s="1">
        <v>40081</v>
      </c>
      <c r="I1868" s="1">
        <v>40098</v>
      </c>
      <c r="J1868">
        <v>0</v>
      </c>
      <c r="K1868">
        <v>303</v>
      </c>
      <c r="L1868">
        <v>0</v>
      </c>
      <c r="M1868" t="s">
        <v>49</v>
      </c>
      <c r="N1868">
        <v>2</v>
      </c>
    </row>
    <row r="1869" hidden="1" spans="1:14">
      <c r="A1869">
        <v>3566</v>
      </c>
      <c r="B1869" t="s">
        <v>497</v>
      </c>
      <c r="C1869" t="s">
        <v>131</v>
      </c>
      <c r="D1869">
        <v>0</v>
      </c>
      <c r="E1869">
        <v>77.8452</v>
      </c>
      <c r="F1869">
        <v>11.4729</v>
      </c>
      <c r="G1869">
        <v>35725.31</v>
      </c>
      <c r="H1869" s="1">
        <v>40120</v>
      </c>
      <c r="I1869" s="1">
        <v>40125</v>
      </c>
      <c r="J1869">
        <v>0</v>
      </c>
      <c r="K1869">
        <v>70</v>
      </c>
      <c r="L1869">
        <v>0</v>
      </c>
      <c r="M1869" t="s">
        <v>52</v>
      </c>
      <c r="N1869">
        <v>1.5</v>
      </c>
    </row>
    <row r="1870" hidden="1" spans="1:14">
      <c r="A1870">
        <v>3626</v>
      </c>
      <c r="B1870">
        <v>0</v>
      </c>
      <c r="C1870" t="s">
        <v>131</v>
      </c>
      <c r="D1870">
        <v>0</v>
      </c>
      <c r="E1870">
        <v>94.6126</v>
      </c>
      <c r="F1870">
        <v>27.2504</v>
      </c>
      <c r="G1870">
        <v>16885.63</v>
      </c>
      <c r="H1870" s="1">
        <v>40261</v>
      </c>
      <c r="I1870" s="1">
        <v>40263</v>
      </c>
      <c r="J1870">
        <v>0</v>
      </c>
      <c r="K1870">
        <v>0</v>
      </c>
      <c r="L1870">
        <v>0</v>
      </c>
      <c r="M1870" t="s">
        <v>488</v>
      </c>
      <c r="N1870">
        <v>1</v>
      </c>
    </row>
    <row r="1871" hidden="1" spans="1:14">
      <c r="A1871">
        <v>3636</v>
      </c>
      <c r="B1871">
        <v>0</v>
      </c>
      <c r="C1871" t="s">
        <v>131</v>
      </c>
      <c r="D1871">
        <v>0</v>
      </c>
      <c r="E1871">
        <v>91.8623</v>
      </c>
      <c r="F1871">
        <v>26.3166</v>
      </c>
      <c r="G1871">
        <v>13472.46</v>
      </c>
      <c r="H1871" s="1">
        <v>40286</v>
      </c>
      <c r="I1871" s="1">
        <v>40289</v>
      </c>
      <c r="J1871">
        <v>0</v>
      </c>
      <c r="K1871">
        <v>0</v>
      </c>
      <c r="L1871">
        <v>300</v>
      </c>
      <c r="M1871" t="s">
        <v>49</v>
      </c>
      <c r="N1871">
        <v>2</v>
      </c>
    </row>
    <row r="1872" hidden="1" spans="1:14">
      <c r="A1872">
        <v>3650</v>
      </c>
      <c r="B1872">
        <v>0</v>
      </c>
      <c r="C1872" t="s">
        <v>131</v>
      </c>
      <c r="D1872">
        <v>0</v>
      </c>
      <c r="E1872">
        <v>93.1226</v>
      </c>
      <c r="F1872">
        <v>26.6381</v>
      </c>
      <c r="G1872">
        <v>23813.35</v>
      </c>
      <c r="H1872" s="1">
        <v>40313</v>
      </c>
      <c r="I1872" s="1">
        <v>40355</v>
      </c>
      <c r="J1872">
        <v>0</v>
      </c>
      <c r="K1872">
        <v>0</v>
      </c>
      <c r="L1872">
        <v>10000</v>
      </c>
      <c r="M1872" t="s">
        <v>54</v>
      </c>
      <c r="N1872">
        <v>1.5</v>
      </c>
    </row>
    <row r="1873" hidden="1" spans="1:14">
      <c r="A1873">
        <v>3652</v>
      </c>
      <c r="B1873" t="s">
        <v>498</v>
      </c>
      <c r="C1873" t="s">
        <v>131</v>
      </c>
      <c r="D1873">
        <v>0</v>
      </c>
      <c r="E1873">
        <v>79.4844</v>
      </c>
      <c r="F1873">
        <v>15.2182</v>
      </c>
      <c r="G1873">
        <v>63171.41</v>
      </c>
      <c r="H1873" s="1">
        <v>40316</v>
      </c>
      <c r="I1873" s="1">
        <v>40322</v>
      </c>
      <c r="J1873">
        <v>0</v>
      </c>
      <c r="K1873">
        <v>27</v>
      </c>
      <c r="L1873">
        <v>50000</v>
      </c>
      <c r="M1873" t="s">
        <v>16</v>
      </c>
      <c r="N1873">
        <v>1</v>
      </c>
    </row>
    <row r="1874" hidden="1" spans="1:14">
      <c r="A1874">
        <v>3674</v>
      </c>
      <c r="B1874" t="s">
        <v>499</v>
      </c>
      <c r="C1874" t="s">
        <v>131</v>
      </c>
      <c r="E1874">
        <v>74.7785</v>
      </c>
      <c r="F1874">
        <v>30.1895</v>
      </c>
      <c r="G1874">
        <v>147437.23</v>
      </c>
      <c r="H1874" s="1">
        <v>40364</v>
      </c>
      <c r="I1874" s="1">
        <v>40374</v>
      </c>
      <c r="J1874">
        <v>0</v>
      </c>
      <c r="K1874">
        <v>98</v>
      </c>
      <c r="L1874">
        <v>523000</v>
      </c>
      <c r="M1874" t="s">
        <v>54</v>
      </c>
      <c r="N1874">
        <v>1</v>
      </c>
    </row>
    <row r="1875" hidden="1" spans="1:14">
      <c r="A1875">
        <v>3682</v>
      </c>
      <c r="B1875">
        <v>0</v>
      </c>
      <c r="C1875" t="s">
        <v>131</v>
      </c>
      <c r="D1875">
        <v>0</v>
      </c>
      <c r="E1875">
        <v>86.1983</v>
      </c>
      <c r="F1875">
        <v>25.5869</v>
      </c>
      <c r="G1875">
        <v>192748.71</v>
      </c>
      <c r="H1875" s="1">
        <v>40371</v>
      </c>
      <c r="I1875" s="1">
        <v>40373</v>
      </c>
      <c r="J1875">
        <v>0</v>
      </c>
      <c r="K1875">
        <v>0</v>
      </c>
      <c r="L1875">
        <v>5000</v>
      </c>
      <c r="M1875" t="s">
        <v>54</v>
      </c>
      <c r="N1875">
        <v>1</v>
      </c>
    </row>
    <row r="1876" hidden="1" spans="1:14">
      <c r="A1876">
        <v>3700</v>
      </c>
      <c r="B1876">
        <v>0</v>
      </c>
      <c r="C1876" t="s">
        <v>131</v>
      </c>
      <c r="D1876">
        <v>0</v>
      </c>
      <c r="E1876">
        <v>76.1256</v>
      </c>
      <c r="F1876">
        <v>33.5267</v>
      </c>
      <c r="G1876">
        <v>145020.41</v>
      </c>
      <c r="H1876" s="1">
        <v>40396</v>
      </c>
      <c r="I1876" s="1">
        <v>40398</v>
      </c>
      <c r="J1876" t="s">
        <v>15</v>
      </c>
      <c r="K1876">
        <v>150</v>
      </c>
      <c r="L1876">
        <v>180</v>
      </c>
      <c r="M1876" t="s">
        <v>52</v>
      </c>
      <c r="N1876">
        <v>1.5</v>
      </c>
    </row>
    <row r="1877" hidden="1" spans="1:14">
      <c r="A1877">
        <v>3710</v>
      </c>
      <c r="B1877">
        <v>0</v>
      </c>
      <c r="C1877" t="s">
        <v>131</v>
      </c>
      <c r="D1877">
        <v>0</v>
      </c>
      <c r="E1877">
        <v>76.05</v>
      </c>
      <c r="F1877">
        <v>25.965</v>
      </c>
      <c r="G1877">
        <v>10843.63</v>
      </c>
      <c r="H1877" s="1">
        <v>40426</v>
      </c>
      <c r="I1877" s="1">
        <v>40449</v>
      </c>
      <c r="J1877" t="s">
        <v>15</v>
      </c>
      <c r="K1877">
        <v>0</v>
      </c>
      <c r="L1877">
        <v>12500</v>
      </c>
      <c r="M1877" t="s">
        <v>52</v>
      </c>
      <c r="N1877">
        <v>1</v>
      </c>
    </row>
    <row r="1878" hidden="1" spans="1:14">
      <c r="A1878">
        <v>3712</v>
      </c>
      <c r="B1878">
        <v>0</v>
      </c>
      <c r="C1878" t="s">
        <v>131</v>
      </c>
      <c r="D1878">
        <v>0</v>
      </c>
      <c r="E1878">
        <v>80.055</v>
      </c>
      <c r="F1878">
        <v>16.29</v>
      </c>
      <c r="G1878">
        <v>15951.54</v>
      </c>
      <c r="H1878" s="1">
        <v>40422</v>
      </c>
      <c r="I1878" s="1">
        <v>40438</v>
      </c>
      <c r="J1878" t="s">
        <v>15</v>
      </c>
      <c r="K1878">
        <v>0</v>
      </c>
      <c r="L1878">
        <v>78000</v>
      </c>
      <c r="M1878" t="s">
        <v>138</v>
      </c>
      <c r="N1878">
        <v>1.5</v>
      </c>
    </row>
    <row r="1879" hidden="1" spans="1:14">
      <c r="A1879">
        <v>3713</v>
      </c>
      <c r="B1879">
        <v>0</v>
      </c>
      <c r="C1879" t="s">
        <v>131</v>
      </c>
      <c r="D1879">
        <v>0</v>
      </c>
      <c r="E1879">
        <v>92.25</v>
      </c>
      <c r="F1879">
        <v>26.235</v>
      </c>
      <c r="G1879">
        <v>12555.81</v>
      </c>
      <c r="H1879" s="1">
        <v>40426</v>
      </c>
      <c r="I1879" s="1">
        <v>40438</v>
      </c>
      <c r="J1879" t="s">
        <v>15</v>
      </c>
      <c r="K1879">
        <v>1</v>
      </c>
      <c r="L1879">
        <v>30000</v>
      </c>
      <c r="M1879" t="s">
        <v>500</v>
      </c>
      <c r="N1879">
        <v>1.5</v>
      </c>
    </row>
    <row r="1880" hidden="1" spans="1:14">
      <c r="A1880">
        <v>3717</v>
      </c>
      <c r="B1880">
        <v>0</v>
      </c>
      <c r="C1880" t="s">
        <v>131</v>
      </c>
      <c r="D1880">
        <v>0</v>
      </c>
      <c r="E1880">
        <v>82.845</v>
      </c>
      <c r="F1880">
        <v>26.73</v>
      </c>
      <c r="G1880">
        <v>38537.96</v>
      </c>
      <c r="H1880" s="1">
        <v>40439</v>
      </c>
      <c r="I1880" s="1">
        <v>40451</v>
      </c>
      <c r="J1880" t="s">
        <v>15</v>
      </c>
      <c r="K1880">
        <v>88</v>
      </c>
      <c r="L1880">
        <v>15000</v>
      </c>
      <c r="M1880" t="s">
        <v>138</v>
      </c>
      <c r="N1880">
        <v>1.5</v>
      </c>
    </row>
    <row r="1881" hidden="1" spans="1:14">
      <c r="A1881">
        <v>3718</v>
      </c>
      <c r="B1881">
        <v>0</v>
      </c>
      <c r="C1881" t="s">
        <v>131</v>
      </c>
      <c r="D1881">
        <v>0</v>
      </c>
      <c r="E1881">
        <v>87.75</v>
      </c>
      <c r="F1881">
        <v>25.695</v>
      </c>
      <c r="G1881">
        <v>11289.64</v>
      </c>
      <c r="H1881" s="1">
        <v>40439</v>
      </c>
      <c r="I1881" s="1">
        <v>40441</v>
      </c>
      <c r="J1881" t="s">
        <v>15</v>
      </c>
      <c r="K1881">
        <v>0</v>
      </c>
      <c r="L1881">
        <v>0</v>
      </c>
      <c r="M1881" t="s">
        <v>138</v>
      </c>
      <c r="N1881">
        <v>1</v>
      </c>
    </row>
    <row r="1882" hidden="1" spans="1:14">
      <c r="A1882">
        <v>3757</v>
      </c>
      <c r="B1882" t="s">
        <v>501</v>
      </c>
      <c r="C1882" t="s">
        <v>131</v>
      </c>
      <c r="D1882">
        <v>0</v>
      </c>
      <c r="E1882">
        <v>78.4773</v>
      </c>
      <c r="F1882">
        <v>9.88679</v>
      </c>
      <c r="G1882">
        <v>57474.5</v>
      </c>
      <c r="H1882" s="1">
        <v>40497</v>
      </c>
      <c r="I1882" s="1">
        <v>40519</v>
      </c>
      <c r="J1882" t="s">
        <v>15</v>
      </c>
      <c r="K1882">
        <v>170</v>
      </c>
      <c r="L1882">
        <v>0</v>
      </c>
      <c r="M1882" t="s">
        <v>488</v>
      </c>
      <c r="N1882">
        <v>1.5</v>
      </c>
    </row>
    <row r="1883" hidden="1" spans="1:14">
      <c r="A1883">
        <v>3816</v>
      </c>
      <c r="C1883" t="s">
        <v>131</v>
      </c>
      <c r="E1883">
        <v>76.7588</v>
      </c>
      <c r="F1883">
        <v>10.8365</v>
      </c>
      <c r="G1883">
        <v>20807.38</v>
      </c>
      <c r="H1883" s="1">
        <v>40695</v>
      </c>
      <c r="I1883" s="1">
        <v>40707</v>
      </c>
      <c r="J1883" t="s">
        <v>15</v>
      </c>
      <c r="K1883">
        <v>4</v>
      </c>
      <c r="L1883">
        <v>500</v>
      </c>
      <c r="M1883" t="s">
        <v>54</v>
      </c>
      <c r="N1883">
        <v>1</v>
      </c>
    </row>
    <row r="1884" hidden="1" spans="1:14">
      <c r="A1884">
        <v>3825</v>
      </c>
      <c r="C1884" t="s">
        <v>131</v>
      </c>
      <c r="E1884">
        <v>85.8723</v>
      </c>
      <c r="F1884">
        <v>20.7933</v>
      </c>
      <c r="G1884">
        <v>41239.79</v>
      </c>
      <c r="H1884" s="1">
        <v>40712</v>
      </c>
      <c r="I1884" s="1">
        <v>40715</v>
      </c>
      <c r="J1884" t="s">
        <v>15</v>
      </c>
      <c r="K1884">
        <v>5</v>
      </c>
      <c r="L1884">
        <v>0</v>
      </c>
      <c r="M1884" t="s">
        <v>52</v>
      </c>
      <c r="N1884">
        <v>1</v>
      </c>
    </row>
    <row r="1885" hidden="1" spans="1:14">
      <c r="A1885">
        <v>3834</v>
      </c>
      <c r="C1885" t="s">
        <v>131</v>
      </c>
      <c r="E1885">
        <v>86.1969</v>
      </c>
      <c r="F1885">
        <v>26.0844</v>
      </c>
      <c r="G1885">
        <v>42377.33</v>
      </c>
      <c r="H1885" s="1">
        <v>40725</v>
      </c>
      <c r="I1885" s="1">
        <v>40746</v>
      </c>
      <c r="J1885" t="s">
        <v>15</v>
      </c>
      <c r="K1885">
        <v>0</v>
      </c>
      <c r="L1885">
        <v>3000</v>
      </c>
      <c r="M1885" t="s">
        <v>54</v>
      </c>
      <c r="N1885">
        <v>1</v>
      </c>
    </row>
    <row r="1886" hidden="1" spans="1:14">
      <c r="A1886">
        <v>3835</v>
      </c>
      <c r="C1886" t="s">
        <v>131</v>
      </c>
      <c r="E1886">
        <v>94.0349</v>
      </c>
      <c r="F1886">
        <v>27.3624</v>
      </c>
      <c r="G1886">
        <v>27203.38</v>
      </c>
      <c r="H1886" s="1">
        <v>40725</v>
      </c>
      <c r="I1886" s="1">
        <v>40746</v>
      </c>
      <c r="J1886" t="s">
        <v>15</v>
      </c>
      <c r="K1886">
        <v>0</v>
      </c>
      <c r="L1886">
        <v>0</v>
      </c>
      <c r="M1886" t="s">
        <v>54</v>
      </c>
      <c r="N1886">
        <v>1</v>
      </c>
    </row>
    <row r="1887" hidden="1" spans="1:14">
      <c r="A1887">
        <v>3845</v>
      </c>
      <c r="C1887" t="s">
        <v>131</v>
      </c>
      <c r="D1887" t="s">
        <v>475</v>
      </c>
      <c r="E1887">
        <v>80.9261</v>
      </c>
      <c r="F1887">
        <v>28.5244</v>
      </c>
      <c r="G1887">
        <v>85509.51</v>
      </c>
      <c r="H1887" s="1">
        <v>40747</v>
      </c>
      <c r="I1887" s="1">
        <v>40764</v>
      </c>
      <c r="J1887" t="s">
        <v>15</v>
      </c>
      <c r="K1887">
        <v>19</v>
      </c>
      <c r="L1887">
        <v>200000</v>
      </c>
      <c r="M1887" t="s">
        <v>502</v>
      </c>
      <c r="N1887">
        <v>1.5</v>
      </c>
    </row>
    <row r="1888" hidden="1" spans="1:14">
      <c r="A1888">
        <v>3852</v>
      </c>
      <c r="C1888" t="s">
        <v>131</v>
      </c>
      <c r="D1888" t="s">
        <v>132</v>
      </c>
      <c r="E1888">
        <v>88.3453</v>
      </c>
      <c r="F1888">
        <v>22.3056</v>
      </c>
      <c r="G1888">
        <v>28684.15</v>
      </c>
      <c r="H1888" s="1">
        <v>40765</v>
      </c>
      <c r="I1888" s="1">
        <v>40799</v>
      </c>
      <c r="J1888" t="s">
        <v>15</v>
      </c>
      <c r="K1888">
        <v>47</v>
      </c>
      <c r="L1888">
        <v>700000</v>
      </c>
      <c r="M1888" t="s">
        <v>54</v>
      </c>
      <c r="N1888">
        <v>2</v>
      </c>
    </row>
    <row r="1889" hidden="1" spans="1:14">
      <c r="A1889">
        <v>3854</v>
      </c>
      <c r="C1889" t="s">
        <v>131</v>
      </c>
      <c r="D1889" t="s">
        <v>475</v>
      </c>
      <c r="E1889">
        <v>86.2422</v>
      </c>
      <c r="F1889">
        <v>26.3755</v>
      </c>
      <c r="G1889">
        <v>40941.51</v>
      </c>
      <c r="H1889" s="1">
        <v>40770</v>
      </c>
      <c r="I1889" s="1">
        <v>40818</v>
      </c>
      <c r="J1889" t="s">
        <v>15</v>
      </c>
      <c r="K1889">
        <v>158</v>
      </c>
      <c r="L1889">
        <v>70000</v>
      </c>
      <c r="M1889" t="s">
        <v>54</v>
      </c>
      <c r="N1889">
        <v>2</v>
      </c>
    </row>
    <row r="1890" hidden="1" spans="1:14">
      <c r="A1890">
        <v>3856</v>
      </c>
      <c r="C1890" t="s">
        <v>131</v>
      </c>
      <c r="E1890">
        <v>92.1815</v>
      </c>
      <c r="F1890">
        <v>26.5897</v>
      </c>
      <c r="G1890">
        <v>50117.38</v>
      </c>
      <c r="H1890" s="1">
        <v>40770</v>
      </c>
      <c r="I1890" s="1">
        <v>40794</v>
      </c>
      <c r="J1890" t="s">
        <v>15</v>
      </c>
      <c r="K1890">
        <v>7</v>
      </c>
      <c r="L1890">
        <v>11000</v>
      </c>
      <c r="M1890" t="s">
        <v>54</v>
      </c>
      <c r="N1890">
        <v>1.5</v>
      </c>
    </row>
    <row r="1891" hidden="1" spans="1:14">
      <c r="A1891">
        <v>3864</v>
      </c>
      <c r="C1891" t="s">
        <v>131</v>
      </c>
      <c r="E1891">
        <v>73.9531</v>
      </c>
      <c r="F1891">
        <v>22.3021</v>
      </c>
      <c r="G1891">
        <v>33056.09</v>
      </c>
      <c r="H1891" s="1">
        <v>40780</v>
      </c>
      <c r="I1891" s="1">
        <v>40799</v>
      </c>
      <c r="J1891" t="s">
        <v>15</v>
      </c>
      <c r="K1891">
        <v>0</v>
      </c>
      <c r="L1891">
        <v>5000</v>
      </c>
      <c r="M1891" t="s">
        <v>54</v>
      </c>
      <c r="N1891">
        <v>1.5</v>
      </c>
    </row>
    <row r="1892" hidden="1" spans="1:14">
      <c r="A1892">
        <v>3866</v>
      </c>
      <c r="C1892" t="s">
        <v>131</v>
      </c>
      <c r="E1892">
        <v>86.0022</v>
      </c>
      <c r="F1892">
        <v>20.6511</v>
      </c>
      <c r="G1892">
        <v>27751.69</v>
      </c>
      <c r="H1892" s="1">
        <v>40791</v>
      </c>
      <c r="I1892" s="1">
        <v>40818</v>
      </c>
      <c r="J1892" t="s">
        <v>15</v>
      </c>
      <c r="K1892">
        <v>40</v>
      </c>
      <c r="L1892">
        <v>15000</v>
      </c>
      <c r="M1892" t="s">
        <v>54</v>
      </c>
      <c r="N1892">
        <v>1.5</v>
      </c>
    </row>
    <row r="1893" hidden="1" spans="1:14">
      <c r="A1893">
        <v>3934</v>
      </c>
      <c r="C1893" t="s">
        <v>131</v>
      </c>
      <c r="E1893">
        <v>92.4354</v>
      </c>
      <c r="F1893">
        <v>26.5659</v>
      </c>
      <c r="G1893">
        <v>29190.16</v>
      </c>
      <c r="H1893" s="1">
        <v>41066</v>
      </c>
      <c r="I1893" s="1">
        <v>41106</v>
      </c>
      <c r="J1893" t="s">
        <v>15</v>
      </c>
      <c r="K1893">
        <v>109</v>
      </c>
      <c r="L1893">
        <v>400000</v>
      </c>
      <c r="M1893" t="s">
        <v>54</v>
      </c>
      <c r="N1893">
        <v>1.5</v>
      </c>
    </row>
    <row r="1894" hidden="1" spans="1:14">
      <c r="A1894">
        <v>3945</v>
      </c>
      <c r="C1894" t="s">
        <v>131</v>
      </c>
      <c r="E1894">
        <v>86.557</v>
      </c>
      <c r="F1894">
        <v>26.1094</v>
      </c>
      <c r="G1894">
        <v>2638.64</v>
      </c>
      <c r="H1894" s="1">
        <v>41094</v>
      </c>
      <c r="I1894" s="1">
        <v>41113</v>
      </c>
      <c r="J1894" t="s">
        <v>15</v>
      </c>
      <c r="K1894">
        <v>9</v>
      </c>
      <c r="L1894">
        <v>1500</v>
      </c>
      <c r="M1894" t="s">
        <v>54</v>
      </c>
      <c r="N1894">
        <v>1</v>
      </c>
    </row>
    <row r="1895" hidden="1" spans="1:14">
      <c r="A1895">
        <v>3959</v>
      </c>
      <c r="C1895" t="s">
        <v>131</v>
      </c>
      <c r="E1895">
        <v>78.8529</v>
      </c>
      <c r="F1895">
        <v>30.1135</v>
      </c>
      <c r="G1895">
        <v>31390.53</v>
      </c>
      <c r="H1895" s="1">
        <v>41125</v>
      </c>
      <c r="I1895" s="1">
        <v>41127</v>
      </c>
      <c r="J1895" t="s">
        <v>15</v>
      </c>
      <c r="K1895">
        <v>30</v>
      </c>
      <c r="L1895">
        <v>1200</v>
      </c>
      <c r="M1895" t="s">
        <v>52</v>
      </c>
      <c r="N1895">
        <v>1.5</v>
      </c>
    </row>
    <row r="1896" hidden="1" spans="1:14">
      <c r="A1896">
        <v>3960</v>
      </c>
      <c r="C1896" t="s">
        <v>131</v>
      </c>
      <c r="E1896">
        <v>82.3216</v>
      </c>
      <c r="F1896">
        <v>19.4398</v>
      </c>
      <c r="G1896">
        <v>35689.54</v>
      </c>
      <c r="H1896" s="1">
        <v>41124</v>
      </c>
      <c r="I1896" s="1">
        <v>41127</v>
      </c>
      <c r="J1896" t="s">
        <v>15</v>
      </c>
      <c r="K1896">
        <v>0</v>
      </c>
      <c r="L1896">
        <v>2000</v>
      </c>
      <c r="M1896" t="s">
        <v>54</v>
      </c>
      <c r="N1896">
        <v>1</v>
      </c>
    </row>
    <row r="1897" hidden="1" spans="1:14">
      <c r="A1897">
        <v>3966</v>
      </c>
      <c r="C1897" t="s">
        <v>131</v>
      </c>
      <c r="E1897">
        <v>82.7962</v>
      </c>
      <c r="F1897">
        <v>20.9855</v>
      </c>
      <c r="G1897">
        <v>29689.98</v>
      </c>
      <c r="H1897" s="1">
        <v>41137</v>
      </c>
      <c r="I1897" s="1">
        <v>41141</v>
      </c>
      <c r="J1897" t="s">
        <v>15</v>
      </c>
      <c r="K1897">
        <v>1</v>
      </c>
      <c r="L1897">
        <v>210</v>
      </c>
      <c r="M1897" t="s">
        <v>54</v>
      </c>
      <c r="N1897">
        <v>1</v>
      </c>
    </row>
    <row r="1898" hidden="1" spans="1:14">
      <c r="A1898">
        <v>3983</v>
      </c>
      <c r="C1898" t="s">
        <v>131</v>
      </c>
      <c r="E1898">
        <v>76.8569</v>
      </c>
      <c r="F1898">
        <v>31.3063</v>
      </c>
      <c r="G1898">
        <v>37710.76</v>
      </c>
      <c r="H1898" s="1">
        <v>41168</v>
      </c>
      <c r="I1898" s="1">
        <v>41170</v>
      </c>
      <c r="J1898" t="s">
        <v>15</v>
      </c>
      <c r="K1898">
        <v>45</v>
      </c>
      <c r="L1898">
        <v>200</v>
      </c>
      <c r="M1898" t="s">
        <v>52</v>
      </c>
      <c r="N1898">
        <v>2</v>
      </c>
    </row>
    <row r="1899" hidden="1" spans="1:14">
      <c r="A1899">
        <v>3987</v>
      </c>
      <c r="C1899" t="s">
        <v>131</v>
      </c>
      <c r="E1899">
        <v>93.6379</v>
      </c>
      <c r="F1899">
        <v>26.8031</v>
      </c>
      <c r="G1899">
        <v>42597.57</v>
      </c>
      <c r="H1899" s="1">
        <v>41171</v>
      </c>
      <c r="I1899" s="1">
        <v>41197</v>
      </c>
      <c r="J1899" t="s">
        <v>15</v>
      </c>
      <c r="K1899">
        <v>21</v>
      </c>
      <c r="L1899">
        <v>2000000</v>
      </c>
      <c r="M1899" t="s">
        <v>54</v>
      </c>
      <c r="N1899">
        <v>2</v>
      </c>
    </row>
    <row r="1900" hidden="1" spans="1:14">
      <c r="A1900">
        <v>4001</v>
      </c>
      <c r="C1900" t="s">
        <v>131</v>
      </c>
      <c r="E1900">
        <v>78.8042</v>
      </c>
      <c r="F1900">
        <v>11.8283</v>
      </c>
      <c r="G1900">
        <v>126082.83</v>
      </c>
      <c r="H1900" s="1">
        <v>41217</v>
      </c>
      <c r="I1900" s="1">
        <v>41221</v>
      </c>
      <c r="J1900" t="s">
        <v>15</v>
      </c>
      <c r="K1900">
        <v>40</v>
      </c>
      <c r="L1900">
        <v>70000</v>
      </c>
      <c r="M1900" t="s">
        <v>503</v>
      </c>
      <c r="N1900">
        <v>2</v>
      </c>
    </row>
    <row r="1901" hidden="1" spans="1:14">
      <c r="A1901">
        <v>4065</v>
      </c>
      <c r="C1901" t="s">
        <v>131</v>
      </c>
      <c r="E1901">
        <v>76.6135</v>
      </c>
      <c r="F1901">
        <v>32.7135</v>
      </c>
      <c r="G1901">
        <v>131743.41</v>
      </c>
      <c r="H1901" s="1">
        <v>41437</v>
      </c>
      <c r="I1901" s="1">
        <v>41452</v>
      </c>
      <c r="J1901" t="s">
        <v>15</v>
      </c>
      <c r="K1901">
        <v>5748</v>
      </c>
      <c r="L1901">
        <v>75000</v>
      </c>
      <c r="M1901" t="s">
        <v>54</v>
      </c>
      <c r="N1901">
        <v>1.5</v>
      </c>
    </row>
    <row r="1902" hidden="1" spans="1:14">
      <c r="A1902">
        <v>4067</v>
      </c>
      <c r="C1902" t="s">
        <v>131</v>
      </c>
      <c r="E1902">
        <v>82.5285</v>
      </c>
      <c r="F1902">
        <v>21.9781</v>
      </c>
      <c r="G1902">
        <v>152700.5</v>
      </c>
      <c r="H1902" s="1">
        <v>41436</v>
      </c>
      <c r="I1902" s="1">
        <v>41443</v>
      </c>
      <c r="J1902" t="s">
        <v>15</v>
      </c>
      <c r="K1902">
        <v>0</v>
      </c>
      <c r="L1902">
        <v>8000</v>
      </c>
      <c r="M1902" t="s">
        <v>54</v>
      </c>
      <c r="N1902">
        <v>1</v>
      </c>
    </row>
    <row r="1903" hidden="1" spans="1:14">
      <c r="A1903">
        <v>4069</v>
      </c>
      <c r="C1903" t="s">
        <v>131</v>
      </c>
      <c r="E1903">
        <v>94.9182</v>
      </c>
      <c r="F1903">
        <v>27.387</v>
      </c>
      <c r="G1903">
        <v>38019.26</v>
      </c>
      <c r="H1903" s="1">
        <v>41448</v>
      </c>
      <c r="I1903" s="1">
        <v>41470</v>
      </c>
      <c r="J1903" t="s">
        <v>15</v>
      </c>
      <c r="K1903">
        <v>80</v>
      </c>
      <c r="L1903">
        <v>2000000</v>
      </c>
      <c r="M1903" t="s">
        <v>54</v>
      </c>
      <c r="N1903">
        <v>2</v>
      </c>
    </row>
    <row r="1904" hidden="1" spans="1:14">
      <c r="A1904">
        <v>4091</v>
      </c>
      <c r="C1904" t="s">
        <v>131</v>
      </c>
      <c r="E1904">
        <v>84.2495</v>
      </c>
      <c r="F1904">
        <v>21.2719</v>
      </c>
      <c r="G1904">
        <v>246385.23</v>
      </c>
      <c r="H1904" s="1">
        <v>41559</v>
      </c>
      <c r="I1904" s="1">
        <v>41561</v>
      </c>
      <c r="J1904" t="s">
        <v>15</v>
      </c>
      <c r="K1904">
        <v>27</v>
      </c>
      <c r="L1904">
        <v>250000</v>
      </c>
      <c r="M1904" t="s">
        <v>504</v>
      </c>
      <c r="N1904">
        <v>2</v>
      </c>
    </row>
    <row r="1905" hidden="1" spans="1:14">
      <c r="A1905">
        <v>4098</v>
      </c>
      <c r="C1905" t="s">
        <v>131</v>
      </c>
      <c r="E1905">
        <v>85.9321</v>
      </c>
      <c r="F1905">
        <v>24.7174</v>
      </c>
      <c r="G1905">
        <v>102661.14</v>
      </c>
      <c r="H1905" s="1">
        <v>41559</v>
      </c>
      <c r="I1905" s="1">
        <v>41588</v>
      </c>
      <c r="J1905" t="s">
        <v>15</v>
      </c>
      <c r="K1905">
        <v>7</v>
      </c>
      <c r="L1905">
        <v>0</v>
      </c>
      <c r="M1905" t="s">
        <v>49</v>
      </c>
      <c r="N1905">
        <v>1.5</v>
      </c>
    </row>
    <row r="1906" hidden="1" spans="1:14">
      <c r="A1906">
        <v>4154</v>
      </c>
      <c r="C1906" t="s">
        <v>131</v>
      </c>
      <c r="E1906">
        <v>94.716</v>
      </c>
      <c r="F1906">
        <v>27.8115</v>
      </c>
      <c r="G1906">
        <v>49220.53</v>
      </c>
      <c r="H1906" s="1">
        <v>41813</v>
      </c>
      <c r="I1906" s="1">
        <v>41815</v>
      </c>
      <c r="J1906" t="s">
        <v>15</v>
      </c>
      <c r="K1906">
        <v>0</v>
      </c>
      <c r="L1906">
        <v>10000</v>
      </c>
      <c r="M1906" t="s">
        <v>505</v>
      </c>
      <c r="N1906">
        <v>1</v>
      </c>
    </row>
    <row r="1907" hidden="1" spans="1:14">
      <c r="A1907">
        <v>4165</v>
      </c>
      <c r="C1907" t="s">
        <v>131</v>
      </c>
      <c r="E1907">
        <v>84.1258</v>
      </c>
      <c r="F1907">
        <v>20.7752</v>
      </c>
      <c r="G1907">
        <v>189576.05</v>
      </c>
      <c r="H1907" s="1">
        <v>41840</v>
      </c>
      <c r="I1907" s="1">
        <v>41849</v>
      </c>
      <c r="J1907" t="s">
        <v>15</v>
      </c>
      <c r="K1907">
        <v>6</v>
      </c>
      <c r="L1907">
        <v>15000</v>
      </c>
      <c r="M1907" t="s">
        <v>54</v>
      </c>
      <c r="N1907">
        <v>1</v>
      </c>
    </row>
    <row r="1908" hidden="1" spans="1:14">
      <c r="A1908">
        <v>4171</v>
      </c>
      <c r="C1908" t="s">
        <v>131</v>
      </c>
      <c r="E1908">
        <v>79.7586</v>
      </c>
      <c r="F1908">
        <v>27.3852</v>
      </c>
      <c r="G1908">
        <v>107474.39</v>
      </c>
      <c r="H1908" s="1">
        <v>41862</v>
      </c>
      <c r="I1908" s="1">
        <v>41890</v>
      </c>
      <c r="J1908" t="s">
        <v>15</v>
      </c>
      <c r="K1908">
        <v>31</v>
      </c>
      <c r="L1908">
        <v>4000</v>
      </c>
      <c r="M1908" t="s">
        <v>54</v>
      </c>
      <c r="N1908">
        <v>1.5</v>
      </c>
    </row>
    <row r="1909" hidden="1" spans="1:14">
      <c r="A1909">
        <v>4174</v>
      </c>
      <c r="C1909" t="s">
        <v>131</v>
      </c>
      <c r="E1909">
        <v>86.2537</v>
      </c>
      <c r="F1909">
        <v>26.1795</v>
      </c>
      <c r="G1909">
        <v>62650.8</v>
      </c>
      <c r="H1909" s="1">
        <v>41865</v>
      </c>
      <c r="I1909" s="1">
        <v>41890</v>
      </c>
      <c r="J1909" t="s">
        <v>15</v>
      </c>
      <c r="K1909">
        <v>0</v>
      </c>
      <c r="L1909">
        <v>10000</v>
      </c>
      <c r="M1909" t="s">
        <v>54</v>
      </c>
      <c r="N1909">
        <v>1.5</v>
      </c>
    </row>
    <row r="1910" hidden="1" spans="1:14">
      <c r="A1910">
        <v>4176</v>
      </c>
      <c r="C1910" t="s">
        <v>131</v>
      </c>
      <c r="E1910">
        <v>94.6542</v>
      </c>
      <c r="F1910">
        <v>27.6132</v>
      </c>
      <c r="G1910">
        <v>44290.91</v>
      </c>
      <c r="H1910" s="1">
        <v>41866</v>
      </c>
      <c r="I1910" s="1">
        <v>41890</v>
      </c>
      <c r="J1910" t="s">
        <v>15</v>
      </c>
      <c r="K1910">
        <v>1</v>
      </c>
      <c r="L1910">
        <v>75000</v>
      </c>
      <c r="M1910" t="s">
        <v>54</v>
      </c>
      <c r="N1910">
        <v>1</v>
      </c>
    </row>
    <row r="1911" hidden="1" spans="1:14">
      <c r="A1911">
        <v>4188</v>
      </c>
      <c r="C1911" t="s">
        <v>131</v>
      </c>
      <c r="E1911">
        <v>92.4891</v>
      </c>
      <c r="F1911">
        <v>26.7465</v>
      </c>
      <c r="G1911">
        <v>61894.97</v>
      </c>
      <c r="H1911" s="1">
        <v>41906</v>
      </c>
      <c r="I1911" s="1">
        <v>41923</v>
      </c>
      <c r="J1911" t="s">
        <v>15</v>
      </c>
      <c r="K1911">
        <v>59</v>
      </c>
      <c r="L1911">
        <v>30000</v>
      </c>
      <c r="M1911" t="s">
        <v>23</v>
      </c>
      <c r="N1911">
        <v>1.5</v>
      </c>
    </row>
    <row r="1912" hidden="1" spans="1:14">
      <c r="A1912">
        <v>4198</v>
      </c>
      <c r="C1912" t="s">
        <v>131</v>
      </c>
      <c r="E1912">
        <v>79.6967</v>
      </c>
      <c r="F1912">
        <v>18.4473</v>
      </c>
      <c r="G1912">
        <v>376261.49</v>
      </c>
      <c r="H1912" s="1">
        <v>41924</v>
      </c>
      <c r="I1912" s="1">
        <v>41939</v>
      </c>
      <c r="J1912" t="s">
        <v>15</v>
      </c>
      <c r="K1912">
        <v>42</v>
      </c>
      <c r="L1912">
        <v>0</v>
      </c>
      <c r="M1912" t="s">
        <v>506</v>
      </c>
      <c r="N1912">
        <v>1.5</v>
      </c>
    </row>
    <row r="1913" hidden="1" spans="1:14">
      <c r="A1913">
        <v>4200</v>
      </c>
      <c r="C1913" t="s">
        <v>131</v>
      </c>
      <c r="D1913" t="s">
        <v>474</v>
      </c>
      <c r="E1913">
        <v>78.2616</v>
      </c>
      <c r="F1913">
        <v>10.2916</v>
      </c>
      <c r="G1913">
        <v>115476.31</v>
      </c>
      <c r="H1913" s="1">
        <v>41934</v>
      </c>
      <c r="I1913" s="1">
        <v>41939</v>
      </c>
      <c r="J1913" t="s">
        <v>15</v>
      </c>
      <c r="K1913">
        <v>5</v>
      </c>
      <c r="L1913">
        <v>300</v>
      </c>
      <c r="M1913" t="s">
        <v>54</v>
      </c>
      <c r="N1913">
        <v>1</v>
      </c>
    </row>
    <row r="1914" hidden="1" spans="1:14">
      <c r="A1914">
        <v>4239</v>
      </c>
      <c r="B1914" t="s">
        <v>507</v>
      </c>
      <c r="C1914" t="s">
        <v>131</v>
      </c>
      <c r="E1914">
        <v>76.4058</v>
      </c>
      <c r="F1914">
        <v>33.1767</v>
      </c>
      <c r="G1914">
        <v>70287.98</v>
      </c>
      <c r="H1914" s="1">
        <v>42083</v>
      </c>
      <c r="I1914" s="1">
        <v>42094</v>
      </c>
      <c r="J1914" t="s">
        <v>15</v>
      </c>
      <c r="K1914">
        <v>44</v>
      </c>
      <c r="L1914">
        <v>2907</v>
      </c>
      <c r="M1914" t="s">
        <v>49</v>
      </c>
      <c r="N1914">
        <v>1.5</v>
      </c>
    </row>
    <row r="1915" hidden="1" spans="1:14">
      <c r="A1915">
        <v>4251</v>
      </c>
      <c r="C1915" t="s">
        <v>131</v>
      </c>
      <c r="E1915">
        <v>79.1771</v>
      </c>
      <c r="F1915">
        <v>10.7121</v>
      </c>
      <c r="G1915">
        <v>14179.41</v>
      </c>
      <c r="H1915" s="1">
        <v>42141</v>
      </c>
      <c r="I1915" s="1">
        <v>42145</v>
      </c>
      <c r="J1915" t="s">
        <v>15</v>
      </c>
      <c r="K1915">
        <v>8</v>
      </c>
      <c r="L1915">
        <v>200</v>
      </c>
      <c r="M1915" t="s">
        <v>52</v>
      </c>
      <c r="N1915">
        <v>1</v>
      </c>
    </row>
    <row r="1916" hidden="1" spans="1:14">
      <c r="A1916">
        <v>4259</v>
      </c>
      <c r="B1916" t="s">
        <v>508</v>
      </c>
      <c r="C1916" t="s">
        <v>131</v>
      </c>
      <c r="E1916">
        <v>93.8747</v>
      </c>
      <c r="F1916">
        <v>26.9195</v>
      </c>
      <c r="G1916">
        <v>60437.23</v>
      </c>
      <c r="H1916" s="1">
        <v>42157</v>
      </c>
      <c r="I1916" s="1">
        <v>42184</v>
      </c>
      <c r="J1916" t="s">
        <v>15</v>
      </c>
      <c r="K1916">
        <v>3</v>
      </c>
      <c r="L1916">
        <v>9000</v>
      </c>
      <c r="M1916" t="s">
        <v>54</v>
      </c>
      <c r="N1916">
        <v>1.5</v>
      </c>
    </row>
    <row r="1917" hidden="1" spans="1:14">
      <c r="A1917">
        <v>4265</v>
      </c>
      <c r="C1917" t="s">
        <v>131</v>
      </c>
      <c r="E1917">
        <v>70.7643</v>
      </c>
      <c r="F1917">
        <v>21.8734</v>
      </c>
      <c r="G1917">
        <v>43781.56</v>
      </c>
      <c r="H1917" s="1">
        <v>42179</v>
      </c>
      <c r="I1917" s="1">
        <v>42184</v>
      </c>
      <c r="J1917" t="s">
        <v>15</v>
      </c>
      <c r="K1917">
        <v>81</v>
      </c>
      <c r="L1917">
        <v>9000</v>
      </c>
      <c r="M1917" t="s">
        <v>54</v>
      </c>
      <c r="N1917">
        <v>1.5</v>
      </c>
    </row>
    <row r="1918" hidden="1" spans="1:14">
      <c r="A1918">
        <v>4282</v>
      </c>
      <c r="C1918" t="s">
        <v>131</v>
      </c>
      <c r="E1918">
        <v>82.6165</v>
      </c>
      <c r="F1918">
        <v>26.2074</v>
      </c>
      <c r="G1918">
        <v>629961.61</v>
      </c>
      <c r="H1918" s="1">
        <v>42200</v>
      </c>
      <c r="I1918" s="1">
        <v>42235</v>
      </c>
      <c r="J1918" t="s">
        <v>15</v>
      </c>
      <c r="K1918">
        <v>206</v>
      </c>
      <c r="L1918">
        <v>300000</v>
      </c>
      <c r="M1918" t="s">
        <v>509</v>
      </c>
      <c r="N1918">
        <v>2</v>
      </c>
    </row>
    <row r="1919" hidden="1" spans="1:14">
      <c r="A1919">
        <v>4288</v>
      </c>
      <c r="C1919" t="s">
        <v>131</v>
      </c>
      <c r="E1919">
        <v>93.751</v>
      </c>
      <c r="F1919">
        <v>26.8946</v>
      </c>
      <c r="G1919">
        <v>69190.14</v>
      </c>
      <c r="H1919" s="1">
        <v>42229</v>
      </c>
      <c r="I1919" s="1">
        <v>42258</v>
      </c>
      <c r="J1919" t="s">
        <v>15</v>
      </c>
      <c r="K1919">
        <v>5</v>
      </c>
      <c r="L1919">
        <v>18000</v>
      </c>
      <c r="M1919" t="s">
        <v>54</v>
      </c>
      <c r="N1919">
        <v>1</v>
      </c>
    </row>
    <row r="1920" hidden="1" spans="1:14">
      <c r="A1920">
        <v>4309</v>
      </c>
      <c r="B1920" t="s">
        <v>510</v>
      </c>
      <c r="C1920" t="s">
        <v>131</v>
      </c>
      <c r="E1920">
        <v>78.8554</v>
      </c>
      <c r="F1920">
        <v>11.8278</v>
      </c>
      <c r="G1920">
        <v>93202.05</v>
      </c>
      <c r="H1920" s="1">
        <v>42318</v>
      </c>
      <c r="I1920" s="1">
        <v>42342</v>
      </c>
      <c r="J1920" t="s">
        <v>15</v>
      </c>
      <c r="K1920">
        <v>180</v>
      </c>
      <c r="L1920">
        <v>400000</v>
      </c>
      <c r="M1920" t="s">
        <v>511</v>
      </c>
      <c r="N1920">
        <v>2</v>
      </c>
    </row>
    <row r="1921" hidden="1" spans="1:14">
      <c r="A1921">
        <v>4355</v>
      </c>
      <c r="C1921" t="s">
        <v>131</v>
      </c>
      <c r="D1921" t="s">
        <v>132</v>
      </c>
      <c r="E1921">
        <v>95.6068</v>
      </c>
      <c r="F1921">
        <v>27.464</v>
      </c>
      <c r="G1921">
        <v>70517.68</v>
      </c>
      <c r="H1921" s="1">
        <v>42480</v>
      </c>
      <c r="I1921" s="1">
        <v>42491</v>
      </c>
      <c r="J1921" t="s">
        <v>181</v>
      </c>
      <c r="K1921">
        <v>18</v>
      </c>
      <c r="L1921">
        <v>3000</v>
      </c>
      <c r="M1921" t="s">
        <v>49</v>
      </c>
      <c r="N1921">
        <v>1.5</v>
      </c>
    </row>
    <row r="1922" hidden="1" spans="1:14">
      <c r="A1922">
        <v>4371</v>
      </c>
      <c r="C1922" t="s">
        <v>131</v>
      </c>
      <c r="E1922">
        <v>93.949</v>
      </c>
      <c r="F1922">
        <v>27.068</v>
      </c>
      <c r="G1922">
        <v>135742.3</v>
      </c>
      <c r="H1922" s="1">
        <v>42550</v>
      </c>
      <c r="I1922" s="1">
        <v>42608</v>
      </c>
      <c r="J1922" t="s">
        <v>15</v>
      </c>
      <c r="K1922">
        <v>30</v>
      </c>
      <c r="L1922">
        <v>1800</v>
      </c>
      <c r="M1922" t="s">
        <v>54</v>
      </c>
      <c r="N1922">
        <v>1.5</v>
      </c>
    </row>
    <row r="1923" hidden="1" spans="1:14">
      <c r="A1923">
        <v>4378</v>
      </c>
      <c r="C1923" t="s">
        <v>131</v>
      </c>
      <c r="E1923">
        <v>80.8349</v>
      </c>
      <c r="F1923">
        <v>22.8107</v>
      </c>
      <c r="G1923">
        <v>167030.23</v>
      </c>
      <c r="H1923" s="1">
        <v>42558</v>
      </c>
      <c r="I1923" s="1">
        <v>42585</v>
      </c>
      <c r="J1923" t="s">
        <v>15</v>
      </c>
      <c r="K1923">
        <v>20</v>
      </c>
      <c r="L1923">
        <v>15000</v>
      </c>
      <c r="M1923" t="s">
        <v>54</v>
      </c>
      <c r="N1923">
        <v>1.5</v>
      </c>
    </row>
    <row r="1924" hidden="1" spans="1:14">
      <c r="A1924">
        <v>4383</v>
      </c>
      <c r="C1924" t="s">
        <v>131</v>
      </c>
      <c r="E1924">
        <v>73.4119</v>
      </c>
      <c r="F1924">
        <v>21.7477</v>
      </c>
      <c r="G1924">
        <v>377732.88</v>
      </c>
      <c r="H1924" s="1">
        <v>42583</v>
      </c>
      <c r="I1924" s="1">
        <v>42585</v>
      </c>
      <c r="J1924" t="s">
        <v>15</v>
      </c>
      <c r="K1924">
        <v>20</v>
      </c>
      <c r="L1924">
        <v>0</v>
      </c>
      <c r="M1924" t="s">
        <v>54</v>
      </c>
      <c r="N1924">
        <v>1.5</v>
      </c>
    </row>
    <row r="1925" hidden="1" spans="1:14">
      <c r="A1925">
        <v>4384</v>
      </c>
      <c r="B1925" t="s">
        <v>512</v>
      </c>
      <c r="C1925" t="s">
        <v>131</v>
      </c>
      <c r="E1925">
        <v>85.1898</v>
      </c>
      <c r="F1925">
        <v>25.6099</v>
      </c>
      <c r="G1925">
        <v>90613.74</v>
      </c>
      <c r="H1925" s="1">
        <v>42566</v>
      </c>
      <c r="I1925" s="1">
        <v>42635</v>
      </c>
      <c r="J1925" t="s">
        <v>15</v>
      </c>
      <c r="K1925">
        <v>127</v>
      </c>
      <c r="L1925">
        <v>377097</v>
      </c>
      <c r="M1925" t="s">
        <v>54</v>
      </c>
      <c r="N1925">
        <v>1.5</v>
      </c>
    </row>
    <row r="1926" hidden="1" spans="1:14">
      <c r="A1926">
        <v>4405</v>
      </c>
      <c r="C1926" t="s">
        <v>131</v>
      </c>
      <c r="E1926">
        <v>80.3401</v>
      </c>
      <c r="F1926">
        <v>17.6536</v>
      </c>
      <c r="G1926">
        <v>137435.4</v>
      </c>
      <c r="H1926" s="1">
        <v>42634</v>
      </c>
      <c r="I1926" s="1">
        <v>42659</v>
      </c>
      <c r="J1926" t="s">
        <v>15</v>
      </c>
      <c r="K1926">
        <v>17</v>
      </c>
      <c r="L1926">
        <v>3000</v>
      </c>
      <c r="M1926" t="s">
        <v>54</v>
      </c>
      <c r="N1926">
        <v>1.5</v>
      </c>
    </row>
    <row r="1927" hidden="1" spans="1:14">
      <c r="A1927">
        <v>4483</v>
      </c>
      <c r="B1927" t="s">
        <v>513</v>
      </c>
      <c r="C1927" t="s">
        <v>131</v>
      </c>
      <c r="E1927">
        <v>94.9387</v>
      </c>
      <c r="F1927">
        <v>27.6131</v>
      </c>
      <c r="G1927">
        <v>65387.73</v>
      </c>
      <c r="H1927" s="1">
        <v>42888</v>
      </c>
      <c r="I1927" s="1">
        <v>42919</v>
      </c>
      <c r="J1927" t="s">
        <v>15</v>
      </c>
      <c r="K1927">
        <v>6</v>
      </c>
      <c r="L1927">
        <v>113</v>
      </c>
      <c r="M1927" t="s">
        <v>54</v>
      </c>
      <c r="N1927">
        <v>1</v>
      </c>
    </row>
    <row r="1928" hidden="1" spans="1:14">
      <c r="A1928">
        <v>4498</v>
      </c>
      <c r="C1928" t="s">
        <v>131</v>
      </c>
      <c r="E1928">
        <v>70.9375</v>
      </c>
      <c r="F1928">
        <v>21.898</v>
      </c>
      <c r="G1928">
        <v>31956.12</v>
      </c>
      <c r="H1928" s="1">
        <v>42931</v>
      </c>
      <c r="I1928" s="1">
        <v>42936</v>
      </c>
      <c r="J1928" t="s">
        <v>15</v>
      </c>
      <c r="K1928">
        <v>94</v>
      </c>
      <c r="L1928">
        <v>3000</v>
      </c>
      <c r="M1928" t="s">
        <v>54</v>
      </c>
      <c r="N1928">
        <v>1</v>
      </c>
    </row>
    <row r="1929" hidden="1" spans="1:14">
      <c r="A1929">
        <v>4499</v>
      </c>
      <c r="C1929" t="s">
        <v>131</v>
      </c>
      <c r="E1929">
        <v>88.0848</v>
      </c>
      <c r="F1929">
        <v>22.9061</v>
      </c>
      <c r="G1929">
        <v>43809.39</v>
      </c>
      <c r="H1929" s="1">
        <v>42943</v>
      </c>
      <c r="I1929" s="1">
        <v>42957</v>
      </c>
      <c r="J1929" t="s">
        <v>15</v>
      </c>
      <c r="K1929">
        <v>39</v>
      </c>
      <c r="L1929">
        <v>47000</v>
      </c>
      <c r="M1929" t="s">
        <v>54</v>
      </c>
      <c r="N1929">
        <v>1</v>
      </c>
    </row>
    <row r="1930" hidden="1" spans="1:14">
      <c r="A1930">
        <v>4507</v>
      </c>
      <c r="C1930" t="s">
        <v>131</v>
      </c>
      <c r="E1930">
        <v>79.076</v>
      </c>
      <c r="F1930">
        <v>28.1657</v>
      </c>
      <c r="G1930">
        <v>421575.24</v>
      </c>
      <c r="H1930" s="1">
        <v>42957</v>
      </c>
      <c r="I1930" s="1">
        <v>42973</v>
      </c>
      <c r="J1930" t="s">
        <v>15</v>
      </c>
      <c r="K1930">
        <v>253</v>
      </c>
      <c r="L1930">
        <v>422106</v>
      </c>
      <c r="M1930" t="s">
        <v>54</v>
      </c>
      <c r="N1930">
        <v>2</v>
      </c>
    </row>
    <row r="1931" hidden="1" spans="1:14">
      <c r="A1931">
        <v>4532</v>
      </c>
      <c r="C1931" t="s">
        <v>131</v>
      </c>
      <c r="E1931">
        <v>79.0039</v>
      </c>
      <c r="F1931">
        <v>10.489</v>
      </c>
      <c r="G1931">
        <v>50536.26</v>
      </c>
      <c r="H1931" s="1">
        <v>43038</v>
      </c>
      <c r="I1931" s="1">
        <v>43047</v>
      </c>
      <c r="J1931" t="s">
        <v>15</v>
      </c>
      <c r="K1931">
        <v>4</v>
      </c>
      <c r="L1931">
        <v>4000</v>
      </c>
      <c r="M1931" t="s">
        <v>49</v>
      </c>
      <c r="N1931">
        <v>1.5</v>
      </c>
    </row>
    <row r="1932" hidden="1" spans="1:14">
      <c r="A1932">
        <v>4622</v>
      </c>
      <c r="C1932" t="s">
        <v>131</v>
      </c>
      <c r="E1932">
        <v>75.4408</v>
      </c>
      <c r="F1932">
        <v>14.3584</v>
      </c>
      <c r="G1932">
        <v>116730.41</v>
      </c>
      <c r="H1932" s="1">
        <v>43249</v>
      </c>
      <c r="I1932" s="1">
        <v>43250</v>
      </c>
      <c r="J1932" t="s">
        <v>56</v>
      </c>
      <c r="K1932">
        <v>3</v>
      </c>
      <c r="L1932">
        <v>300</v>
      </c>
      <c r="M1932" t="s">
        <v>52</v>
      </c>
      <c r="N1932">
        <v>1.5</v>
      </c>
    </row>
    <row r="1933" hidden="1" spans="1:14">
      <c r="A1933">
        <v>4634</v>
      </c>
      <c r="C1933" t="s">
        <v>131</v>
      </c>
      <c r="E1933">
        <v>93.3551</v>
      </c>
      <c r="F1933">
        <v>26.8948</v>
      </c>
      <c r="G1933">
        <v>209440.59</v>
      </c>
      <c r="H1933" s="1">
        <v>43263</v>
      </c>
      <c r="I1933" s="1">
        <v>43271</v>
      </c>
      <c r="J1933" t="s">
        <v>56</v>
      </c>
      <c r="K1933">
        <v>20</v>
      </c>
      <c r="L1933">
        <v>800000</v>
      </c>
      <c r="M1933" t="s">
        <v>54</v>
      </c>
      <c r="N1933">
        <v>1.5</v>
      </c>
    </row>
    <row r="1934" hidden="1" spans="1:14">
      <c r="A1934">
        <v>4640</v>
      </c>
      <c r="C1934" t="s">
        <v>131</v>
      </c>
      <c r="D1934" t="s">
        <v>57</v>
      </c>
      <c r="E1934">
        <v>75.1439</v>
      </c>
      <c r="F1934">
        <v>33.3752</v>
      </c>
      <c r="G1934">
        <v>25994.04</v>
      </c>
      <c r="H1934" s="1">
        <v>43276</v>
      </c>
      <c r="I1934" s="1">
        <v>43292</v>
      </c>
      <c r="J1934" t="s">
        <v>56</v>
      </c>
      <c r="K1934">
        <v>3</v>
      </c>
      <c r="L1934">
        <v>0</v>
      </c>
      <c r="M1934" t="s">
        <v>54</v>
      </c>
      <c r="N1934">
        <v>1</v>
      </c>
    </row>
    <row r="1935" hidden="1" spans="1:14">
      <c r="A1935">
        <v>4641</v>
      </c>
      <c r="C1935" t="s">
        <v>131</v>
      </c>
      <c r="E1935">
        <v>73.783</v>
      </c>
      <c r="F1935">
        <v>20.9795</v>
      </c>
      <c r="G1935">
        <v>57211.12</v>
      </c>
      <c r="H1935" s="1">
        <v>43273</v>
      </c>
      <c r="I1935" s="1">
        <v>43283</v>
      </c>
      <c r="J1935" t="s">
        <v>56</v>
      </c>
      <c r="K1935">
        <v>20</v>
      </c>
      <c r="L1935">
        <v>0</v>
      </c>
      <c r="M1935" t="s">
        <v>54</v>
      </c>
      <c r="N1935">
        <v>1</v>
      </c>
    </row>
    <row r="1936" hidden="1" spans="1:14">
      <c r="A1936">
        <v>4644</v>
      </c>
      <c r="C1936" t="s">
        <v>131</v>
      </c>
      <c r="E1936">
        <v>74.5501</v>
      </c>
      <c r="F1936">
        <v>19.5656</v>
      </c>
      <c r="G1936">
        <v>116871.19</v>
      </c>
      <c r="H1936" s="1">
        <v>43287</v>
      </c>
      <c r="I1936" s="1">
        <v>43292</v>
      </c>
      <c r="J1936" t="s">
        <v>58</v>
      </c>
      <c r="K1936">
        <v>1</v>
      </c>
      <c r="L1936">
        <v>300</v>
      </c>
      <c r="M1936" t="s">
        <v>54</v>
      </c>
      <c r="N1936">
        <v>1.5</v>
      </c>
    </row>
    <row r="1937" hidden="1" spans="1:14">
      <c r="A1937">
        <v>4656</v>
      </c>
      <c r="C1937" t="s">
        <v>131</v>
      </c>
      <c r="E1937">
        <v>75.6883</v>
      </c>
      <c r="F1937">
        <v>12.5238</v>
      </c>
      <c r="G1937">
        <v>153840.07</v>
      </c>
      <c r="H1937" s="1">
        <v>43290</v>
      </c>
      <c r="I1937" s="1">
        <v>43300</v>
      </c>
      <c r="J1937" t="s">
        <v>56</v>
      </c>
      <c r="K1937">
        <v>12</v>
      </c>
      <c r="L1937">
        <v>34000</v>
      </c>
      <c r="M1937" t="s">
        <v>54</v>
      </c>
      <c r="N1937">
        <v>1.5</v>
      </c>
    </row>
    <row r="1938" hidden="1" spans="1:14">
      <c r="A1938">
        <v>4663</v>
      </c>
      <c r="C1938" t="s">
        <v>131</v>
      </c>
      <c r="E1938">
        <v>76.7275</v>
      </c>
      <c r="F1938">
        <v>9.39943</v>
      </c>
      <c r="G1938">
        <v>24440.47</v>
      </c>
      <c r="H1938" s="1">
        <v>43319</v>
      </c>
      <c r="I1938" s="1">
        <v>43322</v>
      </c>
      <c r="J1938" t="s">
        <v>181</v>
      </c>
      <c r="K1938">
        <v>20</v>
      </c>
      <c r="L1938">
        <v>1000</v>
      </c>
      <c r="M1938" t="s">
        <v>54</v>
      </c>
      <c r="N1938">
        <v>1.5</v>
      </c>
    </row>
    <row r="1939" hidden="1" spans="1:14">
      <c r="A1939">
        <v>4665</v>
      </c>
      <c r="C1939" t="s">
        <v>131</v>
      </c>
      <c r="E1939">
        <v>94.1222</v>
      </c>
      <c r="F1939">
        <v>27.2914</v>
      </c>
      <c r="G1939">
        <v>73328.62</v>
      </c>
      <c r="H1939" s="1">
        <v>43314</v>
      </c>
      <c r="I1939" s="1">
        <v>43322</v>
      </c>
      <c r="J1939" t="s">
        <v>56</v>
      </c>
      <c r="K1939">
        <v>0</v>
      </c>
      <c r="L1939">
        <v>25000</v>
      </c>
      <c r="M1939" t="s">
        <v>54</v>
      </c>
      <c r="N1939">
        <v>1.5</v>
      </c>
    </row>
    <row r="1940" hidden="1" spans="1:14">
      <c r="A1940">
        <v>4673</v>
      </c>
      <c r="C1940" t="s">
        <v>131</v>
      </c>
      <c r="E1940">
        <v>82.4309</v>
      </c>
      <c r="F1940">
        <v>25.7354</v>
      </c>
      <c r="G1940">
        <v>70859.96</v>
      </c>
      <c r="H1940" s="1">
        <v>43344</v>
      </c>
      <c r="I1940" s="1">
        <v>43350</v>
      </c>
      <c r="J1940" t="s">
        <v>56</v>
      </c>
      <c r="K1940">
        <v>20</v>
      </c>
      <c r="L1940">
        <v>1000</v>
      </c>
      <c r="M1940" t="s">
        <v>54</v>
      </c>
      <c r="N1940">
        <v>1.5</v>
      </c>
    </row>
    <row r="1941" hidden="1" spans="1:14">
      <c r="A1941">
        <v>4675</v>
      </c>
      <c r="C1941" t="s">
        <v>131</v>
      </c>
      <c r="D1941" t="s">
        <v>143</v>
      </c>
      <c r="E1941">
        <v>94.7655</v>
      </c>
      <c r="F1941">
        <v>26.0513</v>
      </c>
      <c r="G1941">
        <v>28864.54</v>
      </c>
      <c r="H1941" s="1">
        <v>43327</v>
      </c>
      <c r="I1941" s="1">
        <v>43350</v>
      </c>
      <c r="J1941" t="s">
        <v>56</v>
      </c>
      <c r="K1941">
        <v>11</v>
      </c>
      <c r="L1941">
        <v>2000</v>
      </c>
      <c r="M1941" t="s">
        <v>54</v>
      </c>
      <c r="N1941">
        <v>1.5</v>
      </c>
    </row>
    <row r="1942" hidden="1" spans="1:14">
      <c r="A1942">
        <v>4684</v>
      </c>
      <c r="C1942" t="s">
        <v>131</v>
      </c>
      <c r="E1942">
        <v>76.6285</v>
      </c>
      <c r="F1942">
        <v>31.3414</v>
      </c>
      <c r="G1942">
        <v>114348.33</v>
      </c>
      <c r="H1942" s="1">
        <v>43366</v>
      </c>
      <c r="I1942" s="1">
        <v>43375</v>
      </c>
      <c r="J1942" t="s">
        <v>56</v>
      </c>
      <c r="K1942">
        <v>28</v>
      </c>
      <c r="L1942">
        <v>935</v>
      </c>
      <c r="M1942" t="s">
        <v>52</v>
      </c>
      <c r="N1942">
        <v>1</v>
      </c>
    </row>
    <row r="1943" hidden="1" spans="1:14">
      <c r="A1943">
        <v>4686</v>
      </c>
      <c r="C1943" t="s">
        <v>131</v>
      </c>
      <c r="E1943">
        <v>83.3588</v>
      </c>
      <c r="F1943">
        <v>17.9</v>
      </c>
      <c r="G1943">
        <v>87682.57</v>
      </c>
      <c r="H1943" s="1">
        <v>43384</v>
      </c>
      <c r="I1943" s="1">
        <v>43385</v>
      </c>
      <c r="J1943" t="s">
        <v>56</v>
      </c>
      <c r="K1943">
        <v>7</v>
      </c>
      <c r="L1943">
        <v>300000</v>
      </c>
      <c r="M1943" t="s">
        <v>514</v>
      </c>
      <c r="N1943">
        <v>1.5</v>
      </c>
    </row>
    <row r="1944" hidden="1" spans="1:14">
      <c r="A1944">
        <v>4746</v>
      </c>
      <c r="C1944" t="s">
        <v>131</v>
      </c>
      <c r="D1944" t="s">
        <v>132</v>
      </c>
      <c r="E1944">
        <v>87.4662</v>
      </c>
      <c r="F1944">
        <v>21.5427</v>
      </c>
      <c r="G1944">
        <v>123330.04</v>
      </c>
      <c r="H1944" s="1">
        <v>43588</v>
      </c>
      <c r="I1944" s="1">
        <v>43592</v>
      </c>
      <c r="J1944" t="s">
        <v>56</v>
      </c>
      <c r="K1944">
        <v>43</v>
      </c>
      <c r="L1944">
        <v>1400000</v>
      </c>
      <c r="M1944" t="s">
        <v>515</v>
      </c>
      <c r="N1944">
        <v>1.5</v>
      </c>
    </row>
    <row r="1945" hidden="1" spans="1:14">
      <c r="A1945">
        <v>4752</v>
      </c>
      <c r="C1945" t="s">
        <v>131</v>
      </c>
      <c r="E1945">
        <v>91.5736</v>
      </c>
      <c r="F1945">
        <v>23.4991</v>
      </c>
      <c r="G1945">
        <v>9467.55</v>
      </c>
      <c r="H1945" s="1">
        <v>43609</v>
      </c>
      <c r="I1945" s="1">
        <v>43612</v>
      </c>
      <c r="J1945" t="s">
        <v>58</v>
      </c>
      <c r="K1945">
        <v>0</v>
      </c>
      <c r="L1945">
        <v>750</v>
      </c>
      <c r="M1945" t="s">
        <v>49</v>
      </c>
      <c r="N1945">
        <v>1.5</v>
      </c>
    </row>
    <row r="1946" hidden="1" spans="1:14">
      <c r="A1946">
        <v>4772</v>
      </c>
      <c r="C1946" t="s">
        <v>131</v>
      </c>
      <c r="E1946">
        <v>94.3944</v>
      </c>
      <c r="F1946">
        <v>27.3531</v>
      </c>
      <c r="G1946">
        <v>67022.92</v>
      </c>
      <c r="H1946" s="1">
        <v>43643</v>
      </c>
      <c r="I1946" s="1">
        <v>43659</v>
      </c>
      <c r="J1946" t="s">
        <v>56</v>
      </c>
      <c r="K1946">
        <v>3</v>
      </c>
      <c r="L1946">
        <v>50000</v>
      </c>
      <c r="M1946" t="s">
        <v>54</v>
      </c>
      <c r="N1946">
        <v>1</v>
      </c>
    </row>
    <row r="1947" hidden="1" spans="1:14">
      <c r="A1947">
        <v>4775</v>
      </c>
      <c r="C1947" t="s">
        <v>131</v>
      </c>
      <c r="E1947">
        <v>74.748</v>
      </c>
      <c r="F1947">
        <v>20.2969</v>
      </c>
      <c r="G1947">
        <v>113845.85</v>
      </c>
      <c r="H1947" s="1">
        <v>43647</v>
      </c>
      <c r="I1947" s="1">
        <v>43651</v>
      </c>
      <c r="J1947" t="s">
        <v>56</v>
      </c>
      <c r="K1947">
        <v>36</v>
      </c>
      <c r="L1947">
        <v>0</v>
      </c>
      <c r="M1947" t="s">
        <v>52</v>
      </c>
      <c r="N1947">
        <v>1.5</v>
      </c>
    </row>
    <row r="1948" hidden="1" spans="1:14">
      <c r="A1948">
        <v>4784</v>
      </c>
      <c r="C1948" t="s">
        <v>131</v>
      </c>
      <c r="E1948">
        <v>76.0842</v>
      </c>
      <c r="F1948">
        <v>11.4575</v>
      </c>
      <c r="G1948">
        <v>94518.75</v>
      </c>
      <c r="H1948" s="1">
        <v>43683</v>
      </c>
      <c r="I1948" s="1">
        <v>43686</v>
      </c>
      <c r="J1948" t="s">
        <v>56</v>
      </c>
      <c r="K1948">
        <v>0</v>
      </c>
      <c r="L1948">
        <v>22000</v>
      </c>
      <c r="M1948" t="s">
        <v>54</v>
      </c>
      <c r="N1948">
        <v>1.5</v>
      </c>
    </row>
    <row r="1949" hidden="1" spans="1:14">
      <c r="A1949">
        <v>4785</v>
      </c>
      <c r="C1949" t="s">
        <v>131</v>
      </c>
      <c r="E1949">
        <v>83.4825</v>
      </c>
      <c r="F1949">
        <v>19.1145</v>
      </c>
      <c r="G1949">
        <v>302736.26</v>
      </c>
      <c r="H1949" s="1">
        <v>43682</v>
      </c>
      <c r="I1949" s="1">
        <v>43686</v>
      </c>
      <c r="J1949" t="s">
        <v>56</v>
      </c>
      <c r="K1949">
        <v>25</v>
      </c>
      <c r="L1949">
        <v>112500</v>
      </c>
      <c r="M1949" t="s">
        <v>54</v>
      </c>
      <c r="N1949">
        <v>1.5</v>
      </c>
    </row>
    <row r="1950" hidden="1" spans="1:14">
      <c r="A1950">
        <v>4798</v>
      </c>
      <c r="C1950" t="s">
        <v>131</v>
      </c>
      <c r="E1950">
        <v>74.3521</v>
      </c>
      <c r="F1950">
        <v>25.3928</v>
      </c>
      <c r="G1950">
        <v>180233.95</v>
      </c>
      <c r="H1950" s="1">
        <v>43721</v>
      </c>
      <c r="I1950" s="1">
        <v>43730</v>
      </c>
      <c r="J1950" t="s">
        <v>56</v>
      </c>
      <c r="K1950">
        <v>0</v>
      </c>
      <c r="L1950">
        <v>4500</v>
      </c>
      <c r="M1950" t="s">
        <v>54</v>
      </c>
      <c r="N1950">
        <v>1.5</v>
      </c>
    </row>
    <row r="1951" hidden="1" spans="1:14">
      <c r="A1951">
        <v>4799</v>
      </c>
      <c r="C1951" t="s">
        <v>131</v>
      </c>
      <c r="E1951">
        <v>77.3956</v>
      </c>
      <c r="F1951">
        <v>24.1511</v>
      </c>
      <c r="G1951">
        <v>236728.11</v>
      </c>
      <c r="H1951" s="1">
        <v>43723</v>
      </c>
      <c r="I1951" s="1">
        <v>43730</v>
      </c>
      <c r="J1951" t="s">
        <v>56</v>
      </c>
      <c r="K1951">
        <v>0</v>
      </c>
      <c r="L1951">
        <v>45000</v>
      </c>
      <c r="M1951" t="s">
        <v>54</v>
      </c>
      <c r="N1951">
        <v>1.5</v>
      </c>
    </row>
    <row r="1952" hidden="1" spans="1:14">
      <c r="A1952">
        <v>4822</v>
      </c>
      <c r="C1952" t="s">
        <v>131</v>
      </c>
      <c r="E1952">
        <v>94.2459</v>
      </c>
      <c r="F1952">
        <v>27.0678</v>
      </c>
      <c r="G1952">
        <v>106818.77</v>
      </c>
      <c r="H1952" s="1">
        <v>43763</v>
      </c>
      <c r="I1952" s="1">
        <v>43775</v>
      </c>
      <c r="J1952" t="s">
        <v>56</v>
      </c>
      <c r="K1952">
        <v>2</v>
      </c>
      <c r="L1952">
        <v>1000</v>
      </c>
      <c r="M1952" t="s">
        <v>49</v>
      </c>
      <c r="N1952">
        <v>1</v>
      </c>
    </row>
    <row r="1953" hidden="1" spans="1:14">
      <c r="A1953">
        <v>4832</v>
      </c>
      <c r="C1953" t="s">
        <v>131</v>
      </c>
      <c r="D1953" t="s">
        <v>474</v>
      </c>
      <c r="E1953">
        <v>78.8554</v>
      </c>
      <c r="F1953">
        <v>10.8488</v>
      </c>
      <c r="G1953">
        <v>104755.46</v>
      </c>
      <c r="H1953" s="1">
        <v>43799</v>
      </c>
      <c r="I1953" s="1">
        <v>43805</v>
      </c>
      <c r="J1953" t="s">
        <v>56</v>
      </c>
      <c r="K1953">
        <v>30</v>
      </c>
      <c r="L1953">
        <v>1000</v>
      </c>
      <c r="M1953" t="s">
        <v>49</v>
      </c>
      <c r="N1953">
        <v>1.5</v>
      </c>
    </row>
    <row r="1954" hidden="1" spans="1:14">
      <c r="A1954">
        <v>4921</v>
      </c>
      <c r="C1954" t="s">
        <v>131</v>
      </c>
      <c r="D1954" t="s">
        <v>132</v>
      </c>
      <c r="E1954">
        <v>85.4517</v>
      </c>
      <c r="F1954">
        <v>21.3074</v>
      </c>
      <c r="G1954">
        <v>171281.57</v>
      </c>
      <c r="H1954" s="1">
        <v>43970</v>
      </c>
      <c r="I1954" s="1">
        <v>43971</v>
      </c>
      <c r="J1954" t="s">
        <v>516</v>
      </c>
      <c r="K1954">
        <v>0</v>
      </c>
      <c r="L1954">
        <v>10000</v>
      </c>
      <c r="M1954" t="s">
        <v>517</v>
      </c>
      <c r="N1954">
        <v>2</v>
      </c>
    </row>
    <row r="1955" hidden="1" spans="1:14">
      <c r="A1955">
        <v>4919</v>
      </c>
      <c r="C1955" t="s">
        <v>131</v>
      </c>
      <c r="E1955">
        <v>94.7779</v>
      </c>
      <c r="F1955">
        <v>27.3406</v>
      </c>
      <c r="G1955">
        <v>37966.71</v>
      </c>
      <c r="H1955" s="1">
        <v>43974</v>
      </c>
      <c r="I1955" s="1">
        <v>43985</v>
      </c>
      <c r="J1955" t="s">
        <v>56</v>
      </c>
      <c r="K1955">
        <v>30</v>
      </c>
      <c r="L1955">
        <v>10000</v>
      </c>
      <c r="M1955" t="s">
        <v>517</v>
      </c>
      <c r="N1955">
        <v>2</v>
      </c>
    </row>
    <row r="1956" hidden="1" spans="1:14">
      <c r="A1956">
        <v>4927</v>
      </c>
      <c r="C1956" t="s">
        <v>131</v>
      </c>
      <c r="E1956">
        <v>75.2676</v>
      </c>
      <c r="F1956">
        <v>20.3337</v>
      </c>
      <c r="G1956">
        <v>199450.79</v>
      </c>
      <c r="H1956" s="1">
        <v>43984</v>
      </c>
      <c r="I1956" s="1">
        <v>43985</v>
      </c>
      <c r="J1956" t="s">
        <v>389</v>
      </c>
      <c r="K1956">
        <v>0</v>
      </c>
      <c r="L1956">
        <v>0</v>
      </c>
      <c r="M1956" t="s">
        <v>518</v>
      </c>
      <c r="N1956">
        <v>1.5</v>
      </c>
    </row>
    <row r="1957" hidden="1" spans="1:14">
      <c r="A1957">
        <v>4920</v>
      </c>
      <c r="C1957" t="s">
        <v>131</v>
      </c>
      <c r="E1957">
        <v>95.3099</v>
      </c>
      <c r="F1957">
        <v>27.9475</v>
      </c>
      <c r="G1957">
        <v>59427.38</v>
      </c>
      <c r="H1957" s="1">
        <v>44002</v>
      </c>
      <c r="I1957" s="1">
        <v>44042</v>
      </c>
      <c r="J1957" t="s">
        <v>56</v>
      </c>
      <c r="K1957">
        <v>0</v>
      </c>
      <c r="L1957">
        <v>30000</v>
      </c>
      <c r="M1957" t="s">
        <v>54</v>
      </c>
      <c r="N1957">
        <v>1</v>
      </c>
    </row>
    <row r="1958" hidden="1" spans="1:14">
      <c r="A1958">
        <v>4943</v>
      </c>
      <c r="C1958" t="s">
        <v>131</v>
      </c>
      <c r="E1958">
        <v>80.538</v>
      </c>
      <c r="F1958">
        <v>27.5459</v>
      </c>
      <c r="G1958">
        <v>293809.73</v>
      </c>
      <c r="H1958" s="1">
        <v>44024</v>
      </c>
      <c r="I1958" s="1">
        <v>44030</v>
      </c>
      <c r="J1958" t="s">
        <v>56</v>
      </c>
      <c r="K1958">
        <v>2</v>
      </c>
      <c r="L1958">
        <v>0</v>
      </c>
      <c r="M1958" t="s">
        <v>54</v>
      </c>
      <c r="N1958">
        <v>1.5</v>
      </c>
    </row>
    <row r="1959" hidden="1" spans="1:14">
      <c r="A1959">
        <v>4961</v>
      </c>
      <c r="C1959" t="s">
        <v>131</v>
      </c>
      <c r="E1959">
        <v>77.4698</v>
      </c>
      <c r="F1959">
        <v>24.7095</v>
      </c>
      <c r="G1959">
        <v>613621.12</v>
      </c>
      <c r="H1959" s="1">
        <v>44064</v>
      </c>
      <c r="I1959" s="1">
        <v>44070</v>
      </c>
      <c r="J1959" t="s">
        <v>56</v>
      </c>
      <c r="K1959">
        <v>13</v>
      </c>
      <c r="L1959">
        <v>60</v>
      </c>
      <c r="M1959" t="s">
        <v>54</v>
      </c>
      <c r="N1959">
        <v>1.5</v>
      </c>
    </row>
    <row r="1960" hidden="1" spans="1:14">
      <c r="A1960">
        <v>4963</v>
      </c>
      <c r="C1960" t="s">
        <v>131</v>
      </c>
      <c r="E1960">
        <v>95.0377</v>
      </c>
      <c r="F1960">
        <v>27.8486</v>
      </c>
      <c r="G1960">
        <v>90592.23</v>
      </c>
      <c r="H1960" s="1">
        <v>44087</v>
      </c>
      <c r="I1960" s="1">
        <v>44090</v>
      </c>
      <c r="J1960" t="s">
        <v>56</v>
      </c>
      <c r="K1960">
        <v>1</v>
      </c>
      <c r="L1960">
        <v>0</v>
      </c>
      <c r="M1960" t="s">
        <v>54</v>
      </c>
      <c r="N1960">
        <v>1</v>
      </c>
    </row>
    <row r="1961" hidden="1" spans="1:14">
      <c r="A1961">
        <v>4969</v>
      </c>
      <c r="C1961" t="s">
        <v>131</v>
      </c>
      <c r="E1961">
        <v>79.2266</v>
      </c>
      <c r="F1961">
        <v>17.3444</v>
      </c>
      <c r="G1961">
        <v>125991.06</v>
      </c>
      <c r="H1961" s="1">
        <v>44120</v>
      </c>
      <c r="I1961" s="1">
        <v>44129</v>
      </c>
      <c r="J1961" t="s">
        <v>56</v>
      </c>
      <c r="K1961">
        <v>6</v>
      </c>
      <c r="L1961">
        <v>2100</v>
      </c>
      <c r="M1961" t="s">
        <v>54</v>
      </c>
      <c r="N1961">
        <v>1.5</v>
      </c>
    </row>
    <row r="1962" hidden="1" spans="1:14">
      <c r="A1962">
        <v>5017</v>
      </c>
      <c r="C1962" t="s">
        <v>131</v>
      </c>
      <c r="E1962">
        <v>77.3956</v>
      </c>
      <c r="F1962">
        <v>9.3497</v>
      </c>
      <c r="G1962">
        <v>54040.63</v>
      </c>
      <c r="H1962" s="1">
        <v>44209</v>
      </c>
      <c r="I1962" s="1">
        <v>44221</v>
      </c>
      <c r="J1962" t="s">
        <v>56</v>
      </c>
      <c r="K1962">
        <v>0</v>
      </c>
      <c r="L1962">
        <v>843</v>
      </c>
      <c r="M1962" t="s">
        <v>54</v>
      </c>
      <c r="N1962">
        <v>1.5</v>
      </c>
    </row>
    <row r="1963" hidden="1" spans="1:14">
      <c r="A1963">
        <v>5023</v>
      </c>
      <c r="C1963" t="s">
        <v>131</v>
      </c>
      <c r="E1963">
        <v>80.0555</v>
      </c>
      <c r="F1963">
        <v>30.0132</v>
      </c>
      <c r="G1963">
        <v>1551.07</v>
      </c>
      <c r="H1963" s="1">
        <v>44234</v>
      </c>
      <c r="I1963" s="1">
        <v>44235</v>
      </c>
      <c r="J1963" t="s">
        <v>56</v>
      </c>
      <c r="K1963">
        <v>9</v>
      </c>
      <c r="L1963">
        <v>140</v>
      </c>
      <c r="M1963" t="s">
        <v>519</v>
      </c>
      <c r="N1963">
        <v>2</v>
      </c>
    </row>
    <row r="1964" hidden="1" spans="1:14">
      <c r="A1964">
        <v>5075</v>
      </c>
      <c r="C1964" t="s">
        <v>131</v>
      </c>
      <c r="E1964">
        <v>85.5114</v>
      </c>
      <c r="F1964">
        <v>21.6184</v>
      </c>
      <c r="G1964">
        <v>345642.73</v>
      </c>
      <c r="H1964" s="1">
        <v>44341</v>
      </c>
      <c r="I1964" s="1">
        <v>44344</v>
      </c>
      <c r="J1964" t="s">
        <v>56</v>
      </c>
      <c r="K1964">
        <v>1</v>
      </c>
      <c r="L1964">
        <v>1500000</v>
      </c>
      <c r="M1964" t="s">
        <v>520</v>
      </c>
      <c r="N1964">
        <v>1.5</v>
      </c>
    </row>
    <row r="1965" hidden="1" spans="1:14">
      <c r="A1965">
        <v>5076</v>
      </c>
      <c r="C1965" t="s">
        <v>131</v>
      </c>
      <c r="E1965">
        <v>73.2139</v>
      </c>
      <c r="F1965">
        <v>18.202</v>
      </c>
      <c r="G1965">
        <v>331180.37</v>
      </c>
      <c r="H1965" s="1">
        <v>44332</v>
      </c>
      <c r="I1965" s="1">
        <v>44339</v>
      </c>
      <c r="J1965" t="s">
        <v>58</v>
      </c>
      <c r="K1965">
        <v>23</v>
      </c>
      <c r="L1965">
        <v>200000</v>
      </c>
      <c r="M1965" t="s">
        <v>521</v>
      </c>
      <c r="N1965">
        <v>1.5</v>
      </c>
    </row>
    <row r="1966" hidden="1" spans="1:14">
      <c r="A1966">
        <v>5083</v>
      </c>
      <c r="C1966" t="s">
        <v>131</v>
      </c>
      <c r="E1966">
        <v>80.6839</v>
      </c>
      <c r="F1966">
        <v>27.6821</v>
      </c>
      <c r="G1966">
        <v>239570.76</v>
      </c>
      <c r="H1966" s="1">
        <v>44362</v>
      </c>
      <c r="I1966" s="1">
        <v>44368</v>
      </c>
      <c r="J1966" t="s">
        <v>56</v>
      </c>
      <c r="K1966">
        <v>0</v>
      </c>
      <c r="L1966">
        <v>0</v>
      </c>
      <c r="M1966" t="s">
        <v>54</v>
      </c>
      <c r="N1966">
        <v>1</v>
      </c>
    </row>
    <row r="1967" hidden="1" spans="1:14">
      <c r="A1967">
        <v>5091</v>
      </c>
      <c r="C1967" t="s">
        <v>131</v>
      </c>
      <c r="E1967">
        <v>94.2212</v>
      </c>
      <c r="F1967">
        <v>27.3659</v>
      </c>
      <c r="G1967">
        <v>78068.16</v>
      </c>
      <c r="H1967" s="1">
        <v>44377</v>
      </c>
      <c r="I1967" s="1">
        <v>44381</v>
      </c>
      <c r="J1967" t="s">
        <v>56</v>
      </c>
      <c r="K1967">
        <v>1</v>
      </c>
      <c r="L1967">
        <v>15000</v>
      </c>
      <c r="M1967" t="s">
        <v>54</v>
      </c>
      <c r="N1967">
        <v>1.5</v>
      </c>
    </row>
    <row r="1968" hidden="1" spans="1:14">
      <c r="A1968">
        <v>5101</v>
      </c>
      <c r="C1968" t="s">
        <v>131</v>
      </c>
      <c r="E1968">
        <v>74.7233</v>
      </c>
      <c r="F1968">
        <v>33.3259</v>
      </c>
      <c r="G1968">
        <v>12061.34</v>
      </c>
      <c r="H1968" s="1">
        <v>44404</v>
      </c>
      <c r="I1968" s="1">
        <v>44406</v>
      </c>
      <c r="J1968" t="s">
        <v>56</v>
      </c>
      <c r="K1968">
        <v>7</v>
      </c>
      <c r="L1968">
        <v>0</v>
      </c>
      <c r="M1968" t="s">
        <v>52</v>
      </c>
      <c r="N1968">
        <v>1.5</v>
      </c>
    </row>
    <row r="1969" hidden="1" spans="1:14">
      <c r="A1969">
        <v>5105</v>
      </c>
      <c r="C1969" t="s">
        <v>131</v>
      </c>
      <c r="E1969">
        <v>76.0347</v>
      </c>
      <c r="F1969">
        <v>14.5568</v>
      </c>
      <c r="G1969">
        <v>110848.7</v>
      </c>
      <c r="H1969" s="1">
        <v>44399</v>
      </c>
      <c r="I1969" s="1">
        <v>44407</v>
      </c>
      <c r="J1969" t="s">
        <v>56</v>
      </c>
      <c r="K1969">
        <v>9</v>
      </c>
      <c r="L1969">
        <v>31360</v>
      </c>
      <c r="M1969" t="s">
        <v>54</v>
      </c>
      <c r="N1969">
        <v>1.5</v>
      </c>
    </row>
    <row r="1970" hidden="1" spans="1:14">
      <c r="A1970">
        <v>5108</v>
      </c>
      <c r="C1970" t="s">
        <v>131</v>
      </c>
      <c r="E1970">
        <v>86.229</v>
      </c>
      <c r="F1970">
        <v>25.2127</v>
      </c>
      <c r="G1970">
        <v>48583.1</v>
      </c>
      <c r="H1970" s="1">
        <v>44415</v>
      </c>
      <c r="I1970" s="1">
        <v>44425</v>
      </c>
      <c r="J1970" t="s">
        <v>56</v>
      </c>
      <c r="K1970">
        <v>12</v>
      </c>
      <c r="L1970">
        <v>85000</v>
      </c>
      <c r="M1970" t="s">
        <v>54</v>
      </c>
      <c r="N1970">
        <v>1.5</v>
      </c>
    </row>
    <row r="1971" hidden="1" spans="1:14">
      <c r="A1971">
        <v>5121</v>
      </c>
      <c r="C1971" t="s">
        <v>131</v>
      </c>
      <c r="E1971">
        <v>84.1258</v>
      </c>
      <c r="F1971">
        <v>19.5361</v>
      </c>
      <c r="G1971">
        <v>71860.68</v>
      </c>
      <c r="H1971" s="1">
        <v>44451</v>
      </c>
      <c r="I1971" s="1">
        <v>44458</v>
      </c>
      <c r="J1971" t="s">
        <v>56</v>
      </c>
      <c r="K1971">
        <v>15</v>
      </c>
      <c r="L1971">
        <v>24127</v>
      </c>
      <c r="M1971" t="s">
        <v>54</v>
      </c>
      <c r="N1971">
        <v>1.5</v>
      </c>
    </row>
    <row r="1972" hidden="1" spans="1:14">
      <c r="A1972">
        <v>5122</v>
      </c>
      <c r="C1972" t="s">
        <v>131</v>
      </c>
      <c r="E1972">
        <v>87.9734</v>
      </c>
      <c r="F1972">
        <v>22.3238</v>
      </c>
      <c r="G1972">
        <v>45158.04</v>
      </c>
      <c r="H1972" s="1">
        <v>44453</v>
      </c>
      <c r="I1972" s="1">
        <v>44459</v>
      </c>
      <c r="J1972" t="s">
        <v>56</v>
      </c>
      <c r="K1972">
        <v>10</v>
      </c>
      <c r="L1972">
        <v>1300</v>
      </c>
      <c r="M1972" t="s">
        <v>54</v>
      </c>
      <c r="N1972">
        <v>1.5</v>
      </c>
    </row>
    <row r="1973" hidden="1" spans="1:14">
      <c r="A1973">
        <v>5126</v>
      </c>
      <c r="C1973" t="s">
        <v>131</v>
      </c>
      <c r="E1973">
        <v>82.9876</v>
      </c>
      <c r="F1973">
        <v>27.1972</v>
      </c>
      <c r="G1973">
        <v>94057.03</v>
      </c>
      <c r="H1973" s="1">
        <v>44454</v>
      </c>
      <c r="I1973" s="1">
        <v>44465</v>
      </c>
      <c r="J1973" t="s">
        <v>56</v>
      </c>
      <c r="K1973">
        <v>58</v>
      </c>
      <c r="L1973">
        <v>1200</v>
      </c>
      <c r="M1973" t="s">
        <v>54</v>
      </c>
      <c r="N1973">
        <v>1.5</v>
      </c>
    </row>
    <row r="1974" hidden="1" spans="1:14">
      <c r="A1974">
        <v>5130</v>
      </c>
      <c r="C1974" t="s">
        <v>131</v>
      </c>
      <c r="E1974">
        <v>87.961</v>
      </c>
      <c r="F1974">
        <v>23.7984</v>
      </c>
      <c r="G1974">
        <v>42828.6</v>
      </c>
      <c r="H1974" s="1">
        <v>44470</v>
      </c>
      <c r="I1974" s="1">
        <v>44478</v>
      </c>
      <c r="J1974" t="s">
        <v>56</v>
      </c>
      <c r="K1974">
        <v>11</v>
      </c>
      <c r="L1974">
        <v>500000</v>
      </c>
      <c r="M1974" t="s">
        <v>54</v>
      </c>
      <c r="N1974">
        <v>1.5</v>
      </c>
    </row>
    <row r="1975" hidden="1" spans="1:14">
      <c r="A1975">
        <v>190</v>
      </c>
      <c r="B1975">
        <v>0</v>
      </c>
      <c r="C1975" t="s">
        <v>522</v>
      </c>
      <c r="D1975">
        <v>0</v>
      </c>
      <c r="E1975">
        <v>92.926</v>
      </c>
      <c r="F1975">
        <v>26.988</v>
      </c>
      <c r="G1975">
        <v>70501.83</v>
      </c>
      <c r="H1975" s="1">
        <v>32315</v>
      </c>
      <c r="I1975" s="1">
        <v>32338</v>
      </c>
      <c r="J1975" t="s">
        <v>15</v>
      </c>
      <c r="K1975">
        <v>34</v>
      </c>
      <c r="L1975">
        <v>2000000</v>
      </c>
      <c r="M1975" t="s">
        <v>16</v>
      </c>
      <c r="N1975">
        <v>1</v>
      </c>
    </row>
    <row r="1976" hidden="1" spans="1:14">
      <c r="A1976">
        <v>203</v>
      </c>
      <c r="B1976">
        <v>0</v>
      </c>
      <c r="C1976" t="s">
        <v>522</v>
      </c>
      <c r="D1976">
        <v>0</v>
      </c>
      <c r="E1976">
        <v>71.1117</v>
      </c>
      <c r="F1976">
        <v>22.0189</v>
      </c>
      <c r="G1976">
        <v>76352.55</v>
      </c>
      <c r="H1976" s="1">
        <v>32338</v>
      </c>
      <c r="I1976" s="1">
        <v>32351</v>
      </c>
      <c r="J1976" t="s">
        <v>15</v>
      </c>
      <c r="K1976">
        <v>97</v>
      </c>
      <c r="L1976">
        <v>25000</v>
      </c>
      <c r="M1976" t="s">
        <v>16</v>
      </c>
      <c r="N1976">
        <v>1</v>
      </c>
    </row>
    <row r="1977" hidden="1" spans="1:14">
      <c r="A1977">
        <v>214</v>
      </c>
      <c r="B1977">
        <v>0</v>
      </c>
      <c r="C1977" t="s">
        <v>522</v>
      </c>
      <c r="D1977">
        <v>0</v>
      </c>
      <c r="E1977">
        <v>80.713</v>
      </c>
      <c r="F1977">
        <v>18.4311</v>
      </c>
      <c r="G1977">
        <v>94871.79</v>
      </c>
      <c r="H1977" s="1">
        <v>32355</v>
      </c>
      <c r="I1977" s="1">
        <v>32357</v>
      </c>
      <c r="J1977" t="s">
        <v>15</v>
      </c>
      <c r="K1977">
        <v>50</v>
      </c>
      <c r="L1977">
        <v>0</v>
      </c>
      <c r="M1977" t="s">
        <v>16</v>
      </c>
      <c r="N1977">
        <v>1</v>
      </c>
    </row>
    <row r="1978" hidden="1" spans="1:14">
      <c r="A1978">
        <v>255</v>
      </c>
      <c r="B1978">
        <v>0</v>
      </c>
      <c r="C1978" t="s">
        <v>522</v>
      </c>
      <c r="D1978">
        <v>0</v>
      </c>
      <c r="E1978">
        <v>72.8962</v>
      </c>
      <c r="F1978">
        <v>19.1131</v>
      </c>
      <c r="G1978">
        <v>605.213</v>
      </c>
      <c r="H1978" s="1">
        <v>32419</v>
      </c>
      <c r="I1978" s="1">
        <v>32420</v>
      </c>
      <c r="J1978" t="s">
        <v>15</v>
      </c>
      <c r="K1978">
        <v>23</v>
      </c>
      <c r="L1978">
        <v>0</v>
      </c>
      <c r="M1978" t="s">
        <v>16</v>
      </c>
      <c r="N1978">
        <v>1</v>
      </c>
    </row>
    <row r="1979" hidden="1" spans="1:14">
      <c r="A1979">
        <v>1628</v>
      </c>
      <c r="B1979">
        <v>0</v>
      </c>
      <c r="C1979" t="s">
        <v>522</v>
      </c>
      <c r="D1979">
        <v>0</v>
      </c>
      <c r="E1979">
        <v>80.0385</v>
      </c>
      <c r="F1979">
        <v>19.9343</v>
      </c>
      <c r="G1979">
        <v>36854.1</v>
      </c>
      <c r="H1979" s="1">
        <v>36768</v>
      </c>
      <c r="I1979" s="1">
        <v>36770</v>
      </c>
      <c r="J1979" t="s">
        <v>15</v>
      </c>
      <c r="K1979">
        <v>40</v>
      </c>
      <c r="L1979">
        <v>5000</v>
      </c>
      <c r="M1979" t="s">
        <v>16</v>
      </c>
      <c r="N1979">
        <v>1</v>
      </c>
    </row>
    <row r="1980" hidden="1" spans="1:14">
      <c r="A1980">
        <v>1747</v>
      </c>
      <c r="B1980">
        <v>0</v>
      </c>
      <c r="C1980" t="s">
        <v>522</v>
      </c>
      <c r="D1980">
        <v>0</v>
      </c>
      <c r="E1980">
        <v>84.7987</v>
      </c>
      <c r="F1980">
        <v>21.0559</v>
      </c>
      <c r="G1980">
        <v>105057.29</v>
      </c>
      <c r="H1980" s="1">
        <v>37080</v>
      </c>
      <c r="I1980" s="1">
        <v>37113</v>
      </c>
      <c r="J1980" t="s">
        <v>15</v>
      </c>
      <c r="K1980">
        <v>100</v>
      </c>
      <c r="L1980">
        <v>2000000</v>
      </c>
      <c r="M1980" t="s">
        <v>23</v>
      </c>
      <c r="N1980">
        <v>2</v>
      </c>
    </row>
    <row r="1981" hidden="1" spans="1:14">
      <c r="A1981">
        <v>1753</v>
      </c>
      <c r="B1981">
        <v>0</v>
      </c>
      <c r="C1981" t="s">
        <v>522</v>
      </c>
      <c r="D1981">
        <v>0</v>
      </c>
      <c r="E1981">
        <v>79.8583</v>
      </c>
      <c r="F1981">
        <v>30.7738</v>
      </c>
      <c r="G1981">
        <v>2458.01</v>
      </c>
      <c r="H1981" s="1">
        <v>37088</v>
      </c>
      <c r="I1981" s="1">
        <v>37088</v>
      </c>
      <c r="J1981" t="s">
        <v>15</v>
      </c>
      <c r="K1981">
        <v>26</v>
      </c>
      <c r="L1981">
        <v>0</v>
      </c>
      <c r="M1981" t="s">
        <v>18</v>
      </c>
      <c r="N1981">
        <v>1</v>
      </c>
    </row>
    <row r="1982" hidden="1" spans="1:14">
      <c r="A1982">
        <v>1779</v>
      </c>
      <c r="B1982">
        <v>0</v>
      </c>
      <c r="C1982" t="s">
        <v>522</v>
      </c>
      <c r="D1982">
        <v>0</v>
      </c>
      <c r="E1982">
        <v>76.1481</v>
      </c>
      <c r="F1982">
        <v>32.6061</v>
      </c>
      <c r="G1982">
        <v>3009.11</v>
      </c>
      <c r="H1982" s="1">
        <v>37117</v>
      </c>
      <c r="I1982" s="1">
        <v>37118</v>
      </c>
      <c r="J1982" t="s">
        <v>15</v>
      </c>
      <c r="K1982">
        <v>16</v>
      </c>
      <c r="L1982">
        <v>0</v>
      </c>
      <c r="M1982" t="s">
        <v>16</v>
      </c>
      <c r="N1982">
        <v>1</v>
      </c>
    </row>
    <row r="1983" hidden="1" spans="1:14">
      <c r="A1983">
        <v>1789</v>
      </c>
      <c r="B1983">
        <v>0</v>
      </c>
      <c r="C1983" t="s">
        <v>522</v>
      </c>
      <c r="D1983">
        <v>0</v>
      </c>
      <c r="E1983">
        <v>83.0513</v>
      </c>
      <c r="F1983">
        <v>26.7556</v>
      </c>
      <c r="G1983">
        <v>35442.06</v>
      </c>
      <c r="H1983" s="1">
        <v>37123</v>
      </c>
      <c r="I1983" s="1">
        <v>37145</v>
      </c>
      <c r="J1983" t="s">
        <v>15</v>
      </c>
      <c r="K1983">
        <v>65</v>
      </c>
      <c r="L1983">
        <v>300000</v>
      </c>
      <c r="M1983" t="s">
        <v>16</v>
      </c>
      <c r="N1983">
        <v>1</v>
      </c>
    </row>
    <row r="1984" hidden="1" spans="1:14">
      <c r="A1984">
        <v>1803</v>
      </c>
      <c r="B1984">
        <v>0</v>
      </c>
      <c r="C1984" t="s">
        <v>522</v>
      </c>
      <c r="D1984">
        <v>0</v>
      </c>
      <c r="E1984">
        <v>79.1214</v>
      </c>
      <c r="F1984">
        <v>16.746</v>
      </c>
      <c r="G1984">
        <v>44526.51</v>
      </c>
      <c r="H1984" s="1">
        <v>37164</v>
      </c>
      <c r="I1984" s="1">
        <v>37166</v>
      </c>
      <c r="J1984" t="s">
        <v>15</v>
      </c>
      <c r="K1984">
        <v>12</v>
      </c>
      <c r="L1984">
        <v>9000</v>
      </c>
      <c r="M1984" t="s">
        <v>18</v>
      </c>
      <c r="N1984">
        <v>1</v>
      </c>
    </row>
    <row r="1985" hidden="1" spans="1:14">
      <c r="A1985">
        <v>1811</v>
      </c>
      <c r="B1985">
        <v>0</v>
      </c>
      <c r="C1985" t="s">
        <v>522</v>
      </c>
      <c r="D1985">
        <v>0</v>
      </c>
      <c r="E1985">
        <v>79.054</v>
      </c>
      <c r="F1985">
        <v>14.8405</v>
      </c>
      <c r="G1985">
        <v>87384.5</v>
      </c>
      <c r="H1985" s="1">
        <v>37180</v>
      </c>
      <c r="I1985" s="1">
        <v>37185</v>
      </c>
      <c r="J1985" t="s">
        <v>15</v>
      </c>
      <c r="K1985">
        <v>143</v>
      </c>
      <c r="L1985">
        <v>50000</v>
      </c>
      <c r="M1985" t="s">
        <v>16</v>
      </c>
      <c r="N1985">
        <v>1</v>
      </c>
    </row>
    <row r="1986" hidden="1" spans="1:14">
      <c r="A1986">
        <v>4</v>
      </c>
      <c r="B1986">
        <v>0</v>
      </c>
      <c r="C1986" t="s">
        <v>523</v>
      </c>
      <c r="D1986">
        <v>0</v>
      </c>
      <c r="E1986">
        <v>124.606</v>
      </c>
      <c r="F1986">
        <v>1.01489</v>
      </c>
      <c r="G1986">
        <v>16542.12</v>
      </c>
      <c r="H1986" s="1">
        <v>31082</v>
      </c>
      <c r="I1986" s="1">
        <v>31096</v>
      </c>
      <c r="J1986" t="s">
        <v>15</v>
      </c>
      <c r="K1986">
        <v>21</v>
      </c>
      <c r="L1986">
        <v>300</v>
      </c>
      <c r="M1986" t="s">
        <v>64</v>
      </c>
      <c r="N1986">
        <v>1</v>
      </c>
    </row>
    <row r="1987" hidden="1" spans="1:14">
      <c r="A1987">
        <v>8</v>
      </c>
      <c r="B1987">
        <v>0</v>
      </c>
      <c r="C1987" t="s">
        <v>523</v>
      </c>
      <c r="D1987">
        <v>0</v>
      </c>
      <c r="E1987">
        <v>108.14</v>
      </c>
      <c r="F1987">
        <v>-7.04008</v>
      </c>
      <c r="G1987">
        <v>77091.11</v>
      </c>
      <c r="H1987" s="1">
        <v>31097</v>
      </c>
      <c r="I1987" s="1">
        <v>31101</v>
      </c>
      <c r="J1987" t="s">
        <v>15</v>
      </c>
      <c r="K1987">
        <v>10</v>
      </c>
      <c r="L1987">
        <v>2000</v>
      </c>
      <c r="M1987" t="s">
        <v>16</v>
      </c>
      <c r="N1987">
        <v>1</v>
      </c>
    </row>
    <row r="1988" hidden="1" spans="1:14">
      <c r="A1988">
        <v>112</v>
      </c>
      <c r="B1988">
        <v>0</v>
      </c>
      <c r="C1988" t="s">
        <v>523</v>
      </c>
      <c r="D1988">
        <v>0</v>
      </c>
      <c r="E1988">
        <v>106.005</v>
      </c>
      <c r="F1988">
        <v>-3.70717</v>
      </c>
      <c r="G1988">
        <v>79414.6</v>
      </c>
      <c r="H1988" s="1">
        <v>31712</v>
      </c>
      <c r="I1988" s="1">
        <v>31719</v>
      </c>
      <c r="J1988" t="s">
        <v>15</v>
      </c>
      <c r="K1988">
        <v>93</v>
      </c>
      <c r="L1988">
        <v>31000</v>
      </c>
      <c r="M1988" t="s">
        <v>16</v>
      </c>
      <c r="N1988">
        <v>2</v>
      </c>
    </row>
    <row r="1989" hidden="1" spans="1:14">
      <c r="A1989">
        <v>272</v>
      </c>
      <c r="B1989">
        <v>0</v>
      </c>
      <c r="C1989" t="s">
        <v>523</v>
      </c>
      <c r="D1989">
        <v>0</v>
      </c>
      <c r="E1989">
        <v>109.96</v>
      </c>
      <c r="F1989">
        <v>-6.93061</v>
      </c>
      <c r="G1989">
        <v>7437.76</v>
      </c>
      <c r="H1989" s="1">
        <v>32494</v>
      </c>
      <c r="I1989" s="1">
        <v>32496</v>
      </c>
      <c r="J1989" t="s">
        <v>15</v>
      </c>
      <c r="K1989">
        <v>40</v>
      </c>
      <c r="L1989">
        <v>0</v>
      </c>
      <c r="M1989" t="s">
        <v>64</v>
      </c>
      <c r="N1989">
        <v>1</v>
      </c>
    </row>
    <row r="1990" hidden="1" spans="1:14">
      <c r="A1990">
        <v>278</v>
      </c>
      <c r="B1990">
        <v>0</v>
      </c>
      <c r="C1990" t="s">
        <v>523</v>
      </c>
      <c r="D1990">
        <v>0</v>
      </c>
      <c r="E1990">
        <v>-3.96448</v>
      </c>
      <c r="F1990">
        <v>50.9569</v>
      </c>
      <c r="G1990">
        <v>841.217</v>
      </c>
      <c r="H1990" s="1">
        <v>32525</v>
      </c>
      <c r="I1990" s="1">
        <v>32535</v>
      </c>
      <c r="J1990" t="s">
        <v>15</v>
      </c>
      <c r="K1990">
        <v>35</v>
      </c>
      <c r="L1990">
        <v>137000</v>
      </c>
      <c r="M1990" t="s">
        <v>86</v>
      </c>
      <c r="N1990">
        <v>1</v>
      </c>
    </row>
    <row r="1991" hidden="1" spans="1:14">
      <c r="A1991">
        <v>342</v>
      </c>
      <c r="B1991">
        <v>0</v>
      </c>
      <c r="C1991" t="s">
        <v>523</v>
      </c>
      <c r="D1991">
        <v>0</v>
      </c>
      <c r="E1991">
        <v>106.969</v>
      </c>
      <c r="F1991">
        <v>-6.18356</v>
      </c>
      <c r="G1991">
        <v>3532.47</v>
      </c>
      <c r="H1991" s="1">
        <v>32720</v>
      </c>
      <c r="I1991" s="1">
        <v>32722</v>
      </c>
      <c r="J1991" t="s">
        <v>15</v>
      </c>
      <c r="K1991">
        <v>8</v>
      </c>
      <c r="L1991">
        <v>0</v>
      </c>
      <c r="M1991" t="s">
        <v>16</v>
      </c>
      <c r="N1991">
        <v>1</v>
      </c>
    </row>
    <row r="1992" hidden="1" spans="1:14">
      <c r="A1992">
        <v>351</v>
      </c>
      <c r="B1992">
        <v>0</v>
      </c>
      <c r="C1992" t="s">
        <v>523</v>
      </c>
      <c r="D1992">
        <v>0</v>
      </c>
      <c r="E1992">
        <v>101.905</v>
      </c>
      <c r="F1992">
        <v>0.654819</v>
      </c>
      <c r="G1992">
        <v>98706.2</v>
      </c>
      <c r="H1992" s="1">
        <v>32729</v>
      </c>
      <c r="I1992" s="1">
        <v>32733</v>
      </c>
      <c r="J1992" t="s">
        <v>15</v>
      </c>
      <c r="K1992">
        <v>0</v>
      </c>
      <c r="L1992">
        <v>0</v>
      </c>
      <c r="M1992" t="s">
        <v>16</v>
      </c>
      <c r="N1992">
        <v>1</v>
      </c>
    </row>
    <row r="1993" hidden="1" spans="1:14">
      <c r="A1993">
        <v>278</v>
      </c>
      <c r="B1993">
        <v>0</v>
      </c>
      <c r="C1993" t="s">
        <v>523</v>
      </c>
      <c r="D1993">
        <v>0</v>
      </c>
      <c r="E1993">
        <v>101.364</v>
      </c>
      <c r="F1993">
        <v>-2.10794</v>
      </c>
      <c r="G1993">
        <v>68878.25</v>
      </c>
      <c r="H1993" s="1">
        <v>32525</v>
      </c>
      <c r="I1993" s="1">
        <v>32535</v>
      </c>
      <c r="J1993" t="s">
        <v>15</v>
      </c>
      <c r="K1993">
        <v>35</v>
      </c>
      <c r="L1993">
        <v>137000</v>
      </c>
      <c r="M1993" t="s">
        <v>86</v>
      </c>
      <c r="N1993">
        <v>1</v>
      </c>
    </row>
    <row r="1994" hidden="1" spans="1:14">
      <c r="A1994">
        <v>290</v>
      </c>
      <c r="B1994">
        <v>0</v>
      </c>
      <c r="C1994" t="s">
        <v>523</v>
      </c>
      <c r="D1994">
        <v>0</v>
      </c>
      <c r="E1994">
        <v>109.606</v>
      </c>
      <c r="F1994">
        <v>-7.27055</v>
      </c>
      <c r="G1994">
        <v>18961.61</v>
      </c>
      <c r="H1994" s="1">
        <v>32560</v>
      </c>
      <c r="I1994" s="1">
        <v>32566</v>
      </c>
      <c r="J1994" t="s">
        <v>15</v>
      </c>
      <c r="K1994">
        <v>3</v>
      </c>
      <c r="L1994">
        <v>15000</v>
      </c>
      <c r="M1994" t="s">
        <v>16</v>
      </c>
      <c r="N1994">
        <v>1</v>
      </c>
    </row>
    <row r="1995" hidden="1" spans="1:14">
      <c r="A1995">
        <v>391</v>
      </c>
      <c r="B1995">
        <v>0</v>
      </c>
      <c r="C1995" t="s">
        <v>523</v>
      </c>
      <c r="D1995">
        <v>0</v>
      </c>
      <c r="E1995">
        <v>110.479</v>
      </c>
      <c r="F1995">
        <v>-7.13095</v>
      </c>
      <c r="G1995">
        <v>23641.75</v>
      </c>
      <c r="H1995" s="1">
        <v>32899</v>
      </c>
      <c r="I1995" s="1">
        <v>32905</v>
      </c>
      <c r="J1995" t="s">
        <v>15</v>
      </c>
      <c r="K1995">
        <v>189</v>
      </c>
      <c r="L1995">
        <v>45000</v>
      </c>
      <c r="M1995" t="s">
        <v>23</v>
      </c>
      <c r="N1995">
        <v>1</v>
      </c>
    </row>
    <row r="1996" hidden="1" spans="1:14">
      <c r="A1996">
        <v>404</v>
      </c>
      <c r="B1996">
        <v>0</v>
      </c>
      <c r="C1996" t="s">
        <v>523</v>
      </c>
      <c r="D1996">
        <v>0</v>
      </c>
      <c r="E1996">
        <v>106.815</v>
      </c>
      <c r="F1996">
        <v>-6.55667</v>
      </c>
      <c r="G1996">
        <v>2800.81</v>
      </c>
      <c r="H1996" s="1">
        <v>32967</v>
      </c>
      <c r="I1996" s="1">
        <v>32968</v>
      </c>
      <c r="J1996" t="s">
        <v>15</v>
      </c>
      <c r="K1996">
        <v>22</v>
      </c>
      <c r="L1996">
        <v>160</v>
      </c>
      <c r="M1996" t="s">
        <v>16</v>
      </c>
      <c r="N1996">
        <v>1</v>
      </c>
    </row>
    <row r="1997" hidden="1" spans="1:14">
      <c r="A1997">
        <v>476</v>
      </c>
      <c r="B1997">
        <v>0</v>
      </c>
      <c r="C1997" t="s">
        <v>523</v>
      </c>
      <c r="D1997">
        <v>0</v>
      </c>
      <c r="E1997">
        <v>120.486</v>
      </c>
      <c r="F1997">
        <v>0.617967</v>
      </c>
      <c r="G1997">
        <v>7031.29</v>
      </c>
      <c r="H1997" s="1">
        <v>33172</v>
      </c>
      <c r="I1997" s="1">
        <v>33175</v>
      </c>
      <c r="J1997" t="s">
        <v>15</v>
      </c>
      <c r="K1997">
        <v>0</v>
      </c>
      <c r="L1997">
        <v>300</v>
      </c>
      <c r="M1997" t="s">
        <v>16</v>
      </c>
      <c r="N1997">
        <v>1</v>
      </c>
    </row>
    <row r="1998" hidden="1" spans="1:14">
      <c r="A1998">
        <v>489</v>
      </c>
      <c r="B1998">
        <v>0</v>
      </c>
      <c r="C1998" t="s">
        <v>523</v>
      </c>
      <c r="D1998">
        <v>0</v>
      </c>
      <c r="E1998">
        <v>103.373</v>
      </c>
      <c r="F1998">
        <v>-1.5796</v>
      </c>
      <c r="G1998">
        <v>25301.19</v>
      </c>
      <c r="H1998" s="1">
        <v>33219</v>
      </c>
      <c r="I1998" s="1">
        <v>33241</v>
      </c>
      <c r="J1998" t="s">
        <v>15</v>
      </c>
      <c r="K1998">
        <v>5</v>
      </c>
      <c r="L1998">
        <v>0</v>
      </c>
      <c r="M1998" t="s">
        <v>16</v>
      </c>
      <c r="N1998">
        <v>1</v>
      </c>
    </row>
    <row r="1999" hidden="1" spans="1:14">
      <c r="A1999">
        <v>503</v>
      </c>
      <c r="B1999">
        <v>0</v>
      </c>
      <c r="C1999" t="s">
        <v>523</v>
      </c>
      <c r="D1999">
        <v>0</v>
      </c>
      <c r="E1999">
        <v>100.463</v>
      </c>
      <c r="F1999">
        <v>-0.928753</v>
      </c>
      <c r="G1999">
        <v>35452.31</v>
      </c>
      <c r="H1999" s="1">
        <v>33329</v>
      </c>
      <c r="I1999" s="1">
        <v>33330</v>
      </c>
      <c r="J1999" t="s">
        <v>15</v>
      </c>
      <c r="K1999">
        <v>1</v>
      </c>
      <c r="L1999">
        <v>100000</v>
      </c>
      <c r="M1999" t="s">
        <v>16</v>
      </c>
      <c r="N1999">
        <v>1</v>
      </c>
    </row>
    <row r="2000" hidden="1" spans="1:14">
      <c r="A2000">
        <v>520</v>
      </c>
      <c r="B2000">
        <v>0</v>
      </c>
      <c r="C2000" t="s">
        <v>523</v>
      </c>
      <c r="D2000">
        <v>0</v>
      </c>
      <c r="E2000">
        <v>114.253</v>
      </c>
      <c r="F2000">
        <v>-1.6868</v>
      </c>
      <c r="G2000">
        <v>88238.01</v>
      </c>
      <c r="H2000" s="1">
        <v>33398</v>
      </c>
      <c r="I2000" s="1">
        <v>33400</v>
      </c>
      <c r="J2000" t="s">
        <v>15</v>
      </c>
      <c r="K2000">
        <v>73</v>
      </c>
      <c r="L2000">
        <v>0</v>
      </c>
      <c r="M2000" t="s">
        <v>64</v>
      </c>
      <c r="N2000">
        <v>1</v>
      </c>
    </row>
    <row r="2001" hidden="1" spans="1:14">
      <c r="A2001">
        <v>600</v>
      </c>
      <c r="B2001">
        <v>0</v>
      </c>
      <c r="C2001" t="s">
        <v>523</v>
      </c>
      <c r="D2001">
        <v>0</v>
      </c>
      <c r="E2001">
        <v>96.9026</v>
      </c>
      <c r="F2001">
        <v>3.96409</v>
      </c>
      <c r="G2001">
        <v>54664.44</v>
      </c>
      <c r="H2001" s="1">
        <v>33572</v>
      </c>
      <c r="I2001" s="1">
        <v>33574</v>
      </c>
      <c r="J2001" t="s">
        <v>15</v>
      </c>
      <c r="K2001">
        <v>0</v>
      </c>
      <c r="L2001">
        <v>0</v>
      </c>
      <c r="M2001" t="s">
        <v>16</v>
      </c>
      <c r="N2001">
        <v>1</v>
      </c>
    </row>
    <row r="2002" hidden="1" spans="1:14">
      <c r="A2002">
        <v>607</v>
      </c>
      <c r="B2002">
        <v>0</v>
      </c>
      <c r="C2002" t="s">
        <v>523</v>
      </c>
      <c r="D2002">
        <v>0</v>
      </c>
      <c r="E2002">
        <v>101.949</v>
      </c>
      <c r="F2002">
        <v>0.610309</v>
      </c>
      <c r="G2002">
        <v>92248.48</v>
      </c>
      <c r="H2002" s="1">
        <v>33588</v>
      </c>
      <c r="I2002" s="1">
        <v>33594</v>
      </c>
      <c r="J2002" t="s">
        <v>15</v>
      </c>
      <c r="K2002">
        <v>2</v>
      </c>
      <c r="L2002">
        <v>100000</v>
      </c>
      <c r="M2002" t="s">
        <v>16</v>
      </c>
      <c r="N2002">
        <v>1</v>
      </c>
    </row>
    <row r="2003" hidden="1" spans="1:14">
      <c r="A2003">
        <v>689</v>
      </c>
      <c r="B2003">
        <v>0</v>
      </c>
      <c r="C2003" t="s">
        <v>523</v>
      </c>
      <c r="D2003">
        <v>0</v>
      </c>
      <c r="E2003">
        <v>111.708</v>
      </c>
      <c r="F2003">
        <v>-7.58451</v>
      </c>
      <c r="G2003">
        <v>98559.77</v>
      </c>
      <c r="H2003" s="1">
        <v>33849</v>
      </c>
      <c r="I2003" s="1">
        <v>33892</v>
      </c>
      <c r="J2003" t="s">
        <v>15</v>
      </c>
      <c r="K2003">
        <v>70</v>
      </c>
      <c r="L2003">
        <v>15000</v>
      </c>
      <c r="M2003" t="s">
        <v>16</v>
      </c>
      <c r="N2003">
        <v>1</v>
      </c>
    </row>
    <row r="2004" hidden="1" spans="1:14">
      <c r="A2004">
        <v>729</v>
      </c>
      <c r="B2004">
        <v>0</v>
      </c>
      <c r="C2004" t="s">
        <v>523</v>
      </c>
      <c r="D2004">
        <v>0</v>
      </c>
      <c r="E2004">
        <v>111.256</v>
      </c>
      <c r="F2004">
        <v>-6.80799</v>
      </c>
      <c r="G2004">
        <v>19196.74</v>
      </c>
      <c r="H2004" s="1">
        <v>34001</v>
      </c>
      <c r="I2004" s="1">
        <v>34005</v>
      </c>
      <c r="J2004" t="s">
        <v>15</v>
      </c>
      <c r="K2004">
        <v>54</v>
      </c>
      <c r="L2004">
        <v>259000</v>
      </c>
      <c r="M2004" t="s">
        <v>23</v>
      </c>
      <c r="N2004">
        <v>1</v>
      </c>
    </row>
    <row r="2005" hidden="1" spans="1:14">
      <c r="A2005">
        <v>822</v>
      </c>
      <c r="B2005">
        <v>0</v>
      </c>
      <c r="C2005" t="s">
        <v>523</v>
      </c>
      <c r="D2005">
        <v>0</v>
      </c>
      <c r="E2005">
        <v>107.657</v>
      </c>
      <c r="F2005">
        <v>-6.83998</v>
      </c>
      <c r="G2005">
        <v>10207.65</v>
      </c>
      <c r="H2005" s="1">
        <v>34346</v>
      </c>
      <c r="I2005" s="1">
        <v>34356</v>
      </c>
      <c r="J2005" t="s">
        <v>15</v>
      </c>
      <c r="K2005">
        <v>10</v>
      </c>
      <c r="L2005">
        <v>50700</v>
      </c>
      <c r="M2005" t="s">
        <v>16</v>
      </c>
      <c r="N2005">
        <v>1</v>
      </c>
    </row>
    <row r="2006" hidden="1" spans="1:14">
      <c r="A2006">
        <v>825</v>
      </c>
      <c r="B2006">
        <v>0</v>
      </c>
      <c r="C2006" t="s">
        <v>523</v>
      </c>
      <c r="D2006">
        <v>0</v>
      </c>
      <c r="E2006">
        <v>110.662</v>
      </c>
      <c r="F2006">
        <v>-7.37598</v>
      </c>
      <c r="G2006">
        <v>59036.58</v>
      </c>
      <c r="H2006" s="1">
        <v>34362</v>
      </c>
      <c r="I2006" s="1">
        <v>34365</v>
      </c>
      <c r="J2006" t="s">
        <v>15</v>
      </c>
      <c r="K2006">
        <v>2</v>
      </c>
      <c r="L2006">
        <v>0</v>
      </c>
      <c r="M2006" t="s">
        <v>16</v>
      </c>
      <c r="N2006">
        <v>1</v>
      </c>
    </row>
    <row r="2007" hidden="1" spans="1:14">
      <c r="A2007">
        <v>829</v>
      </c>
      <c r="B2007">
        <v>0</v>
      </c>
      <c r="C2007" t="s">
        <v>523</v>
      </c>
      <c r="D2007">
        <v>0</v>
      </c>
      <c r="E2007">
        <v>99.033</v>
      </c>
      <c r="F2007">
        <v>3.12557</v>
      </c>
      <c r="G2007">
        <v>19421.63</v>
      </c>
      <c r="H2007" s="1">
        <v>34376</v>
      </c>
      <c r="I2007" s="1">
        <v>34379</v>
      </c>
      <c r="J2007" t="s">
        <v>15</v>
      </c>
      <c r="K2007">
        <v>5</v>
      </c>
      <c r="L2007">
        <v>0</v>
      </c>
      <c r="M2007" t="s">
        <v>16</v>
      </c>
      <c r="N2007">
        <v>1</v>
      </c>
    </row>
    <row r="2008" hidden="1" spans="1:14">
      <c r="A2008">
        <v>833</v>
      </c>
      <c r="B2008">
        <v>0</v>
      </c>
      <c r="C2008" t="s">
        <v>523</v>
      </c>
      <c r="D2008">
        <v>0</v>
      </c>
      <c r="E2008">
        <v>118.798</v>
      </c>
      <c r="F2008">
        <v>-8.48433</v>
      </c>
      <c r="G2008">
        <v>1822.72</v>
      </c>
      <c r="H2008" s="1">
        <v>34405</v>
      </c>
      <c r="I2008" s="1">
        <v>34409</v>
      </c>
      <c r="J2008" t="s">
        <v>15</v>
      </c>
      <c r="K2008">
        <v>5</v>
      </c>
      <c r="L2008">
        <v>50000</v>
      </c>
      <c r="M2008" t="s">
        <v>16</v>
      </c>
      <c r="N2008">
        <v>1</v>
      </c>
    </row>
    <row r="2009" hidden="1" spans="1:14">
      <c r="A2009">
        <v>835</v>
      </c>
      <c r="B2009">
        <v>0</v>
      </c>
      <c r="C2009" t="s">
        <v>523</v>
      </c>
      <c r="D2009">
        <v>0</v>
      </c>
      <c r="E2009">
        <v>111.684</v>
      </c>
      <c r="F2009">
        <v>-7.50232</v>
      </c>
      <c r="G2009">
        <v>36275.49</v>
      </c>
      <c r="H2009" s="1">
        <v>34416</v>
      </c>
      <c r="I2009" s="1">
        <v>34419</v>
      </c>
      <c r="J2009" t="s">
        <v>15</v>
      </c>
      <c r="K2009">
        <v>12</v>
      </c>
      <c r="L2009">
        <v>83125</v>
      </c>
      <c r="M2009" t="s">
        <v>16</v>
      </c>
      <c r="N2009">
        <v>1</v>
      </c>
    </row>
    <row r="2010" hidden="1" spans="1:14">
      <c r="A2010">
        <v>914</v>
      </c>
      <c r="B2010">
        <v>0</v>
      </c>
      <c r="C2010" t="s">
        <v>523</v>
      </c>
      <c r="D2010">
        <v>0</v>
      </c>
      <c r="E2010">
        <v>119.16</v>
      </c>
      <c r="F2010">
        <v>-8.59727</v>
      </c>
      <c r="G2010">
        <v>19939.07</v>
      </c>
      <c r="H2010" s="1">
        <v>34639</v>
      </c>
      <c r="I2010" s="1">
        <v>34642</v>
      </c>
      <c r="J2010" t="s">
        <v>15</v>
      </c>
      <c r="K2010">
        <v>31</v>
      </c>
      <c r="L2010">
        <v>0</v>
      </c>
      <c r="M2010" t="s">
        <v>16</v>
      </c>
      <c r="N2010">
        <v>1</v>
      </c>
    </row>
    <row r="2011" hidden="1" spans="1:14">
      <c r="A2011">
        <v>924</v>
      </c>
      <c r="B2011">
        <v>0</v>
      </c>
      <c r="C2011" t="s">
        <v>523</v>
      </c>
      <c r="D2011">
        <v>0</v>
      </c>
      <c r="E2011">
        <v>100.547</v>
      </c>
      <c r="F2011">
        <v>-0.77561</v>
      </c>
      <c r="G2011">
        <v>38745.91</v>
      </c>
      <c r="H2011" s="1">
        <v>34670</v>
      </c>
      <c r="I2011" s="1">
        <v>34675</v>
      </c>
      <c r="J2011" t="s">
        <v>15</v>
      </c>
      <c r="K2011">
        <v>6</v>
      </c>
      <c r="L2011">
        <v>640</v>
      </c>
      <c r="M2011" t="s">
        <v>16</v>
      </c>
      <c r="N2011">
        <v>1</v>
      </c>
    </row>
    <row r="2012" hidden="1" spans="1:14">
      <c r="A2012">
        <v>930</v>
      </c>
      <c r="B2012">
        <v>0</v>
      </c>
      <c r="C2012" t="s">
        <v>523</v>
      </c>
      <c r="D2012">
        <v>0</v>
      </c>
      <c r="E2012">
        <v>101.984</v>
      </c>
      <c r="F2012">
        <v>0.633088</v>
      </c>
      <c r="G2012">
        <v>91179.03</v>
      </c>
      <c r="H2012" s="1">
        <v>34708</v>
      </c>
      <c r="I2012" s="1">
        <v>34710</v>
      </c>
      <c r="J2012" t="s">
        <v>15</v>
      </c>
      <c r="K2012">
        <v>3</v>
      </c>
      <c r="L2012">
        <v>10000</v>
      </c>
      <c r="M2012" t="s">
        <v>16</v>
      </c>
      <c r="N2012">
        <v>1</v>
      </c>
    </row>
    <row r="2013" hidden="1" spans="1:14">
      <c r="A2013">
        <v>934</v>
      </c>
      <c r="B2013">
        <v>0</v>
      </c>
      <c r="C2013" t="s">
        <v>523</v>
      </c>
      <c r="D2013">
        <v>0</v>
      </c>
      <c r="E2013">
        <v>101.896</v>
      </c>
      <c r="F2013">
        <v>-0.529789</v>
      </c>
      <c r="G2013">
        <v>296258.97</v>
      </c>
      <c r="H2013" s="1">
        <v>34733</v>
      </c>
      <c r="I2013" s="1">
        <v>34747</v>
      </c>
      <c r="J2013" t="s">
        <v>15</v>
      </c>
      <c r="K2013">
        <v>47</v>
      </c>
      <c r="L2013">
        <v>37000</v>
      </c>
      <c r="M2013" t="s">
        <v>16</v>
      </c>
      <c r="N2013">
        <v>1</v>
      </c>
    </row>
    <row r="2014" hidden="1" spans="1:14">
      <c r="A2014">
        <v>949</v>
      </c>
      <c r="B2014">
        <v>0</v>
      </c>
      <c r="C2014" t="s">
        <v>523</v>
      </c>
      <c r="D2014">
        <v>0</v>
      </c>
      <c r="E2014">
        <v>99.2856</v>
      </c>
      <c r="F2014">
        <v>2.5585</v>
      </c>
      <c r="G2014">
        <v>46605.13</v>
      </c>
      <c r="H2014" s="1">
        <v>34820</v>
      </c>
      <c r="I2014" s="1">
        <v>34832</v>
      </c>
      <c r="J2014" t="s">
        <v>15</v>
      </c>
      <c r="K2014">
        <v>55</v>
      </c>
      <c r="L2014">
        <v>17500</v>
      </c>
      <c r="M2014" t="s">
        <v>16</v>
      </c>
      <c r="N2014">
        <v>1</v>
      </c>
    </row>
    <row r="2015" hidden="1" spans="1:14">
      <c r="A2015">
        <v>1042</v>
      </c>
      <c r="B2015">
        <v>0</v>
      </c>
      <c r="C2015" t="s">
        <v>523</v>
      </c>
      <c r="D2015">
        <v>0</v>
      </c>
      <c r="E2015">
        <v>106.847</v>
      </c>
      <c r="F2015">
        <v>-6.25757</v>
      </c>
      <c r="G2015">
        <v>1173.87</v>
      </c>
      <c r="H2015" s="1">
        <v>35070</v>
      </c>
      <c r="I2015" s="1">
        <v>35073</v>
      </c>
      <c r="J2015" t="s">
        <v>15</v>
      </c>
      <c r="K2015">
        <v>10</v>
      </c>
      <c r="L2015">
        <v>28000</v>
      </c>
      <c r="M2015" t="s">
        <v>16</v>
      </c>
      <c r="N2015">
        <v>1</v>
      </c>
    </row>
    <row r="2016" hidden="1" spans="1:14">
      <c r="A2016">
        <v>1055</v>
      </c>
      <c r="B2016">
        <v>0</v>
      </c>
      <c r="C2016" t="s">
        <v>523</v>
      </c>
      <c r="D2016">
        <v>0</v>
      </c>
      <c r="E2016">
        <v>106.829</v>
      </c>
      <c r="F2016">
        <v>-6.22899</v>
      </c>
      <c r="G2016">
        <v>1191.77</v>
      </c>
      <c r="H2016" s="1">
        <v>35104</v>
      </c>
      <c r="I2016" s="1">
        <v>35108</v>
      </c>
      <c r="J2016" t="s">
        <v>15</v>
      </c>
      <c r="K2016">
        <v>20</v>
      </c>
      <c r="L2016">
        <v>30000</v>
      </c>
      <c r="M2016" t="s">
        <v>16</v>
      </c>
      <c r="N2016">
        <v>2</v>
      </c>
    </row>
    <row r="2017" hidden="1" spans="1:14">
      <c r="A2017">
        <v>1060</v>
      </c>
      <c r="B2017">
        <v>0</v>
      </c>
      <c r="C2017" t="s">
        <v>523</v>
      </c>
      <c r="D2017">
        <v>0</v>
      </c>
      <c r="E2017">
        <v>109.6</v>
      </c>
      <c r="F2017">
        <v>-7.25388</v>
      </c>
      <c r="G2017">
        <v>15779.11</v>
      </c>
      <c r="H2017" s="1">
        <v>35125</v>
      </c>
      <c r="I2017" s="1">
        <v>35127</v>
      </c>
      <c r="J2017" t="s">
        <v>15</v>
      </c>
      <c r="K2017">
        <v>0</v>
      </c>
      <c r="L2017">
        <v>18584</v>
      </c>
      <c r="M2017" t="s">
        <v>16</v>
      </c>
      <c r="N2017">
        <v>1</v>
      </c>
    </row>
    <row r="2018" hidden="1" spans="1:14">
      <c r="A2018">
        <v>1062</v>
      </c>
      <c r="B2018">
        <v>0</v>
      </c>
      <c r="C2018" t="s">
        <v>523</v>
      </c>
      <c r="D2018">
        <v>0</v>
      </c>
      <c r="E2018">
        <v>104.478</v>
      </c>
      <c r="F2018">
        <v>-4.33874</v>
      </c>
      <c r="G2018">
        <v>67734.3</v>
      </c>
      <c r="H2018" s="1">
        <v>35151</v>
      </c>
      <c r="I2018" s="1">
        <v>35155</v>
      </c>
      <c r="J2018" t="s">
        <v>15</v>
      </c>
      <c r="K2018">
        <v>20</v>
      </c>
      <c r="L2018">
        <v>506</v>
      </c>
      <c r="M2018" t="s">
        <v>16</v>
      </c>
      <c r="N2018">
        <v>1</v>
      </c>
    </row>
    <row r="2019" hidden="1" spans="1:14">
      <c r="A2019">
        <v>1074</v>
      </c>
      <c r="B2019">
        <v>0</v>
      </c>
      <c r="C2019" t="s">
        <v>523</v>
      </c>
      <c r="D2019">
        <v>0</v>
      </c>
      <c r="E2019">
        <v>106.781</v>
      </c>
      <c r="F2019">
        <v>-6.60443</v>
      </c>
      <c r="G2019">
        <v>868.65</v>
      </c>
      <c r="H2019" s="1">
        <v>35201</v>
      </c>
      <c r="I2019" s="1">
        <v>35205</v>
      </c>
      <c r="J2019" t="s">
        <v>15</v>
      </c>
      <c r="K2019">
        <v>4</v>
      </c>
      <c r="L2019">
        <v>0</v>
      </c>
      <c r="M2019" t="s">
        <v>16</v>
      </c>
      <c r="N2019">
        <v>1</v>
      </c>
    </row>
    <row r="2020" hidden="1" spans="1:14">
      <c r="A2020">
        <v>1086</v>
      </c>
      <c r="B2020">
        <v>0</v>
      </c>
      <c r="C2020" t="s">
        <v>523</v>
      </c>
      <c r="D2020">
        <v>0</v>
      </c>
      <c r="E2020">
        <v>95.7105</v>
      </c>
      <c r="F2020">
        <v>5.15947</v>
      </c>
      <c r="G2020">
        <v>10102.81</v>
      </c>
      <c r="H2020" s="1">
        <v>35251</v>
      </c>
      <c r="I2020" s="1">
        <v>35256</v>
      </c>
      <c r="J2020" t="s">
        <v>15</v>
      </c>
      <c r="K2020">
        <v>0</v>
      </c>
      <c r="L2020">
        <v>18000</v>
      </c>
      <c r="M2020" t="s">
        <v>16</v>
      </c>
      <c r="N2020">
        <v>1</v>
      </c>
    </row>
    <row r="2021" hidden="1" spans="1:14">
      <c r="A2021">
        <v>1124</v>
      </c>
      <c r="B2021">
        <v>0</v>
      </c>
      <c r="C2021" t="s">
        <v>523</v>
      </c>
      <c r="D2021">
        <v>0</v>
      </c>
      <c r="E2021">
        <v>110.139</v>
      </c>
      <c r="F2021">
        <v>-7.33507</v>
      </c>
      <c r="G2021">
        <v>11936.75</v>
      </c>
      <c r="H2021" s="1">
        <v>35358</v>
      </c>
      <c r="I2021" s="1">
        <v>35360</v>
      </c>
      <c r="J2021" t="s">
        <v>15</v>
      </c>
      <c r="K2021">
        <v>13</v>
      </c>
      <c r="L2021">
        <v>5000</v>
      </c>
      <c r="M2021" t="s">
        <v>49</v>
      </c>
      <c r="N2021">
        <v>1</v>
      </c>
    </row>
    <row r="2022" hidden="1" spans="1:14">
      <c r="A2022">
        <v>1289</v>
      </c>
      <c r="B2022">
        <v>0</v>
      </c>
      <c r="C2022" t="s">
        <v>523</v>
      </c>
      <c r="D2022">
        <v>0</v>
      </c>
      <c r="E2022">
        <v>99.0695</v>
      </c>
      <c r="F2022">
        <v>2.80788</v>
      </c>
      <c r="G2022">
        <v>49813.23</v>
      </c>
      <c r="H2022" s="1">
        <v>35735</v>
      </c>
      <c r="I2022" s="1">
        <v>35740</v>
      </c>
      <c r="J2022" t="s">
        <v>15</v>
      </c>
      <c r="K2022">
        <v>3</v>
      </c>
      <c r="L2022">
        <v>0</v>
      </c>
      <c r="M2022" t="s">
        <v>16</v>
      </c>
      <c r="N2022">
        <v>1</v>
      </c>
    </row>
    <row r="2023" hidden="1" spans="1:14">
      <c r="A2023">
        <v>1290</v>
      </c>
      <c r="B2023">
        <v>0</v>
      </c>
      <c r="C2023" t="s">
        <v>523</v>
      </c>
      <c r="D2023">
        <v>0</v>
      </c>
      <c r="E2023">
        <v>113.312</v>
      </c>
      <c r="F2023">
        <v>-7.85837</v>
      </c>
      <c r="G2023">
        <v>6230.53</v>
      </c>
      <c r="H2023" s="1">
        <v>35788</v>
      </c>
      <c r="I2023" s="1">
        <v>35791</v>
      </c>
      <c r="J2023" t="s">
        <v>15</v>
      </c>
      <c r="K2023">
        <v>5</v>
      </c>
      <c r="L2023">
        <v>0</v>
      </c>
      <c r="M2023" t="s">
        <v>16</v>
      </c>
      <c r="N2023">
        <v>1</v>
      </c>
    </row>
    <row r="2024" hidden="1" spans="1:14">
      <c r="A2024">
        <v>1320</v>
      </c>
      <c r="B2024">
        <v>0</v>
      </c>
      <c r="C2024" t="s">
        <v>523</v>
      </c>
      <c r="D2024">
        <v>0</v>
      </c>
      <c r="E2024">
        <v>109.837</v>
      </c>
      <c r="F2024">
        <v>-7.52394</v>
      </c>
      <c r="G2024">
        <v>44400.86</v>
      </c>
      <c r="H2024" s="1">
        <v>35851</v>
      </c>
      <c r="I2024" s="1">
        <v>35853</v>
      </c>
      <c r="J2024" t="s">
        <v>15</v>
      </c>
      <c r="K2024">
        <v>0</v>
      </c>
      <c r="L2024">
        <v>0</v>
      </c>
      <c r="M2024" t="s">
        <v>16</v>
      </c>
      <c r="N2024">
        <v>1</v>
      </c>
    </row>
    <row r="2025" hidden="1" spans="1:14">
      <c r="A2025">
        <v>1326</v>
      </c>
      <c r="B2025">
        <v>0</v>
      </c>
      <c r="C2025" t="s">
        <v>523</v>
      </c>
      <c r="D2025">
        <v>0</v>
      </c>
      <c r="E2025">
        <v>110.866</v>
      </c>
      <c r="F2025">
        <v>-7.84969</v>
      </c>
      <c r="G2025">
        <v>26873.79</v>
      </c>
      <c r="H2025" s="1">
        <v>35878</v>
      </c>
      <c r="I2025" s="1">
        <v>35879</v>
      </c>
      <c r="J2025" t="s">
        <v>15</v>
      </c>
      <c r="K2025">
        <v>0</v>
      </c>
      <c r="L2025">
        <v>400</v>
      </c>
      <c r="M2025" t="s">
        <v>16</v>
      </c>
      <c r="N2025">
        <v>1</v>
      </c>
    </row>
    <row r="2026" hidden="1" spans="1:14">
      <c r="A2026">
        <v>1342</v>
      </c>
      <c r="B2026">
        <v>0</v>
      </c>
      <c r="C2026" t="s">
        <v>523</v>
      </c>
      <c r="D2026">
        <v>0</v>
      </c>
      <c r="E2026">
        <v>103.962</v>
      </c>
      <c r="F2026">
        <v>-3.61067</v>
      </c>
      <c r="G2026">
        <v>114756.4</v>
      </c>
      <c r="H2026" s="1">
        <v>35900</v>
      </c>
      <c r="I2026" s="1">
        <v>35901</v>
      </c>
      <c r="J2026" t="s">
        <v>15</v>
      </c>
      <c r="K2026">
        <v>13</v>
      </c>
      <c r="L2026">
        <v>400</v>
      </c>
      <c r="M2026" t="s">
        <v>16</v>
      </c>
      <c r="N2026">
        <v>1</v>
      </c>
    </row>
    <row r="2027" hidden="1" spans="1:14">
      <c r="A2027">
        <v>1357</v>
      </c>
      <c r="B2027">
        <v>0</v>
      </c>
      <c r="C2027" t="s">
        <v>523</v>
      </c>
      <c r="D2027">
        <v>0</v>
      </c>
      <c r="E2027">
        <v>107.054</v>
      </c>
      <c r="F2027">
        <v>-6.65077</v>
      </c>
      <c r="G2027">
        <v>23656.09</v>
      </c>
      <c r="H2027" s="1">
        <v>35926</v>
      </c>
      <c r="I2027" s="1">
        <v>35928</v>
      </c>
      <c r="J2027" t="s">
        <v>15</v>
      </c>
      <c r="K2027">
        <v>0</v>
      </c>
      <c r="L2027">
        <v>0</v>
      </c>
      <c r="M2027" t="s">
        <v>16</v>
      </c>
      <c r="N2027">
        <v>1</v>
      </c>
    </row>
    <row r="2028" hidden="1" spans="1:14">
      <c r="A2028">
        <v>1381</v>
      </c>
      <c r="B2028">
        <v>0</v>
      </c>
      <c r="C2028" t="s">
        <v>523</v>
      </c>
      <c r="D2028">
        <v>0</v>
      </c>
      <c r="E2028">
        <v>111.879</v>
      </c>
      <c r="F2028">
        <v>-7.75041</v>
      </c>
      <c r="G2028">
        <v>27340.16</v>
      </c>
      <c r="H2028" s="1">
        <v>35956</v>
      </c>
      <c r="I2028" s="1">
        <v>35957</v>
      </c>
      <c r="J2028" t="s">
        <v>15</v>
      </c>
      <c r="K2028">
        <v>0</v>
      </c>
      <c r="L2028">
        <v>180</v>
      </c>
      <c r="M2028" t="s">
        <v>16</v>
      </c>
      <c r="N2028">
        <v>1</v>
      </c>
    </row>
    <row r="2029" hidden="1" spans="1:14">
      <c r="A2029">
        <v>1422</v>
      </c>
      <c r="B2029">
        <v>0</v>
      </c>
      <c r="C2029" t="s">
        <v>523</v>
      </c>
      <c r="D2029">
        <v>0</v>
      </c>
      <c r="E2029">
        <v>112.801</v>
      </c>
      <c r="F2029">
        <v>-7.6636</v>
      </c>
      <c r="G2029">
        <v>32182.57</v>
      </c>
      <c r="H2029" s="1">
        <v>35999</v>
      </c>
      <c r="I2029" s="1">
        <v>36002</v>
      </c>
      <c r="J2029" t="s">
        <v>15</v>
      </c>
      <c r="K2029">
        <v>26</v>
      </c>
      <c r="L2029">
        <v>0</v>
      </c>
      <c r="M2029" t="s">
        <v>18</v>
      </c>
      <c r="N2029">
        <v>1</v>
      </c>
    </row>
    <row r="2030" hidden="1" spans="1:14">
      <c r="A2030">
        <v>1473</v>
      </c>
      <c r="B2030">
        <v>0</v>
      </c>
      <c r="C2030" t="s">
        <v>523</v>
      </c>
      <c r="D2030">
        <v>0</v>
      </c>
      <c r="E2030">
        <v>118.66</v>
      </c>
      <c r="F2030">
        <v>-8.57047</v>
      </c>
      <c r="G2030">
        <v>56182.25</v>
      </c>
      <c r="H2030" s="1">
        <v>36116</v>
      </c>
      <c r="I2030" s="1">
        <v>36121</v>
      </c>
      <c r="J2030" t="s">
        <v>15</v>
      </c>
      <c r="K2030">
        <v>15</v>
      </c>
      <c r="L2030">
        <v>12000</v>
      </c>
      <c r="M2030" t="s">
        <v>86</v>
      </c>
      <c r="N2030">
        <v>1</v>
      </c>
    </row>
    <row r="2031" hidden="1" spans="1:14">
      <c r="A2031">
        <v>1478</v>
      </c>
      <c r="B2031">
        <v>0</v>
      </c>
      <c r="C2031" t="s">
        <v>523</v>
      </c>
      <c r="D2031">
        <v>0</v>
      </c>
      <c r="E2031">
        <v>107.063</v>
      </c>
      <c r="F2031">
        <v>-6.83999</v>
      </c>
      <c r="G2031">
        <v>46298.26</v>
      </c>
      <c r="H2031" s="1">
        <v>36156</v>
      </c>
      <c r="I2031" s="1">
        <v>36160</v>
      </c>
      <c r="J2031" t="s">
        <v>15</v>
      </c>
      <c r="K2031">
        <v>0</v>
      </c>
      <c r="L2031">
        <v>9600</v>
      </c>
      <c r="M2031" t="s">
        <v>18</v>
      </c>
      <c r="N2031">
        <v>1</v>
      </c>
    </row>
    <row r="2032" hidden="1" spans="1:14">
      <c r="A2032">
        <v>1491</v>
      </c>
      <c r="B2032">
        <v>0</v>
      </c>
      <c r="C2032" t="s">
        <v>523</v>
      </c>
      <c r="D2032">
        <v>0</v>
      </c>
      <c r="E2032">
        <v>102.854</v>
      </c>
      <c r="F2032">
        <v>-0.357822</v>
      </c>
      <c r="G2032">
        <v>136488.28</v>
      </c>
      <c r="H2032" s="1">
        <v>36200</v>
      </c>
      <c r="I2032" s="1">
        <v>36205</v>
      </c>
      <c r="J2032" t="s">
        <v>15</v>
      </c>
      <c r="K2032">
        <v>2</v>
      </c>
      <c r="L2032">
        <v>2000</v>
      </c>
      <c r="M2032" t="s">
        <v>23</v>
      </c>
      <c r="N2032">
        <v>1</v>
      </c>
    </row>
    <row r="2033" hidden="1" spans="1:14">
      <c r="A2033">
        <v>1671</v>
      </c>
      <c r="B2033">
        <v>0</v>
      </c>
      <c r="C2033" t="s">
        <v>523</v>
      </c>
      <c r="D2033" t="s">
        <v>524</v>
      </c>
      <c r="E2033">
        <v>99.8029</v>
      </c>
      <c r="F2033">
        <v>1.58123</v>
      </c>
      <c r="G2033">
        <v>344410.96</v>
      </c>
      <c r="H2033" s="1">
        <v>36851</v>
      </c>
      <c r="I2033" s="1">
        <v>36861</v>
      </c>
      <c r="J2033" t="s">
        <v>15</v>
      </c>
      <c r="K2033">
        <v>243</v>
      </c>
      <c r="L2033">
        <v>68682</v>
      </c>
      <c r="M2033" t="s">
        <v>18</v>
      </c>
      <c r="N2033">
        <v>1</v>
      </c>
    </row>
    <row r="2034" hidden="1" spans="1:14">
      <c r="A2034">
        <v>1677</v>
      </c>
      <c r="B2034">
        <v>0</v>
      </c>
      <c r="C2034" t="s">
        <v>523</v>
      </c>
      <c r="D2034">
        <v>0</v>
      </c>
      <c r="E2034">
        <v>116.887</v>
      </c>
      <c r="F2034">
        <v>-8.73699</v>
      </c>
      <c r="G2034">
        <v>590.25</v>
      </c>
      <c r="H2034" s="1">
        <v>36863</v>
      </c>
      <c r="I2034" s="1">
        <v>36866</v>
      </c>
      <c r="J2034" t="s">
        <v>15</v>
      </c>
      <c r="K2034">
        <v>9</v>
      </c>
      <c r="L2034">
        <v>3000</v>
      </c>
      <c r="M2034" t="s">
        <v>18</v>
      </c>
      <c r="N2034">
        <v>2</v>
      </c>
    </row>
    <row r="2035" hidden="1" spans="1:14">
      <c r="A2035">
        <v>1693</v>
      </c>
      <c r="B2035">
        <v>0</v>
      </c>
      <c r="C2035" t="s">
        <v>523</v>
      </c>
      <c r="D2035" t="s">
        <v>524</v>
      </c>
      <c r="E2035">
        <v>112.07</v>
      </c>
      <c r="F2035">
        <v>2.3929</v>
      </c>
      <c r="G2035">
        <v>22466.71</v>
      </c>
      <c r="H2035" s="1">
        <v>36926</v>
      </c>
      <c r="I2035" s="1">
        <v>36940</v>
      </c>
      <c r="J2035" t="s">
        <v>15</v>
      </c>
      <c r="K2035">
        <v>131</v>
      </c>
      <c r="L2035">
        <v>81600</v>
      </c>
      <c r="M2035" t="s">
        <v>18</v>
      </c>
      <c r="N2035">
        <v>2</v>
      </c>
    </row>
    <row r="2036" hidden="1" spans="1:14">
      <c r="A2036">
        <v>1765</v>
      </c>
      <c r="B2036">
        <v>0</v>
      </c>
      <c r="C2036" t="s">
        <v>523</v>
      </c>
      <c r="D2036">
        <v>0</v>
      </c>
      <c r="E2036">
        <v>97.7536</v>
      </c>
      <c r="F2036">
        <v>0.81588</v>
      </c>
      <c r="G2036">
        <v>1267.27</v>
      </c>
      <c r="H2036" s="1">
        <v>37103</v>
      </c>
      <c r="I2036" s="1">
        <v>37104</v>
      </c>
      <c r="J2036" t="s">
        <v>15</v>
      </c>
      <c r="K2036">
        <v>108</v>
      </c>
      <c r="L2036">
        <v>1500</v>
      </c>
      <c r="M2036" t="s">
        <v>16</v>
      </c>
      <c r="N2036">
        <v>2</v>
      </c>
    </row>
    <row r="2037" hidden="1" spans="1:14">
      <c r="A2037">
        <v>1767</v>
      </c>
      <c r="B2037">
        <v>0</v>
      </c>
      <c r="C2037" t="s">
        <v>523</v>
      </c>
      <c r="D2037">
        <v>0</v>
      </c>
      <c r="E2037">
        <v>122.413</v>
      </c>
      <c r="F2037">
        <v>-1.31485</v>
      </c>
      <c r="G2037">
        <v>2398.54</v>
      </c>
      <c r="H2037" s="1">
        <v>37103</v>
      </c>
      <c r="I2037" s="1">
        <v>37104</v>
      </c>
      <c r="J2037" t="s">
        <v>15</v>
      </c>
      <c r="K2037">
        <v>1</v>
      </c>
      <c r="L2037">
        <v>3000</v>
      </c>
      <c r="M2037" t="s">
        <v>16</v>
      </c>
      <c r="N2037">
        <v>1</v>
      </c>
    </row>
    <row r="2038" hidden="1" spans="1:14">
      <c r="A2038">
        <v>1856</v>
      </c>
      <c r="B2038">
        <v>0</v>
      </c>
      <c r="C2038" t="s">
        <v>523</v>
      </c>
      <c r="D2038">
        <v>0</v>
      </c>
      <c r="E2038">
        <v>119.618</v>
      </c>
      <c r="F2038">
        <v>-5.23305</v>
      </c>
      <c r="G2038">
        <v>4558.95</v>
      </c>
      <c r="H2038" s="1">
        <v>37257</v>
      </c>
      <c r="I2038" s="1">
        <v>37260</v>
      </c>
      <c r="J2038" t="s">
        <v>15</v>
      </c>
      <c r="K2038">
        <v>5</v>
      </c>
      <c r="L2038">
        <v>300</v>
      </c>
      <c r="M2038" t="s">
        <v>16</v>
      </c>
      <c r="N2038">
        <v>1</v>
      </c>
    </row>
    <row r="2039" hidden="1" spans="1:14">
      <c r="A2039">
        <v>1859</v>
      </c>
      <c r="B2039">
        <v>0</v>
      </c>
      <c r="C2039" t="s">
        <v>523</v>
      </c>
      <c r="D2039">
        <v>0</v>
      </c>
      <c r="E2039">
        <v>125.462</v>
      </c>
      <c r="F2039">
        <v>3.6716</v>
      </c>
      <c r="G2039">
        <v>220.297</v>
      </c>
      <c r="H2039" s="1">
        <v>37261</v>
      </c>
      <c r="I2039" s="1">
        <v>37263</v>
      </c>
      <c r="J2039" t="s">
        <v>15</v>
      </c>
      <c r="K2039">
        <v>4</v>
      </c>
      <c r="L2039">
        <v>240</v>
      </c>
      <c r="M2039" t="s">
        <v>16</v>
      </c>
      <c r="N2039">
        <v>1</v>
      </c>
    </row>
    <row r="2040" hidden="1" spans="1:14">
      <c r="A2040">
        <v>1860</v>
      </c>
      <c r="B2040">
        <v>0</v>
      </c>
      <c r="C2040" t="s">
        <v>523</v>
      </c>
      <c r="D2040">
        <v>0</v>
      </c>
      <c r="E2040">
        <v>103.346</v>
      </c>
      <c r="F2040">
        <v>-3.9968</v>
      </c>
      <c r="G2040">
        <v>1489.38</v>
      </c>
      <c r="H2040" s="1">
        <v>37264</v>
      </c>
      <c r="I2040" s="1">
        <v>37268</v>
      </c>
      <c r="J2040" t="s">
        <v>15</v>
      </c>
      <c r="K2040">
        <v>22</v>
      </c>
      <c r="L2040">
        <v>0</v>
      </c>
      <c r="M2040" t="s">
        <v>16</v>
      </c>
      <c r="N2040">
        <v>1</v>
      </c>
    </row>
    <row r="2041" hidden="1" spans="1:14">
      <c r="A2041">
        <v>1864</v>
      </c>
      <c r="B2041">
        <v>0</v>
      </c>
      <c r="C2041" t="s">
        <v>523</v>
      </c>
      <c r="D2041">
        <v>0</v>
      </c>
      <c r="E2041">
        <v>98.621</v>
      </c>
      <c r="F2041">
        <v>3.59078</v>
      </c>
      <c r="G2041">
        <v>4171.44</v>
      </c>
      <c r="H2041" s="1">
        <v>37269</v>
      </c>
      <c r="I2041" s="1">
        <v>37274</v>
      </c>
      <c r="J2041" t="s">
        <v>15</v>
      </c>
      <c r="K2041">
        <v>13</v>
      </c>
      <c r="L2041">
        <v>0</v>
      </c>
      <c r="M2041" t="s">
        <v>16</v>
      </c>
      <c r="N2041">
        <v>1</v>
      </c>
    </row>
    <row r="2042" hidden="1" spans="1:14">
      <c r="A2042">
        <v>1865</v>
      </c>
      <c r="B2042">
        <v>0</v>
      </c>
      <c r="C2042" t="s">
        <v>523</v>
      </c>
      <c r="D2042">
        <v>0</v>
      </c>
      <c r="E2042">
        <v>106.855</v>
      </c>
      <c r="F2042">
        <v>-6.21263</v>
      </c>
      <c r="G2042">
        <v>809.506</v>
      </c>
      <c r="H2042" s="1">
        <v>37271</v>
      </c>
      <c r="I2042" s="1">
        <v>37282</v>
      </c>
      <c r="J2042" t="s">
        <v>15</v>
      </c>
      <c r="K2042">
        <v>0</v>
      </c>
      <c r="L2042">
        <v>3000</v>
      </c>
      <c r="M2042" t="s">
        <v>25</v>
      </c>
      <c r="N2042">
        <v>1</v>
      </c>
    </row>
    <row r="2043" hidden="1" spans="1:14">
      <c r="A2043">
        <v>1870</v>
      </c>
      <c r="B2043">
        <v>0</v>
      </c>
      <c r="C2043" t="s">
        <v>523</v>
      </c>
      <c r="D2043">
        <v>0</v>
      </c>
      <c r="E2043">
        <v>112.792</v>
      </c>
      <c r="F2043">
        <v>-7.3271</v>
      </c>
      <c r="G2043">
        <v>41005.95</v>
      </c>
      <c r="H2043" s="1">
        <v>37283</v>
      </c>
      <c r="I2043" s="1">
        <v>37299</v>
      </c>
      <c r="J2043" t="s">
        <v>15</v>
      </c>
      <c r="K2043">
        <v>147</v>
      </c>
      <c r="L2043">
        <v>380000</v>
      </c>
      <c r="M2043" t="s">
        <v>16</v>
      </c>
      <c r="N2043">
        <v>2</v>
      </c>
    </row>
    <row r="2044" hidden="1" spans="1:14">
      <c r="A2044">
        <v>1879</v>
      </c>
      <c r="B2044">
        <v>0</v>
      </c>
      <c r="C2044" t="s">
        <v>523</v>
      </c>
      <c r="D2044">
        <v>0</v>
      </c>
      <c r="E2044">
        <v>106.855</v>
      </c>
      <c r="F2044">
        <v>-6.21263</v>
      </c>
      <c r="G2044">
        <v>809.506</v>
      </c>
      <c r="H2044" s="1">
        <v>37300</v>
      </c>
      <c r="I2044" s="1">
        <v>37310</v>
      </c>
      <c r="J2044" t="s">
        <v>15</v>
      </c>
      <c r="K2044">
        <v>0</v>
      </c>
      <c r="L2044">
        <v>15000</v>
      </c>
      <c r="M2044" t="s">
        <v>16</v>
      </c>
      <c r="N2044">
        <v>1</v>
      </c>
    </row>
    <row r="2045" hidden="1" spans="1:14">
      <c r="A2045">
        <v>1882</v>
      </c>
      <c r="B2045">
        <v>0</v>
      </c>
      <c r="C2045" t="s">
        <v>523</v>
      </c>
      <c r="D2045">
        <v>0</v>
      </c>
      <c r="E2045">
        <v>109.784</v>
      </c>
      <c r="F2045">
        <v>-6.95359</v>
      </c>
      <c r="G2045">
        <v>1342.66</v>
      </c>
      <c r="H2045" s="1">
        <v>37304</v>
      </c>
      <c r="I2045" s="1">
        <v>37312</v>
      </c>
      <c r="J2045" t="s">
        <v>15</v>
      </c>
      <c r="K2045">
        <v>4</v>
      </c>
      <c r="L2045">
        <v>30000</v>
      </c>
      <c r="M2045" t="s">
        <v>16</v>
      </c>
      <c r="N2045">
        <v>1</v>
      </c>
    </row>
    <row r="2046" hidden="1" spans="1:14">
      <c r="A2046">
        <v>1897</v>
      </c>
      <c r="B2046">
        <v>0</v>
      </c>
      <c r="C2046" t="s">
        <v>523</v>
      </c>
      <c r="D2046">
        <v>0</v>
      </c>
      <c r="E2046">
        <v>97.7451</v>
      </c>
      <c r="F2046">
        <v>0.959578</v>
      </c>
      <c r="G2046">
        <v>942.125</v>
      </c>
      <c r="H2046" s="1">
        <v>37342</v>
      </c>
      <c r="I2046" s="1">
        <v>37345</v>
      </c>
      <c r="J2046" t="s">
        <v>15</v>
      </c>
      <c r="K2046">
        <v>11</v>
      </c>
      <c r="L2046">
        <v>500</v>
      </c>
      <c r="M2046" t="s">
        <v>16</v>
      </c>
      <c r="N2046">
        <v>1</v>
      </c>
    </row>
    <row r="2047" hidden="1" spans="1:14">
      <c r="A2047">
        <v>1905</v>
      </c>
      <c r="B2047">
        <v>0</v>
      </c>
      <c r="C2047" t="s">
        <v>523</v>
      </c>
      <c r="D2047">
        <v>0</v>
      </c>
      <c r="E2047">
        <v>108.216</v>
      </c>
      <c r="F2047">
        <v>-7.28558</v>
      </c>
      <c r="G2047">
        <v>919.174</v>
      </c>
      <c r="H2047" s="1">
        <v>37363</v>
      </c>
      <c r="I2047" s="1">
        <v>37365</v>
      </c>
      <c r="J2047" t="s">
        <v>15</v>
      </c>
      <c r="K2047">
        <v>4</v>
      </c>
      <c r="L2047">
        <v>0</v>
      </c>
      <c r="M2047" t="s">
        <v>16</v>
      </c>
      <c r="N2047">
        <v>1</v>
      </c>
    </row>
    <row r="2048" hidden="1" spans="1:14">
      <c r="A2048">
        <v>1906</v>
      </c>
      <c r="B2048">
        <v>0</v>
      </c>
      <c r="C2048" t="s">
        <v>523</v>
      </c>
      <c r="D2048">
        <v>0</v>
      </c>
      <c r="E2048">
        <v>120.032</v>
      </c>
      <c r="F2048">
        <v>-9.70422</v>
      </c>
      <c r="G2048">
        <v>4900.42</v>
      </c>
      <c r="H2048" s="1">
        <v>37363</v>
      </c>
      <c r="I2048" s="1">
        <v>37366</v>
      </c>
      <c r="J2048" t="s">
        <v>15</v>
      </c>
      <c r="K2048">
        <v>19</v>
      </c>
      <c r="L2048">
        <v>0</v>
      </c>
      <c r="M2048" t="s">
        <v>16</v>
      </c>
      <c r="N2048">
        <v>1</v>
      </c>
    </row>
    <row r="2049" hidden="1" spans="1:14">
      <c r="A2049">
        <v>2072</v>
      </c>
      <c r="B2049">
        <v>0</v>
      </c>
      <c r="C2049" t="s">
        <v>523</v>
      </c>
      <c r="D2049">
        <v>0</v>
      </c>
      <c r="E2049">
        <v>100.611</v>
      </c>
      <c r="F2049">
        <v>-1.34406</v>
      </c>
      <c r="G2049">
        <v>135.402</v>
      </c>
      <c r="H2049" s="1">
        <v>37547</v>
      </c>
      <c r="I2049" s="1">
        <v>37549</v>
      </c>
      <c r="J2049" t="s">
        <v>15</v>
      </c>
      <c r="K2049">
        <v>0</v>
      </c>
      <c r="L2049">
        <v>3000</v>
      </c>
      <c r="M2049" t="s">
        <v>16</v>
      </c>
      <c r="N2049">
        <v>1</v>
      </c>
    </row>
    <row r="2050" hidden="1" spans="1:14">
      <c r="A2050">
        <v>2095</v>
      </c>
      <c r="B2050">
        <v>0</v>
      </c>
      <c r="C2050" t="s">
        <v>523</v>
      </c>
      <c r="D2050">
        <v>0</v>
      </c>
      <c r="E2050">
        <v>97.4355</v>
      </c>
      <c r="F2050">
        <v>3.11309</v>
      </c>
      <c r="G2050">
        <v>17006.86</v>
      </c>
      <c r="H2050" s="1">
        <v>37579</v>
      </c>
      <c r="I2050" s="1">
        <v>37593</v>
      </c>
      <c r="J2050" t="s">
        <v>15</v>
      </c>
      <c r="K2050">
        <v>12</v>
      </c>
      <c r="L2050">
        <v>117000</v>
      </c>
      <c r="M2050" t="s">
        <v>16</v>
      </c>
      <c r="N2050">
        <v>2</v>
      </c>
    </row>
    <row r="2051" hidden="1" spans="1:14">
      <c r="A2051">
        <v>2102</v>
      </c>
      <c r="B2051">
        <v>0</v>
      </c>
      <c r="C2051" t="s">
        <v>523</v>
      </c>
      <c r="D2051">
        <v>0</v>
      </c>
      <c r="E2051">
        <v>112.39</v>
      </c>
      <c r="F2051">
        <v>-7.44041</v>
      </c>
      <c r="G2051">
        <v>648.179</v>
      </c>
      <c r="H2051" s="1">
        <v>37601</v>
      </c>
      <c r="I2051" s="1">
        <v>37605</v>
      </c>
      <c r="J2051" t="s">
        <v>15</v>
      </c>
      <c r="K2051">
        <v>28</v>
      </c>
      <c r="L2051">
        <v>0</v>
      </c>
      <c r="M2051" t="s">
        <v>16</v>
      </c>
      <c r="N2051">
        <v>1</v>
      </c>
    </row>
    <row r="2052" hidden="1" spans="1:14">
      <c r="A2052">
        <v>2106</v>
      </c>
      <c r="B2052">
        <v>0</v>
      </c>
      <c r="C2052" t="s">
        <v>523</v>
      </c>
      <c r="D2052">
        <v>0</v>
      </c>
      <c r="E2052">
        <v>100.517</v>
      </c>
      <c r="F2052">
        <v>0.977528</v>
      </c>
      <c r="G2052">
        <v>21909.34</v>
      </c>
      <c r="H2052" s="1">
        <v>37605</v>
      </c>
      <c r="I2052" s="1">
        <v>37610</v>
      </c>
      <c r="J2052" t="s">
        <v>15</v>
      </c>
      <c r="K2052">
        <v>0</v>
      </c>
      <c r="L2052">
        <v>60000</v>
      </c>
      <c r="M2052" t="s">
        <v>16</v>
      </c>
      <c r="N2052">
        <v>1</v>
      </c>
    </row>
    <row r="2053" hidden="1" spans="1:14">
      <c r="A2053">
        <v>2111</v>
      </c>
      <c r="B2053">
        <v>0</v>
      </c>
      <c r="C2053" t="s">
        <v>523</v>
      </c>
      <c r="D2053">
        <v>0</v>
      </c>
      <c r="E2053">
        <v>104.218</v>
      </c>
      <c r="F2053">
        <v>-4.65996</v>
      </c>
      <c r="G2053">
        <v>14760.78</v>
      </c>
      <c r="H2053" s="1">
        <v>37616</v>
      </c>
      <c r="I2053" s="1">
        <v>37621</v>
      </c>
      <c r="J2053" t="s">
        <v>15</v>
      </c>
      <c r="K2053">
        <v>24</v>
      </c>
      <c r="L2053">
        <v>10000</v>
      </c>
      <c r="M2053" t="s">
        <v>16</v>
      </c>
      <c r="N2053">
        <v>1</v>
      </c>
    </row>
    <row r="2054" hidden="1" spans="1:14">
      <c r="A2054">
        <v>2127</v>
      </c>
      <c r="B2054">
        <v>0</v>
      </c>
      <c r="C2054" t="s">
        <v>523</v>
      </c>
      <c r="D2054">
        <v>0</v>
      </c>
      <c r="E2054">
        <v>113.005</v>
      </c>
      <c r="F2054">
        <v>-2.42875</v>
      </c>
      <c r="G2054">
        <v>9362.83</v>
      </c>
      <c r="H2054" s="1">
        <v>37635</v>
      </c>
      <c r="I2054" s="1">
        <v>37658</v>
      </c>
      <c r="J2054" t="s">
        <v>15</v>
      </c>
      <c r="K2054">
        <v>0</v>
      </c>
      <c r="L2054">
        <v>30000</v>
      </c>
      <c r="M2054" t="s">
        <v>16</v>
      </c>
      <c r="N2054">
        <v>2</v>
      </c>
    </row>
    <row r="2055" hidden="1" spans="1:14">
      <c r="A2055">
        <v>2142</v>
      </c>
      <c r="B2055">
        <v>0</v>
      </c>
      <c r="C2055" t="s">
        <v>523</v>
      </c>
      <c r="D2055">
        <v>0</v>
      </c>
      <c r="E2055">
        <v>102.452</v>
      </c>
      <c r="F2055">
        <v>-0.112857</v>
      </c>
      <c r="G2055">
        <v>27341.22</v>
      </c>
      <c r="H2055" s="1">
        <v>37646</v>
      </c>
      <c r="I2055" s="1">
        <v>37658</v>
      </c>
      <c r="J2055" t="s">
        <v>15</v>
      </c>
      <c r="K2055">
        <v>3</v>
      </c>
      <c r="L2055">
        <v>20000</v>
      </c>
      <c r="M2055" t="s">
        <v>16</v>
      </c>
      <c r="N2055">
        <v>1</v>
      </c>
    </row>
    <row r="2056" hidden="1" spans="1:14">
      <c r="A2056">
        <v>2148</v>
      </c>
      <c r="B2056">
        <v>0</v>
      </c>
      <c r="C2056" t="s">
        <v>523</v>
      </c>
      <c r="D2056">
        <v>0</v>
      </c>
      <c r="E2056">
        <v>107.641</v>
      </c>
      <c r="F2056">
        <v>-7.04676</v>
      </c>
      <c r="G2056">
        <v>4154.77</v>
      </c>
      <c r="H2056" s="1">
        <v>37651</v>
      </c>
      <c r="I2056" s="1">
        <v>37661</v>
      </c>
      <c r="J2056" t="s">
        <v>15</v>
      </c>
      <c r="K2056">
        <v>0</v>
      </c>
      <c r="L2056">
        <v>0</v>
      </c>
      <c r="M2056" t="s">
        <v>16</v>
      </c>
      <c r="N2056">
        <v>1</v>
      </c>
    </row>
    <row r="2057" hidden="1" spans="1:14">
      <c r="A2057">
        <v>2149</v>
      </c>
      <c r="B2057">
        <v>0</v>
      </c>
      <c r="C2057" t="s">
        <v>523</v>
      </c>
      <c r="D2057">
        <v>0</v>
      </c>
      <c r="E2057">
        <v>102.64</v>
      </c>
      <c r="F2057">
        <v>-3.46055</v>
      </c>
      <c r="G2057">
        <v>1559.1</v>
      </c>
      <c r="H2057" s="1">
        <v>37656</v>
      </c>
      <c r="I2057" s="1">
        <v>37658</v>
      </c>
      <c r="J2057" t="s">
        <v>15</v>
      </c>
      <c r="K2057">
        <v>7</v>
      </c>
      <c r="L2057">
        <v>280</v>
      </c>
      <c r="M2057" t="s">
        <v>18</v>
      </c>
      <c r="N2057">
        <v>1</v>
      </c>
    </row>
    <row r="2058" hidden="1" spans="1:14">
      <c r="A2058">
        <v>2156</v>
      </c>
      <c r="B2058">
        <v>0</v>
      </c>
      <c r="C2058" t="s">
        <v>523</v>
      </c>
      <c r="D2058">
        <v>0</v>
      </c>
      <c r="E2058">
        <v>106.847</v>
      </c>
      <c r="F2058">
        <v>-6.20813</v>
      </c>
      <c r="G2058">
        <v>545.177</v>
      </c>
      <c r="H2058" s="1">
        <v>37665</v>
      </c>
      <c r="I2058" s="1">
        <v>37666</v>
      </c>
      <c r="J2058" t="s">
        <v>15</v>
      </c>
      <c r="K2058">
        <v>3</v>
      </c>
      <c r="L2058">
        <v>33000</v>
      </c>
      <c r="M2058" t="s">
        <v>16</v>
      </c>
      <c r="N2058">
        <v>1</v>
      </c>
    </row>
    <row r="2059" hidden="1" spans="1:14">
      <c r="A2059">
        <v>2158</v>
      </c>
      <c r="B2059">
        <v>0</v>
      </c>
      <c r="C2059" t="s">
        <v>523</v>
      </c>
      <c r="D2059">
        <v>0</v>
      </c>
      <c r="E2059">
        <v>107.604</v>
      </c>
      <c r="F2059">
        <v>-6.97319</v>
      </c>
      <c r="G2059">
        <v>401.224</v>
      </c>
      <c r="H2059" s="1">
        <v>37668</v>
      </c>
      <c r="I2059" s="1">
        <v>37669</v>
      </c>
      <c r="J2059" t="s">
        <v>15</v>
      </c>
      <c r="K2059">
        <v>0</v>
      </c>
      <c r="L2059">
        <v>4300</v>
      </c>
      <c r="M2059" t="s">
        <v>16</v>
      </c>
      <c r="N2059">
        <v>1</v>
      </c>
    </row>
    <row r="2060" hidden="1" spans="1:14">
      <c r="A2060">
        <v>2190</v>
      </c>
      <c r="B2060">
        <v>0</v>
      </c>
      <c r="C2060" t="s">
        <v>523</v>
      </c>
      <c r="D2060">
        <v>0</v>
      </c>
      <c r="E2060">
        <v>119.784</v>
      </c>
      <c r="F2060">
        <v>-3.09396</v>
      </c>
      <c r="G2060">
        <v>1097.11</v>
      </c>
      <c r="H2060" s="1">
        <v>37700</v>
      </c>
      <c r="I2060" s="1">
        <v>37705</v>
      </c>
      <c r="J2060" t="s">
        <v>15</v>
      </c>
      <c r="K2060">
        <v>12</v>
      </c>
      <c r="L2060">
        <v>0</v>
      </c>
      <c r="M2060" t="s">
        <v>16</v>
      </c>
      <c r="N2060">
        <v>1</v>
      </c>
    </row>
    <row r="2061" hidden="1" spans="1:14">
      <c r="A2061">
        <v>2197</v>
      </c>
      <c r="B2061">
        <v>0</v>
      </c>
      <c r="C2061" t="s">
        <v>523</v>
      </c>
      <c r="D2061">
        <v>0</v>
      </c>
      <c r="E2061">
        <v>121.709</v>
      </c>
      <c r="F2061">
        <v>-8.78414</v>
      </c>
      <c r="G2061">
        <v>343.973</v>
      </c>
      <c r="H2061" s="1">
        <v>37711</v>
      </c>
      <c r="I2061" s="1">
        <v>37712</v>
      </c>
      <c r="J2061" t="s">
        <v>15</v>
      </c>
      <c r="K2061">
        <v>39</v>
      </c>
      <c r="L2061">
        <v>0</v>
      </c>
      <c r="M2061" t="s">
        <v>16</v>
      </c>
      <c r="N2061">
        <v>1</v>
      </c>
    </row>
    <row r="2062" hidden="1" spans="1:14">
      <c r="A2062">
        <v>2222</v>
      </c>
      <c r="B2062">
        <v>0</v>
      </c>
      <c r="C2062" t="s">
        <v>523</v>
      </c>
      <c r="D2062">
        <v>0</v>
      </c>
      <c r="E2062">
        <v>103.544</v>
      </c>
      <c r="F2062">
        <v>-1.50383</v>
      </c>
      <c r="G2062">
        <v>13874.73</v>
      </c>
      <c r="H2062" s="1">
        <v>37744</v>
      </c>
      <c r="I2062" s="1">
        <v>37747</v>
      </c>
      <c r="J2062" t="s">
        <v>15</v>
      </c>
      <c r="K2062">
        <v>0</v>
      </c>
      <c r="L2062">
        <v>2000</v>
      </c>
      <c r="M2062" t="s">
        <v>16</v>
      </c>
      <c r="N2062">
        <v>1</v>
      </c>
    </row>
    <row r="2063" hidden="1" spans="1:14">
      <c r="A2063">
        <v>2358</v>
      </c>
      <c r="B2063">
        <v>0</v>
      </c>
      <c r="C2063" t="s">
        <v>523</v>
      </c>
      <c r="D2063">
        <v>0</v>
      </c>
      <c r="E2063">
        <v>98.7285</v>
      </c>
      <c r="F2063">
        <v>3.61275</v>
      </c>
      <c r="G2063">
        <v>643.389</v>
      </c>
      <c r="H2063" s="1">
        <v>37886</v>
      </c>
      <c r="I2063" s="1">
        <v>37888</v>
      </c>
      <c r="J2063" t="s">
        <v>15</v>
      </c>
      <c r="K2063">
        <v>0</v>
      </c>
      <c r="L2063">
        <v>5000</v>
      </c>
      <c r="M2063" t="s">
        <v>16</v>
      </c>
      <c r="N2063">
        <v>1</v>
      </c>
    </row>
    <row r="2064" hidden="1" spans="1:14">
      <c r="A2064">
        <v>2377</v>
      </c>
      <c r="B2064">
        <v>0</v>
      </c>
      <c r="C2064" t="s">
        <v>523</v>
      </c>
      <c r="D2064">
        <v>0</v>
      </c>
      <c r="E2064">
        <v>98.0634</v>
      </c>
      <c r="F2064">
        <v>3.42853</v>
      </c>
      <c r="G2064">
        <v>595.224</v>
      </c>
      <c r="H2064" s="1">
        <v>37927</v>
      </c>
      <c r="I2064" s="1">
        <v>37928</v>
      </c>
      <c r="J2064" t="s">
        <v>15</v>
      </c>
      <c r="K2064">
        <v>165</v>
      </c>
      <c r="L2064">
        <v>1600</v>
      </c>
      <c r="M2064" t="s">
        <v>16</v>
      </c>
      <c r="N2064">
        <v>1</v>
      </c>
    </row>
    <row r="2065" hidden="1" spans="1:14">
      <c r="A2065">
        <v>2389</v>
      </c>
      <c r="B2065">
        <v>0</v>
      </c>
      <c r="C2065" t="s">
        <v>523</v>
      </c>
      <c r="D2065">
        <v>0</v>
      </c>
      <c r="E2065">
        <v>112.552</v>
      </c>
      <c r="F2065">
        <v>-8.10688</v>
      </c>
      <c r="G2065">
        <v>702.724</v>
      </c>
      <c r="H2065" s="1">
        <v>37947</v>
      </c>
      <c r="I2065" s="1">
        <v>37949</v>
      </c>
      <c r="J2065" t="s">
        <v>15</v>
      </c>
      <c r="K2065">
        <v>3</v>
      </c>
      <c r="L2065">
        <v>12000</v>
      </c>
      <c r="M2065" t="s">
        <v>16</v>
      </c>
      <c r="N2065">
        <v>1</v>
      </c>
    </row>
    <row r="2066" hidden="1" spans="1:14">
      <c r="A2066">
        <v>2397</v>
      </c>
      <c r="B2066">
        <v>0</v>
      </c>
      <c r="C2066" t="s">
        <v>523</v>
      </c>
      <c r="D2066">
        <v>0</v>
      </c>
      <c r="E2066">
        <v>101.494</v>
      </c>
      <c r="F2066">
        <v>0.286528</v>
      </c>
      <c r="G2066">
        <v>3601.56</v>
      </c>
      <c r="H2066" s="1">
        <v>37955</v>
      </c>
      <c r="I2066" s="1">
        <v>37961</v>
      </c>
      <c r="J2066" t="s">
        <v>15</v>
      </c>
      <c r="K2066">
        <v>0</v>
      </c>
      <c r="L2066">
        <v>4000</v>
      </c>
      <c r="M2066" t="s">
        <v>16</v>
      </c>
      <c r="N2066">
        <v>1</v>
      </c>
    </row>
    <row r="2067" hidden="1" spans="1:14">
      <c r="A2067">
        <v>2399</v>
      </c>
      <c r="B2067">
        <v>0</v>
      </c>
      <c r="C2067" t="s">
        <v>523</v>
      </c>
      <c r="D2067">
        <v>0</v>
      </c>
      <c r="E2067">
        <v>98.7288</v>
      </c>
      <c r="F2067">
        <v>3.59651</v>
      </c>
      <c r="G2067">
        <v>539.962</v>
      </c>
      <c r="H2067" s="1">
        <v>37960</v>
      </c>
      <c r="I2067" s="1">
        <v>37965</v>
      </c>
      <c r="J2067" t="s">
        <v>15</v>
      </c>
      <c r="K2067">
        <v>0</v>
      </c>
      <c r="L2067">
        <v>1000</v>
      </c>
      <c r="M2067" t="s">
        <v>16</v>
      </c>
      <c r="N2067">
        <v>1</v>
      </c>
    </row>
    <row r="2068" hidden="1" spans="1:14">
      <c r="A2068">
        <v>2403</v>
      </c>
      <c r="B2068">
        <v>0</v>
      </c>
      <c r="C2068" t="s">
        <v>523</v>
      </c>
      <c r="D2068">
        <v>0</v>
      </c>
      <c r="E2068">
        <v>102.902</v>
      </c>
      <c r="F2068">
        <v>-1.04163</v>
      </c>
      <c r="G2068">
        <v>82419.94</v>
      </c>
      <c r="H2068" s="1">
        <v>37965</v>
      </c>
      <c r="I2068" s="1">
        <v>38009</v>
      </c>
      <c r="J2068" t="s">
        <v>15</v>
      </c>
      <c r="K2068">
        <v>148</v>
      </c>
      <c r="L2068">
        <v>350000</v>
      </c>
      <c r="M2068" t="s">
        <v>16</v>
      </c>
      <c r="N2068">
        <v>2</v>
      </c>
    </row>
    <row r="2069" hidden="1" spans="1:14">
      <c r="A2069">
        <v>2429</v>
      </c>
      <c r="B2069">
        <v>0</v>
      </c>
      <c r="C2069" t="s">
        <v>523</v>
      </c>
      <c r="D2069">
        <v>0</v>
      </c>
      <c r="E2069">
        <v>112.566</v>
      </c>
      <c r="F2069">
        <v>-7.63155</v>
      </c>
      <c r="G2069">
        <v>26683.32</v>
      </c>
      <c r="H2069" s="1">
        <v>38020</v>
      </c>
      <c r="I2069" s="1">
        <v>38022</v>
      </c>
      <c r="J2069" t="s">
        <v>15</v>
      </c>
      <c r="K2069">
        <v>4</v>
      </c>
      <c r="L2069">
        <v>2400</v>
      </c>
      <c r="M2069" t="s">
        <v>16</v>
      </c>
      <c r="N2069">
        <v>1</v>
      </c>
    </row>
    <row r="2070" hidden="1" spans="1:14">
      <c r="A2070">
        <v>2437</v>
      </c>
      <c r="B2070">
        <v>0</v>
      </c>
      <c r="C2070" t="s">
        <v>523</v>
      </c>
      <c r="D2070">
        <v>0</v>
      </c>
      <c r="E2070">
        <v>108.144</v>
      </c>
      <c r="F2070">
        <v>-6.40958</v>
      </c>
      <c r="G2070">
        <v>3685.68</v>
      </c>
      <c r="H2070" s="1">
        <v>38034</v>
      </c>
      <c r="I2070" s="1">
        <v>38042</v>
      </c>
      <c r="J2070" t="s">
        <v>15</v>
      </c>
      <c r="K2070">
        <v>0</v>
      </c>
      <c r="L2070">
        <v>4000</v>
      </c>
      <c r="M2070" t="s">
        <v>16</v>
      </c>
      <c r="N2070">
        <v>1</v>
      </c>
    </row>
    <row r="2071" hidden="1" spans="1:14">
      <c r="A2071">
        <v>2438</v>
      </c>
      <c r="B2071">
        <v>0</v>
      </c>
      <c r="C2071" t="s">
        <v>523</v>
      </c>
      <c r="D2071">
        <v>0</v>
      </c>
      <c r="E2071">
        <v>106.838</v>
      </c>
      <c r="F2071">
        <v>-6.19397</v>
      </c>
      <c r="G2071">
        <v>284.716</v>
      </c>
      <c r="H2071" s="1">
        <v>38035</v>
      </c>
      <c r="I2071" s="1">
        <v>38040</v>
      </c>
      <c r="J2071" t="s">
        <v>15</v>
      </c>
      <c r="K2071">
        <v>5</v>
      </c>
      <c r="L2071">
        <v>13000</v>
      </c>
      <c r="M2071" t="s">
        <v>16</v>
      </c>
      <c r="N2071">
        <v>1</v>
      </c>
    </row>
    <row r="2072" hidden="1" spans="1:14">
      <c r="A2072">
        <v>2439</v>
      </c>
      <c r="B2072">
        <v>0</v>
      </c>
      <c r="C2072" t="s">
        <v>523</v>
      </c>
      <c r="D2072">
        <v>0</v>
      </c>
      <c r="E2072">
        <v>99.1245</v>
      </c>
      <c r="F2072">
        <v>3.28175</v>
      </c>
      <c r="G2072">
        <v>1083.59</v>
      </c>
      <c r="H2072" s="1">
        <v>38039</v>
      </c>
      <c r="I2072" s="1">
        <v>38042</v>
      </c>
      <c r="J2072" t="s">
        <v>15</v>
      </c>
      <c r="K2072">
        <v>1</v>
      </c>
      <c r="L2072">
        <v>3000</v>
      </c>
      <c r="M2072" t="s">
        <v>16</v>
      </c>
      <c r="N2072">
        <v>1</v>
      </c>
    </row>
    <row r="2073" hidden="1" spans="1:14">
      <c r="A2073">
        <v>2457</v>
      </c>
      <c r="B2073">
        <v>0</v>
      </c>
      <c r="C2073" t="s">
        <v>523</v>
      </c>
      <c r="D2073">
        <v>0</v>
      </c>
      <c r="E2073">
        <v>107.494</v>
      </c>
      <c r="F2073">
        <v>-6.93005</v>
      </c>
      <c r="G2073">
        <v>1435.96</v>
      </c>
      <c r="H2073" s="1">
        <v>38062</v>
      </c>
      <c r="I2073" s="1">
        <v>38063</v>
      </c>
      <c r="J2073" t="s">
        <v>15</v>
      </c>
      <c r="K2073">
        <v>1</v>
      </c>
      <c r="L2073">
        <v>8000</v>
      </c>
      <c r="M2073" t="s">
        <v>16</v>
      </c>
      <c r="N2073">
        <v>1</v>
      </c>
    </row>
    <row r="2074" hidden="1" spans="1:14">
      <c r="A2074">
        <v>2480</v>
      </c>
      <c r="B2074">
        <v>0</v>
      </c>
      <c r="C2074" t="s">
        <v>523</v>
      </c>
      <c r="D2074">
        <v>0</v>
      </c>
      <c r="E2074">
        <v>116.828</v>
      </c>
      <c r="F2074">
        <v>-0.527894</v>
      </c>
      <c r="G2074">
        <v>14229.48</v>
      </c>
      <c r="H2074" s="1">
        <v>38114</v>
      </c>
      <c r="I2074" s="1">
        <v>38118</v>
      </c>
      <c r="J2074" t="s">
        <v>15</v>
      </c>
      <c r="K2074">
        <v>0</v>
      </c>
      <c r="L2074">
        <v>10000</v>
      </c>
      <c r="M2074" t="s">
        <v>16</v>
      </c>
      <c r="N2074">
        <v>1</v>
      </c>
    </row>
    <row r="2075" hidden="1" spans="1:14">
      <c r="A2075">
        <v>2568</v>
      </c>
      <c r="B2075">
        <v>0</v>
      </c>
      <c r="C2075" t="s">
        <v>523</v>
      </c>
      <c r="D2075">
        <v>0</v>
      </c>
      <c r="E2075">
        <v>95.9621</v>
      </c>
      <c r="F2075">
        <v>4.36347</v>
      </c>
      <c r="G2075">
        <v>5575.89</v>
      </c>
      <c r="H2075" s="1">
        <v>38256</v>
      </c>
      <c r="I2075" s="1">
        <v>38263</v>
      </c>
      <c r="J2075" t="s">
        <v>15</v>
      </c>
      <c r="K2075">
        <v>0</v>
      </c>
      <c r="L2075">
        <v>3000</v>
      </c>
      <c r="M2075" t="s">
        <v>16</v>
      </c>
      <c r="N2075">
        <v>1</v>
      </c>
    </row>
    <row r="2076" hidden="1" spans="1:14">
      <c r="A2076">
        <v>2580</v>
      </c>
      <c r="B2076">
        <v>0</v>
      </c>
      <c r="C2076" t="s">
        <v>523</v>
      </c>
      <c r="D2076">
        <v>0</v>
      </c>
      <c r="E2076">
        <v>101.398</v>
      </c>
      <c r="F2076">
        <v>-2.0431</v>
      </c>
      <c r="G2076">
        <v>230.99</v>
      </c>
      <c r="H2076" s="1">
        <v>38294</v>
      </c>
      <c r="I2076" s="1">
        <v>38295</v>
      </c>
      <c r="J2076" t="s">
        <v>15</v>
      </c>
      <c r="K2076">
        <v>1</v>
      </c>
      <c r="L2076">
        <v>150</v>
      </c>
      <c r="M2076" t="s">
        <v>16</v>
      </c>
      <c r="N2076">
        <v>1</v>
      </c>
    </row>
    <row r="2077" hidden="1" spans="1:14">
      <c r="A2077">
        <v>2593</v>
      </c>
      <c r="B2077">
        <v>0</v>
      </c>
      <c r="C2077" t="s">
        <v>523</v>
      </c>
      <c r="D2077">
        <v>0</v>
      </c>
      <c r="E2077">
        <v>112.175</v>
      </c>
      <c r="F2077">
        <v>-8.04448</v>
      </c>
      <c r="G2077">
        <v>3782.68</v>
      </c>
      <c r="H2077" s="1">
        <v>38323</v>
      </c>
      <c r="I2077" s="1">
        <v>38327</v>
      </c>
      <c r="J2077" t="s">
        <v>15</v>
      </c>
      <c r="K2077">
        <v>15</v>
      </c>
      <c r="L2077">
        <v>20000</v>
      </c>
      <c r="M2077" t="s">
        <v>16</v>
      </c>
      <c r="N2077">
        <v>2</v>
      </c>
    </row>
    <row r="2078" hidden="1" spans="1:14">
      <c r="A2078">
        <v>2612</v>
      </c>
      <c r="B2078">
        <v>0</v>
      </c>
      <c r="C2078" t="s">
        <v>523</v>
      </c>
      <c r="D2078">
        <v>0</v>
      </c>
      <c r="E2078">
        <v>104.432</v>
      </c>
      <c r="F2078">
        <v>-3.90354</v>
      </c>
      <c r="G2078">
        <v>78150.97</v>
      </c>
      <c r="H2078" s="1">
        <v>38363</v>
      </c>
      <c r="I2078" s="1">
        <v>38393</v>
      </c>
      <c r="J2078" t="s">
        <v>15</v>
      </c>
      <c r="K2078">
        <v>9</v>
      </c>
      <c r="L2078">
        <v>0</v>
      </c>
      <c r="M2078" t="s">
        <v>16</v>
      </c>
      <c r="N2078">
        <v>1</v>
      </c>
    </row>
    <row r="2079" hidden="1" spans="1:14">
      <c r="A2079">
        <v>2627</v>
      </c>
      <c r="B2079">
        <v>0</v>
      </c>
      <c r="C2079" t="s">
        <v>523</v>
      </c>
      <c r="D2079">
        <v>0</v>
      </c>
      <c r="E2079">
        <v>107.603</v>
      </c>
      <c r="F2079">
        <v>-6.95896</v>
      </c>
      <c r="G2079">
        <v>892.05</v>
      </c>
      <c r="H2079" s="1">
        <v>38402</v>
      </c>
      <c r="I2079" s="1">
        <v>38408</v>
      </c>
      <c r="J2079" t="s">
        <v>15</v>
      </c>
      <c r="K2079">
        <v>0</v>
      </c>
      <c r="L2079">
        <v>50000</v>
      </c>
      <c r="M2079" t="s">
        <v>16</v>
      </c>
      <c r="N2079">
        <v>1</v>
      </c>
    </row>
    <row r="2080" hidden="1" spans="1:14">
      <c r="A2080">
        <v>2651</v>
      </c>
      <c r="B2080">
        <v>0</v>
      </c>
      <c r="C2080" t="s">
        <v>523</v>
      </c>
      <c r="D2080">
        <v>0</v>
      </c>
      <c r="E2080">
        <v>97.6622</v>
      </c>
      <c r="F2080">
        <v>3.69543</v>
      </c>
      <c r="G2080">
        <v>1727.34</v>
      </c>
      <c r="H2080" s="1">
        <v>38468</v>
      </c>
      <c r="I2080" s="1">
        <v>38469</v>
      </c>
      <c r="J2080" t="s">
        <v>15</v>
      </c>
      <c r="K2080">
        <v>20</v>
      </c>
      <c r="L2080">
        <v>750</v>
      </c>
      <c r="M2080" t="s">
        <v>16</v>
      </c>
      <c r="N2080">
        <v>1</v>
      </c>
    </row>
    <row r="2081" hidden="1" spans="1:14">
      <c r="A2081">
        <v>2752</v>
      </c>
      <c r="B2081">
        <v>0</v>
      </c>
      <c r="C2081" t="s">
        <v>523</v>
      </c>
      <c r="D2081">
        <v>0</v>
      </c>
      <c r="E2081">
        <v>97.7538</v>
      </c>
      <c r="F2081">
        <v>3.50517</v>
      </c>
      <c r="G2081">
        <v>2463.6</v>
      </c>
      <c r="H2081" s="1">
        <v>38643</v>
      </c>
      <c r="I2081" s="1">
        <v>38644</v>
      </c>
      <c r="J2081" t="s">
        <v>15</v>
      </c>
      <c r="K2081">
        <v>28</v>
      </c>
      <c r="L2081">
        <v>12000</v>
      </c>
      <c r="M2081" t="s">
        <v>16</v>
      </c>
      <c r="N2081">
        <v>1</v>
      </c>
    </row>
    <row r="2082" hidden="1" spans="1:14">
      <c r="A2082">
        <v>2777</v>
      </c>
      <c r="B2082" t="s">
        <v>525</v>
      </c>
      <c r="C2082" t="s">
        <v>523</v>
      </c>
      <c r="D2082">
        <v>0</v>
      </c>
      <c r="E2082">
        <v>113.342</v>
      </c>
      <c r="F2082">
        <v>-8.02272</v>
      </c>
      <c r="G2082">
        <v>2550.79</v>
      </c>
      <c r="H2082" s="1">
        <v>38718</v>
      </c>
      <c r="I2082" s="1">
        <v>38721</v>
      </c>
      <c r="J2082" t="s">
        <v>15</v>
      </c>
      <c r="K2082">
        <v>125</v>
      </c>
      <c r="L2082">
        <v>7781</v>
      </c>
      <c r="M2082" t="s">
        <v>23</v>
      </c>
      <c r="N2082">
        <v>1</v>
      </c>
    </row>
    <row r="2083" hidden="1" spans="1:14">
      <c r="A2083">
        <v>2779</v>
      </c>
      <c r="B2083">
        <v>0</v>
      </c>
      <c r="C2083" t="s">
        <v>523</v>
      </c>
      <c r="D2083">
        <v>0</v>
      </c>
      <c r="E2083">
        <v>108.215</v>
      </c>
      <c r="F2083">
        <v>-6.38134</v>
      </c>
      <c r="G2083">
        <v>912.764</v>
      </c>
      <c r="H2083" s="1">
        <v>38725</v>
      </c>
      <c r="I2083" s="1">
        <v>38729</v>
      </c>
      <c r="J2083" t="s">
        <v>15</v>
      </c>
      <c r="K2083">
        <v>0</v>
      </c>
      <c r="L2083">
        <v>6000</v>
      </c>
      <c r="M2083" t="s">
        <v>16</v>
      </c>
      <c r="N2083">
        <v>1</v>
      </c>
    </row>
    <row r="2084" hidden="1" spans="1:14">
      <c r="A2084">
        <v>2788</v>
      </c>
      <c r="B2084">
        <v>0</v>
      </c>
      <c r="C2084" t="s">
        <v>523</v>
      </c>
      <c r="D2084">
        <v>0</v>
      </c>
      <c r="E2084">
        <v>117.291</v>
      </c>
      <c r="F2084">
        <v>-8.44131</v>
      </c>
      <c r="G2084">
        <v>47810.17</v>
      </c>
      <c r="H2084" s="1">
        <v>38739</v>
      </c>
      <c r="I2084" s="1">
        <v>38744</v>
      </c>
      <c r="J2084" t="s">
        <v>15</v>
      </c>
      <c r="K2084">
        <v>11</v>
      </c>
      <c r="L2084">
        <v>3000</v>
      </c>
      <c r="M2084" t="s">
        <v>23</v>
      </c>
      <c r="N2084">
        <v>1</v>
      </c>
    </row>
    <row r="2085" hidden="1" spans="1:14">
      <c r="A2085">
        <v>2789</v>
      </c>
      <c r="B2085">
        <v>0</v>
      </c>
      <c r="C2085" t="s">
        <v>523</v>
      </c>
      <c r="D2085">
        <v>0</v>
      </c>
      <c r="E2085">
        <v>108.593</v>
      </c>
      <c r="F2085">
        <v>-6.8528</v>
      </c>
      <c r="G2085">
        <v>73074.39</v>
      </c>
      <c r="H2085" s="1">
        <v>38743</v>
      </c>
      <c r="I2085" s="1">
        <v>38762</v>
      </c>
      <c r="J2085" t="s">
        <v>15</v>
      </c>
      <c r="K2085">
        <v>19</v>
      </c>
      <c r="L2085">
        <v>10000</v>
      </c>
      <c r="M2085" t="s">
        <v>23</v>
      </c>
      <c r="N2085">
        <v>1</v>
      </c>
    </row>
    <row r="2086" hidden="1" spans="1:14">
      <c r="A2086">
        <v>2796</v>
      </c>
      <c r="B2086">
        <v>0</v>
      </c>
      <c r="C2086" t="s">
        <v>523</v>
      </c>
      <c r="D2086">
        <v>0</v>
      </c>
      <c r="E2086">
        <v>102.23</v>
      </c>
      <c r="F2086">
        <v>-1.81545</v>
      </c>
      <c r="G2086">
        <v>29003.72</v>
      </c>
      <c r="H2086" s="1">
        <v>38755</v>
      </c>
      <c r="I2086" s="1">
        <v>38761</v>
      </c>
      <c r="J2086" t="s">
        <v>15</v>
      </c>
      <c r="K2086">
        <v>0</v>
      </c>
      <c r="L2086">
        <v>300</v>
      </c>
      <c r="M2086" t="s">
        <v>16</v>
      </c>
      <c r="N2086">
        <v>1</v>
      </c>
    </row>
    <row r="2087" hidden="1" spans="1:14">
      <c r="A2087">
        <v>2807</v>
      </c>
      <c r="B2087" t="s">
        <v>526</v>
      </c>
      <c r="C2087" t="s">
        <v>523</v>
      </c>
      <c r="D2087">
        <v>0</v>
      </c>
      <c r="E2087">
        <v>124.664</v>
      </c>
      <c r="F2087">
        <v>1.07274</v>
      </c>
      <c r="G2087">
        <v>33830.6</v>
      </c>
      <c r="H2087" s="1">
        <v>38761</v>
      </c>
      <c r="I2087" s="1">
        <v>38771</v>
      </c>
      <c r="J2087" t="s">
        <v>15</v>
      </c>
      <c r="K2087">
        <v>33</v>
      </c>
      <c r="L2087">
        <v>17500</v>
      </c>
      <c r="M2087" t="s">
        <v>23</v>
      </c>
      <c r="N2087">
        <v>1</v>
      </c>
    </row>
    <row r="2088" hidden="1" spans="1:14">
      <c r="A2088">
        <v>2848</v>
      </c>
      <c r="B2088" t="s">
        <v>527</v>
      </c>
      <c r="C2088" t="s">
        <v>523</v>
      </c>
      <c r="D2088">
        <v>0</v>
      </c>
      <c r="E2088">
        <v>111.863</v>
      </c>
      <c r="F2088">
        <v>-7.83819</v>
      </c>
      <c r="G2088">
        <v>19039.1</v>
      </c>
      <c r="H2088" s="1">
        <v>38826</v>
      </c>
      <c r="I2088" s="1">
        <v>38830</v>
      </c>
      <c r="J2088" t="s">
        <v>15</v>
      </c>
      <c r="K2088">
        <v>23</v>
      </c>
      <c r="L2088">
        <v>240</v>
      </c>
      <c r="M2088" t="s">
        <v>16</v>
      </c>
      <c r="N2088">
        <v>1</v>
      </c>
    </row>
    <row r="2089" hidden="1" spans="1:14">
      <c r="A2089">
        <v>2890</v>
      </c>
      <c r="B2089" t="s">
        <v>528</v>
      </c>
      <c r="C2089" t="s">
        <v>523</v>
      </c>
      <c r="D2089">
        <v>0</v>
      </c>
      <c r="E2089">
        <v>120.107</v>
      </c>
      <c r="F2089">
        <v>-5.16666</v>
      </c>
      <c r="G2089">
        <v>3091.85</v>
      </c>
      <c r="H2089" s="1">
        <v>38887</v>
      </c>
      <c r="I2089" s="1">
        <v>38891</v>
      </c>
      <c r="J2089" t="s">
        <v>15</v>
      </c>
      <c r="K2089">
        <v>291</v>
      </c>
      <c r="L2089">
        <v>7580</v>
      </c>
      <c r="M2089" t="s">
        <v>16</v>
      </c>
      <c r="N2089">
        <v>1</v>
      </c>
    </row>
    <row r="2090" hidden="1" spans="1:14">
      <c r="A2090">
        <v>2893</v>
      </c>
      <c r="B2090">
        <v>0</v>
      </c>
      <c r="C2090" t="s">
        <v>523</v>
      </c>
      <c r="D2090">
        <v>0</v>
      </c>
      <c r="E2090">
        <v>123.009</v>
      </c>
      <c r="F2090">
        <v>0.54501</v>
      </c>
      <c r="G2090">
        <v>890.878</v>
      </c>
      <c r="H2090" s="1">
        <v>38891</v>
      </c>
      <c r="I2090" s="1">
        <v>38895</v>
      </c>
      <c r="J2090" t="s">
        <v>15</v>
      </c>
      <c r="K2090">
        <v>0</v>
      </c>
      <c r="L2090">
        <v>5000</v>
      </c>
      <c r="M2090" t="s">
        <v>16</v>
      </c>
      <c r="N2090">
        <v>1</v>
      </c>
    </row>
    <row r="2091" hidden="1" spans="1:14">
      <c r="A2091">
        <v>2896</v>
      </c>
      <c r="B2091">
        <v>0</v>
      </c>
      <c r="C2091" t="s">
        <v>523</v>
      </c>
      <c r="D2091">
        <v>0</v>
      </c>
      <c r="E2091">
        <v>115.49</v>
      </c>
      <c r="F2091">
        <v>-3.28577</v>
      </c>
      <c r="G2091">
        <v>23710.14</v>
      </c>
      <c r="H2091" s="1">
        <v>38893</v>
      </c>
      <c r="I2091" s="1">
        <v>38897</v>
      </c>
      <c r="J2091" t="s">
        <v>15</v>
      </c>
      <c r="K2091">
        <v>26</v>
      </c>
      <c r="L2091">
        <v>3000</v>
      </c>
      <c r="M2091" t="s">
        <v>16</v>
      </c>
      <c r="N2091">
        <v>1</v>
      </c>
    </row>
    <row r="2092" hidden="1" spans="1:14">
      <c r="A2092">
        <v>3006</v>
      </c>
      <c r="B2092" t="s">
        <v>529</v>
      </c>
      <c r="C2092" t="s">
        <v>523</v>
      </c>
      <c r="D2092">
        <v>0</v>
      </c>
      <c r="E2092">
        <v>97.5048</v>
      </c>
      <c r="F2092">
        <v>4.47458</v>
      </c>
      <c r="G2092">
        <v>16206.35</v>
      </c>
      <c r="H2092" s="1">
        <v>39073</v>
      </c>
      <c r="I2092" s="1">
        <v>39086</v>
      </c>
      <c r="J2092" t="s">
        <v>15</v>
      </c>
      <c r="K2092">
        <v>193</v>
      </c>
      <c r="L2092">
        <v>400000</v>
      </c>
      <c r="M2092" t="s">
        <v>16</v>
      </c>
      <c r="N2092">
        <v>1</v>
      </c>
    </row>
    <row r="2093" hidden="1" spans="1:14">
      <c r="A2093">
        <v>3015</v>
      </c>
      <c r="B2093">
        <v>0</v>
      </c>
      <c r="C2093" t="s">
        <v>523</v>
      </c>
      <c r="D2093">
        <v>0</v>
      </c>
      <c r="E2093">
        <v>125.54</v>
      </c>
      <c r="F2093">
        <v>3.55746</v>
      </c>
      <c r="G2093">
        <v>378.372</v>
      </c>
      <c r="H2093" s="1">
        <v>39094</v>
      </c>
      <c r="I2093" s="1">
        <v>39096</v>
      </c>
      <c r="J2093" t="s">
        <v>15</v>
      </c>
      <c r="K2093">
        <v>26</v>
      </c>
      <c r="L2093">
        <v>3990</v>
      </c>
      <c r="M2093" t="s">
        <v>23</v>
      </c>
      <c r="N2093">
        <v>1</v>
      </c>
    </row>
    <row r="2094" hidden="1" spans="1:14">
      <c r="A2094">
        <v>3027</v>
      </c>
      <c r="B2094" t="s">
        <v>530</v>
      </c>
      <c r="C2094" t="s">
        <v>523</v>
      </c>
      <c r="D2094">
        <v>0</v>
      </c>
      <c r="E2094">
        <v>106.828</v>
      </c>
      <c r="F2094">
        <v>-6.22483</v>
      </c>
      <c r="G2094">
        <v>4366.7</v>
      </c>
      <c r="H2094" s="1">
        <v>39113</v>
      </c>
      <c r="I2094" s="1">
        <v>39135</v>
      </c>
      <c r="J2094" t="s">
        <v>15</v>
      </c>
      <c r="K2094">
        <v>80</v>
      </c>
      <c r="L2094">
        <v>500000</v>
      </c>
      <c r="M2094" t="s">
        <v>16</v>
      </c>
      <c r="N2094">
        <v>1.5</v>
      </c>
    </row>
    <row r="2095" hidden="1" spans="1:14">
      <c r="A2095">
        <v>3031</v>
      </c>
      <c r="B2095" t="s">
        <v>531</v>
      </c>
      <c r="C2095" t="s">
        <v>523</v>
      </c>
      <c r="D2095">
        <v>0</v>
      </c>
      <c r="E2095">
        <v>120.757</v>
      </c>
      <c r="F2095">
        <v>-8.56674</v>
      </c>
      <c r="G2095">
        <v>3222.43</v>
      </c>
      <c r="H2095" s="1">
        <v>39142</v>
      </c>
      <c r="I2095" s="1">
        <v>39151</v>
      </c>
      <c r="J2095" t="s">
        <v>15</v>
      </c>
      <c r="K2095">
        <v>43</v>
      </c>
      <c r="L2095">
        <v>11530</v>
      </c>
      <c r="M2095" t="s">
        <v>16</v>
      </c>
      <c r="N2095">
        <v>1</v>
      </c>
    </row>
    <row r="2096" hidden="1" spans="1:14">
      <c r="A2096">
        <v>3041</v>
      </c>
      <c r="B2096">
        <v>0</v>
      </c>
      <c r="C2096" t="s">
        <v>523</v>
      </c>
      <c r="D2096">
        <v>0</v>
      </c>
      <c r="E2096">
        <v>124.71</v>
      </c>
      <c r="F2096">
        <v>-9.53717</v>
      </c>
      <c r="G2096">
        <v>1823.21</v>
      </c>
      <c r="H2096" s="1">
        <v>39158</v>
      </c>
      <c r="I2096" s="1">
        <v>39163</v>
      </c>
      <c r="J2096" t="s">
        <v>15</v>
      </c>
      <c r="K2096">
        <v>0</v>
      </c>
      <c r="L2096">
        <v>3000</v>
      </c>
      <c r="M2096" t="s">
        <v>16</v>
      </c>
      <c r="N2096">
        <v>1</v>
      </c>
    </row>
    <row r="2097" hidden="1" spans="1:14">
      <c r="A2097">
        <v>3051</v>
      </c>
      <c r="B2097">
        <v>0</v>
      </c>
      <c r="C2097" t="s">
        <v>523</v>
      </c>
      <c r="D2097">
        <v>0</v>
      </c>
      <c r="E2097">
        <v>117.444</v>
      </c>
      <c r="F2097">
        <v>-8.57837</v>
      </c>
      <c r="G2097">
        <v>863.938</v>
      </c>
      <c r="H2097" s="1">
        <v>39186</v>
      </c>
      <c r="I2097" s="1">
        <v>39190</v>
      </c>
      <c r="J2097" t="s">
        <v>15</v>
      </c>
      <c r="K2097">
        <v>0</v>
      </c>
      <c r="L2097">
        <v>0</v>
      </c>
      <c r="M2097" t="s">
        <v>16</v>
      </c>
      <c r="N2097">
        <v>1</v>
      </c>
    </row>
    <row r="2098" hidden="1" spans="1:14">
      <c r="A2098">
        <v>3053</v>
      </c>
      <c r="B2098">
        <v>0</v>
      </c>
      <c r="C2098" t="s">
        <v>523</v>
      </c>
      <c r="D2098">
        <v>0</v>
      </c>
      <c r="E2098">
        <v>121.217</v>
      </c>
      <c r="F2098">
        <v>-1.92539</v>
      </c>
      <c r="G2098">
        <v>3192.6</v>
      </c>
      <c r="H2098" s="1">
        <v>39188</v>
      </c>
      <c r="I2098" s="1">
        <v>39205</v>
      </c>
      <c r="J2098" t="s">
        <v>15</v>
      </c>
      <c r="K2098">
        <v>0</v>
      </c>
      <c r="L2098">
        <v>0</v>
      </c>
      <c r="M2098" t="s">
        <v>16</v>
      </c>
      <c r="N2098">
        <v>1</v>
      </c>
    </row>
    <row r="2099" hidden="1" spans="1:14">
      <c r="A2099">
        <v>3056</v>
      </c>
      <c r="B2099">
        <v>0</v>
      </c>
      <c r="C2099" t="s">
        <v>523</v>
      </c>
      <c r="D2099">
        <v>0</v>
      </c>
      <c r="E2099">
        <v>95.7374</v>
      </c>
      <c r="F2099">
        <v>4.72513</v>
      </c>
      <c r="G2099">
        <v>822.028</v>
      </c>
      <c r="H2099" s="1">
        <v>39189</v>
      </c>
      <c r="I2099" s="1">
        <v>39192</v>
      </c>
      <c r="J2099" t="s">
        <v>15</v>
      </c>
      <c r="K2099">
        <v>0</v>
      </c>
      <c r="L2099">
        <v>0</v>
      </c>
      <c r="M2099" t="s">
        <v>16</v>
      </c>
      <c r="N2099">
        <v>1</v>
      </c>
    </row>
    <row r="2100" hidden="1" spans="1:14">
      <c r="A2100">
        <v>3065</v>
      </c>
      <c r="B2100">
        <v>0</v>
      </c>
      <c r="C2100" t="s">
        <v>523</v>
      </c>
      <c r="D2100">
        <v>0</v>
      </c>
      <c r="E2100">
        <v>114.779</v>
      </c>
      <c r="F2100">
        <v>-0.860079</v>
      </c>
      <c r="G2100">
        <v>40326.99</v>
      </c>
      <c r="H2100" s="1">
        <v>39203</v>
      </c>
      <c r="I2100" s="1">
        <v>39227</v>
      </c>
      <c r="J2100" t="s">
        <v>15</v>
      </c>
      <c r="K2100">
        <v>0</v>
      </c>
      <c r="L2100">
        <v>3000</v>
      </c>
      <c r="M2100" t="s">
        <v>16</v>
      </c>
      <c r="N2100">
        <v>1</v>
      </c>
    </row>
    <row r="2101" hidden="1" spans="1:14">
      <c r="A2101">
        <v>3072</v>
      </c>
      <c r="B2101">
        <v>0</v>
      </c>
      <c r="C2101" t="s">
        <v>523</v>
      </c>
      <c r="D2101">
        <v>0</v>
      </c>
      <c r="E2101">
        <v>119.954</v>
      </c>
      <c r="F2101">
        <v>-1.07453</v>
      </c>
      <c r="G2101">
        <v>3358.16</v>
      </c>
      <c r="H2101" s="1">
        <v>39208</v>
      </c>
      <c r="I2101" s="1">
        <v>39214</v>
      </c>
      <c r="J2101" t="s">
        <v>15</v>
      </c>
      <c r="K2101">
        <v>2</v>
      </c>
      <c r="L2101">
        <v>14400</v>
      </c>
      <c r="M2101" t="s">
        <v>16</v>
      </c>
      <c r="N2101">
        <v>1</v>
      </c>
    </row>
    <row r="2102" hidden="1" spans="1:14">
      <c r="A2102">
        <v>3081</v>
      </c>
      <c r="B2102">
        <v>0</v>
      </c>
      <c r="C2102" t="s">
        <v>523</v>
      </c>
      <c r="D2102">
        <v>0</v>
      </c>
      <c r="E2102">
        <v>116.92</v>
      </c>
      <c r="F2102">
        <v>-0.1883</v>
      </c>
      <c r="G2102">
        <v>34345.89</v>
      </c>
      <c r="H2102" s="1">
        <v>39217</v>
      </c>
      <c r="I2102" s="1">
        <v>39238</v>
      </c>
      <c r="J2102" t="s">
        <v>15</v>
      </c>
      <c r="K2102">
        <v>4</v>
      </c>
      <c r="L2102">
        <v>60000</v>
      </c>
      <c r="M2102" t="s">
        <v>16</v>
      </c>
      <c r="N2102">
        <v>1</v>
      </c>
    </row>
    <row r="2103" hidden="1" spans="1:14">
      <c r="A2103">
        <v>3103</v>
      </c>
      <c r="B2103">
        <v>0</v>
      </c>
      <c r="C2103" t="s">
        <v>523</v>
      </c>
      <c r="D2103">
        <v>0</v>
      </c>
      <c r="E2103">
        <v>123.096</v>
      </c>
      <c r="F2103">
        <v>0.617594</v>
      </c>
      <c r="G2103">
        <v>1190.2</v>
      </c>
      <c r="H2103" s="1">
        <v>39249</v>
      </c>
      <c r="I2103" s="1">
        <v>39253</v>
      </c>
      <c r="J2103" t="s">
        <v>15</v>
      </c>
      <c r="K2103">
        <v>1</v>
      </c>
      <c r="L2103">
        <v>212</v>
      </c>
      <c r="M2103" t="s">
        <v>16</v>
      </c>
      <c r="N2103">
        <v>1</v>
      </c>
    </row>
    <row r="2104" hidden="1" spans="1:14">
      <c r="A2104">
        <v>3135</v>
      </c>
      <c r="B2104" t="s">
        <v>532</v>
      </c>
      <c r="C2104" t="s">
        <v>523</v>
      </c>
      <c r="D2104">
        <v>0</v>
      </c>
      <c r="E2104">
        <v>121.488</v>
      </c>
      <c r="F2104">
        <v>-1.73966</v>
      </c>
      <c r="G2104">
        <v>4610.17</v>
      </c>
      <c r="H2104" s="1">
        <v>39280</v>
      </c>
      <c r="I2104" s="1">
        <v>39293</v>
      </c>
      <c r="J2104" t="s">
        <v>15</v>
      </c>
      <c r="K2104">
        <v>107</v>
      </c>
      <c r="L2104">
        <v>20000</v>
      </c>
      <c r="M2104" t="s">
        <v>16</v>
      </c>
      <c r="N2104">
        <v>1</v>
      </c>
    </row>
    <row r="2105" hidden="1" spans="1:14">
      <c r="A2105">
        <v>3139</v>
      </c>
      <c r="B2105">
        <v>0</v>
      </c>
      <c r="C2105" t="s">
        <v>523</v>
      </c>
      <c r="D2105">
        <v>0</v>
      </c>
      <c r="E2105">
        <v>97.5139</v>
      </c>
      <c r="F2105">
        <v>2.9614</v>
      </c>
      <c r="G2105">
        <v>7806.81</v>
      </c>
      <c r="H2105" s="1">
        <v>39285</v>
      </c>
      <c r="I2105" s="1">
        <v>39288</v>
      </c>
      <c r="J2105" t="s">
        <v>15</v>
      </c>
      <c r="K2105">
        <v>0</v>
      </c>
      <c r="L2105">
        <v>500</v>
      </c>
      <c r="M2105" t="s">
        <v>16</v>
      </c>
      <c r="N2105">
        <v>1</v>
      </c>
    </row>
    <row r="2106" hidden="1" spans="1:14">
      <c r="A2106">
        <v>3141</v>
      </c>
      <c r="B2106" t="s">
        <v>532</v>
      </c>
      <c r="C2106" t="s">
        <v>523</v>
      </c>
      <c r="D2106">
        <v>0</v>
      </c>
      <c r="E2106">
        <v>120.198</v>
      </c>
      <c r="F2106">
        <v>-3.27954</v>
      </c>
      <c r="G2106">
        <v>2399.1</v>
      </c>
      <c r="H2106" s="1">
        <v>39288</v>
      </c>
      <c r="I2106" s="1">
        <v>39296</v>
      </c>
      <c r="J2106" t="s">
        <v>15</v>
      </c>
      <c r="K2106">
        <v>15</v>
      </c>
      <c r="L2106">
        <v>2000</v>
      </c>
      <c r="M2106" t="s">
        <v>16</v>
      </c>
      <c r="N2106">
        <v>1</v>
      </c>
    </row>
    <row r="2107" hidden="1" spans="1:14">
      <c r="A2107">
        <v>3154</v>
      </c>
      <c r="B2107">
        <v>0</v>
      </c>
      <c r="C2107" t="s">
        <v>523</v>
      </c>
      <c r="D2107">
        <v>0</v>
      </c>
      <c r="E2107">
        <v>128.141</v>
      </c>
      <c r="F2107">
        <v>-0.641493</v>
      </c>
      <c r="G2107">
        <v>1275.81</v>
      </c>
      <c r="H2107" s="1">
        <v>39291</v>
      </c>
      <c r="I2107" s="1">
        <v>39304</v>
      </c>
      <c r="J2107" t="s">
        <v>15</v>
      </c>
      <c r="K2107">
        <v>0</v>
      </c>
      <c r="L2107">
        <v>3000</v>
      </c>
      <c r="M2107" t="s">
        <v>16</v>
      </c>
      <c r="N2107">
        <v>1</v>
      </c>
    </row>
    <row r="2108" hidden="1" spans="1:14">
      <c r="A2108">
        <v>3182</v>
      </c>
      <c r="B2108">
        <v>0</v>
      </c>
      <c r="C2108" t="s">
        <v>523</v>
      </c>
      <c r="D2108">
        <v>0</v>
      </c>
      <c r="E2108">
        <v>116.716</v>
      </c>
      <c r="F2108">
        <v>-1.07634</v>
      </c>
      <c r="G2108">
        <v>5688.89</v>
      </c>
      <c r="H2108" s="1">
        <v>39327</v>
      </c>
      <c r="I2108" s="1">
        <v>39329</v>
      </c>
      <c r="J2108" t="s">
        <v>15</v>
      </c>
      <c r="K2108">
        <v>4</v>
      </c>
      <c r="L2108">
        <v>0</v>
      </c>
      <c r="M2108" t="s">
        <v>16</v>
      </c>
      <c r="N2108">
        <v>1</v>
      </c>
    </row>
    <row r="2109" hidden="1" spans="1:14">
      <c r="A2109">
        <v>3209</v>
      </c>
      <c r="B2109">
        <v>0</v>
      </c>
      <c r="C2109" t="s">
        <v>523</v>
      </c>
      <c r="D2109">
        <v>0</v>
      </c>
      <c r="E2109">
        <v>97.2224</v>
      </c>
      <c r="F2109">
        <v>3.51752</v>
      </c>
      <c r="G2109">
        <v>45794.13</v>
      </c>
      <c r="H2109" s="1">
        <v>39373</v>
      </c>
      <c r="I2109" s="1">
        <v>39386</v>
      </c>
      <c r="J2109" t="s">
        <v>15</v>
      </c>
      <c r="K2109">
        <v>0</v>
      </c>
      <c r="L2109">
        <v>3300</v>
      </c>
      <c r="M2109" t="s">
        <v>16</v>
      </c>
      <c r="N2109">
        <v>1</v>
      </c>
    </row>
    <row r="2110" hidden="1" spans="1:14">
      <c r="A2110">
        <v>3244</v>
      </c>
      <c r="B2110">
        <v>0</v>
      </c>
      <c r="C2110" t="s">
        <v>523</v>
      </c>
      <c r="D2110">
        <v>0</v>
      </c>
      <c r="E2110">
        <v>123.06</v>
      </c>
      <c r="F2110">
        <v>0.610591</v>
      </c>
      <c r="G2110">
        <v>1187.69</v>
      </c>
      <c r="H2110" s="1">
        <v>39433</v>
      </c>
      <c r="I2110" s="1">
        <v>39440</v>
      </c>
      <c r="J2110" t="s">
        <v>15</v>
      </c>
      <c r="K2110">
        <v>0</v>
      </c>
      <c r="L2110">
        <v>4500</v>
      </c>
      <c r="M2110" t="s">
        <v>16</v>
      </c>
      <c r="N2110">
        <v>1</v>
      </c>
    </row>
    <row r="2111" hidden="1" spans="1:14">
      <c r="A2111">
        <v>3248</v>
      </c>
      <c r="B2111">
        <v>0</v>
      </c>
      <c r="C2111" t="s">
        <v>523</v>
      </c>
      <c r="D2111">
        <v>0</v>
      </c>
      <c r="E2111">
        <v>100.616</v>
      </c>
      <c r="F2111">
        <v>-0.686119</v>
      </c>
      <c r="G2111">
        <v>8855.7</v>
      </c>
      <c r="H2111" s="1">
        <v>39441</v>
      </c>
      <c r="I2111" s="1">
        <v>39445</v>
      </c>
      <c r="J2111" t="s">
        <v>15</v>
      </c>
      <c r="K2111">
        <v>1</v>
      </c>
      <c r="L2111">
        <v>20000</v>
      </c>
      <c r="M2111" t="s">
        <v>16</v>
      </c>
      <c r="N2111">
        <v>1</v>
      </c>
    </row>
    <row r="2112" hidden="1" spans="1:14">
      <c r="A2112">
        <v>3249</v>
      </c>
      <c r="B2112" t="s">
        <v>533</v>
      </c>
      <c r="C2112" t="s">
        <v>523</v>
      </c>
      <c r="D2112">
        <v>0</v>
      </c>
      <c r="E2112">
        <v>111.333</v>
      </c>
      <c r="F2112">
        <v>-7.54216</v>
      </c>
      <c r="G2112">
        <v>50689.87</v>
      </c>
      <c r="H2112" s="1">
        <v>39441</v>
      </c>
      <c r="I2112" s="1">
        <v>39450</v>
      </c>
      <c r="J2112" t="s">
        <v>15</v>
      </c>
      <c r="K2112">
        <v>153</v>
      </c>
      <c r="L2112">
        <v>50000</v>
      </c>
      <c r="M2112" t="s">
        <v>16</v>
      </c>
      <c r="N2112">
        <v>1.5</v>
      </c>
    </row>
    <row r="2113" hidden="1" spans="1:14">
      <c r="A2113">
        <v>3251</v>
      </c>
      <c r="B2113">
        <v>0</v>
      </c>
      <c r="C2113" t="s">
        <v>523</v>
      </c>
      <c r="D2113">
        <v>0</v>
      </c>
      <c r="E2113">
        <v>106.828</v>
      </c>
      <c r="F2113">
        <v>-6.22483</v>
      </c>
      <c r="G2113">
        <v>2178.65</v>
      </c>
      <c r="H2113" s="1">
        <v>39449</v>
      </c>
      <c r="I2113" s="1">
        <v>39453</v>
      </c>
      <c r="J2113" t="s">
        <v>15</v>
      </c>
      <c r="K2113">
        <v>0</v>
      </c>
      <c r="L2113">
        <v>1000</v>
      </c>
      <c r="M2113" t="s">
        <v>16</v>
      </c>
      <c r="N2113">
        <v>1</v>
      </c>
    </row>
    <row r="2114" hidden="1" spans="1:14">
      <c r="A2114">
        <v>3262</v>
      </c>
      <c r="B2114">
        <v>0</v>
      </c>
      <c r="C2114" t="s">
        <v>523</v>
      </c>
      <c r="D2114">
        <v>0</v>
      </c>
      <c r="E2114">
        <v>112.908</v>
      </c>
      <c r="F2114">
        <v>-7.70779</v>
      </c>
      <c r="G2114">
        <v>814.734</v>
      </c>
      <c r="H2114" s="1">
        <v>39477</v>
      </c>
      <c r="I2114" s="1">
        <v>39481</v>
      </c>
      <c r="J2114" t="s">
        <v>15</v>
      </c>
      <c r="K2114">
        <v>3</v>
      </c>
      <c r="L2114">
        <v>40000</v>
      </c>
      <c r="M2114" t="s">
        <v>16</v>
      </c>
      <c r="N2114">
        <v>1</v>
      </c>
    </row>
    <row r="2115" hidden="1" spans="1:14">
      <c r="A2115">
        <v>3265</v>
      </c>
      <c r="B2115">
        <v>0</v>
      </c>
      <c r="C2115" t="s">
        <v>523</v>
      </c>
      <c r="D2115">
        <v>0</v>
      </c>
      <c r="E2115">
        <v>106.845</v>
      </c>
      <c r="F2115">
        <v>-6.18874</v>
      </c>
      <c r="G2115">
        <v>377.907</v>
      </c>
      <c r="H2115" s="1">
        <v>39479</v>
      </c>
      <c r="I2115" s="1">
        <v>39484</v>
      </c>
      <c r="J2115" t="s">
        <v>15</v>
      </c>
      <c r="K2115">
        <v>3</v>
      </c>
      <c r="L2115">
        <v>88261</v>
      </c>
      <c r="M2115" t="s">
        <v>16</v>
      </c>
      <c r="N2115">
        <v>1</v>
      </c>
    </row>
    <row r="2116" hidden="1" spans="1:14">
      <c r="A2116">
        <v>3269</v>
      </c>
      <c r="B2116">
        <v>0</v>
      </c>
      <c r="C2116" t="s">
        <v>523</v>
      </c>
      <c r="D2116">
        <v>0</v>
      </c>
      <c r="E2116">
        <v>113.998</v>
      </c>
      <c r="F2116">
        <v>-7.73908</v>
      </c>
      <c r="G2116">
        <v>403.386</v>
      </c>
      <c r="H2116" s="1">
        <v>39486</v>
      </c>
      <c r="I2116" s="1">
        <v>39490</v>
      </c>
      <c r="J2116" t="s">
        <v>15</v>
      </c>
      <c r="K2116">
        <v>14</v>
      </c>
      <c r="L2116">
        <v>7000</v>
      </c>
      <c r="M2116" t="s">
        <v>16</v>
      </c>
      <c r="N2116">
        <v>1</v>
      </c>
    </row>
    <row r="2117" hidden="1" spans="1:14">
      <c r="A2117">
        <v>3271</v>
      </c>
      <c r="B2117">
        <v>0</v>
      </c>
      <c r="C2117" t="s">
        <v>523</v>
      </c>
      <c r="D2117">
        <v>0</v>
      </c>
      <c r="E2117">
        <v>107.286</v>
      </c>
      <c r="F2117">
        <v>-6.26059</v>
      </c>
      <c r="G2117">
        <v>10434.86</v>
      </c>
      <c r="H2117" s="1">
        <v>39492</v>
      </c>
      <c r="I2117" s="1">
        <v>39521</v>
      </c>
      <c r="J2117" t="s">
        <v>15</v>
      </c>
      <c r="K2117">
        <v>0</v>
      </c>
      <c r="L2117">
        <v>10000</v>
      </c>
      <c r="M2117" t="s">
        <v>16</v>
      </c>
      <c r="N2117">
        <v>1</v>
      </c>
    </row>
    <row r="2118" hidden="1" spans="1:14">
      <c r="A2118">
        <v>3276</v>
      </c>
      <c r="B2118" t="s">
        <v>534</v>
      </c>
      <c r="C2118" t="s">
        <v>523</v>
      </c>
      <c r="D2118">
        <v>0</v>
      </c>
      <c r="E2118">
        <v>119.511</v>
      </c>
      <c r="F2118">
        <v>-9.65333</v>
      </c>
      <c r="G2118">
        <v>10584.71</v>
      </c>
      <c r="H2118" s="1">
        <v>39489</v>
      </c>
      <c r="I2118" s="1">
        <v>39508</v>
      </c>
      <c r="J2118" t="s">
        <v>15</v>
      </c>
      <c r="K2118">
        <v>11</v>
      </c>
      <c r="L2118">
        <v>3500</v>
      </c>
      <c r="M2118" t="s">
        <v>16</v>
      </c>
      <c r="N2118">
        <v>1</v>
      </c>
    </row>
    <row r="2119" hidden="1" spans="1:14">
      <c r="A2119">
        <v>3280</v>
      </c>
      <c r="B2119">
        <v>0</v>
      </c>
      <c r="C2119" t="s">
        <v>523</v>
      </c>
      <c r="D2119">
        <v>0</v>
      </c>
      <c r="E2119">
        <v>112.368</v>
      </c>
      <c r="F2119">
        <v>-7.12687</v>
      </c>
      <c r="G2119">
        <v>16854.48</v>
      </c>
      <c r="H2119" s="1">
        <v>39508</v>
      </c>
      <c r="I2119" s="1">
        <v>39541</v>
      </c>
      <c r="J2119" t="s">
        <v>15</v>
      </c>
      <c r="K2119">
        <v>3</v>
      </c>
      <c r="L2119">
        <v>12000</v>
      </c>
      <c r="M2119" t="s">
        <v>16</v>
      </c>
      <c r="N2119">
        <v>1</v>
      </c>
    </row>
    <row r="2120" hidden="1" spans="1:14">
      <c r="A2120">
        <v>3288</v>
      </c>
      <c r="B2120">
        <v>0</v>
      </c>
      <c r="C2120" t="s">
        <v>523</v>
      </c>
      <c r="D2120">
        <v>0</v>
      </c>
      <c r="E2120">
        <v>101.782</v>
      </c>
      <c r="F2120">
        <v>0.537682</v>
      </c>
      <c r="G2120">
        <v>80094.9</v>
      </c>
      <c r="H2120" s="1">
        <v>39517</v>
      </c>
      <c r="I2120" s="1">
        <v>39541</v>
      </c>
      <c r="J2120" t="s">
        <v>15</v>
      </c>
      <c r="K2120">
        <v>0</v>
      </c>
      <c r="L2120">
        <v>60000</v>
      </c>
      <c r="M2120" t="s">
        <v>16</v>
      </c>
      <c r="N2120">
        <v>1</v>
      </c>
    </row>
    <row r="2121" hidden="1" spans="1:14">
      <c r="A2121">
        <v>3296</v>
      </c>
      <c r="B2121">
        <v>0</v>
      </c>
      <c r="C2121" t="s">
        <v>523</v>
      </c>
      <c r="D2121">
        <v>0</v>
      </c>
      <c r="E2121">
        <v>95.7728</v>
      </c>
      <c r="F2121">
        <v>4.64929</v>
      </c>
      <c r="G2121">
        <v>4197.22</v>
      </c>
      <c r="H2121" s="1">
        <v>39561</v>
      </c>
      <c r="I2121" s="1">
        <v>39565</v>
      </c>
      <c r="J2121" t="s">
        <v>15</v>
      </c>
      <c r="K2121">
        <v>0</v>
      </c>
      <c r="L2121">
        <v>34514</v>
      </c>
      <c r="M2121" t="s">
        <v>16</v>
      </c>
      <c r="N2121">
        <v>1</v>
      </c>
    </row>
    <row r="2122" hidden="1" spans="1:14">
      <c r="A2122">
        <v>3330</v>
      </c>
      <c r="B2122" t="s">
        <v>535</v>
      </c>
      <c r="C2122" t="s">
        <v>523</v>
      </c>
      <c r="D2122">
        <v>0</v>
      </c>
      <c r="E2122">
        <v>116.237</v>
      </c>
      <c r="F2122">
        <v>-1.67523</v>
      </c>
      <c r="G2122">
        <v>89287.24</v>
      </c>
      <c r="H2122" s="1">
        <v>39638</v>
      </c>
      <c r="I2122" s="1">
        <v>39639</v>
      </c>
      <c r="J2122" t="s">
        <v>15</v>
      </c>
      <c r="K2122">
        <v>1</v>
      </c>
      <c r="L2122">
        <v>0</v>
      </c>
      <c r="M2122" t="s">
        <v>49</v>
      </c>
      <c r="N2122">
        <v>1</v>
      </c>
    </row>
    <row r="2123" hidden="1" spans="1:14">
      <c r="A2123">
        <v>3374</v>
      </c>
      <c r="B2123">
        <v>0</v>
      </c>
      <c r="C2123" t="s">
        <v>523</v>
      </c>
      <c r="D2123">
        <v>0</v>
      </c>
      <c r="E2123">
        <v>122.521</v>
      </c>
      <c r="F2123">
        <v>0.682066</v>
      </c>
      <c r="G2123">
        <v>9851.07</v>
      </c>
      <c r="H2123" s="1">
        <v>39697</v>
      </c>
      <c r="I2123" s="1">
        <v>39699</v>
      </c>
      <c r="J2123" t="s">
        <v>15</v>
      </c>
      <c r="K2123">
        <v>0</v>
      </c>
      <c r="L2123">
        <v>17352</v>
      </c>
      <c r="M2123" t="s">
        <v>138</v>
      </c>
      <c r="N2123">
        <v>1.5</v>
      </c>
    </row>
    <row r="2124" hidden="1" spans="1:14">
      <c r="A2124">
        <v>3425</v>
      </c>
      <c r="B2124">
        <v>0</v>
      </c>
      <c r="C2124" t="s">
        <v>523</v>
      </c>
      <c r="D2124">
        <v>0</v>
      </c>
      <c r="E2124">
        <v>103.139</v>
      </c>
      <c r="F2124">
        <v>-3.32927</v>
      </c>
      <c r="G2124">
        <v>126659.3</v>
      </c>
      <c r="H2124" s="1">
        <v>39808</v>
      </c>
      <c r="I2124" s="1">
        <v>39810</v>
      </c>
      <c r="J2124" t="s">
        <v>15</v>
      </c>
      <c r="K2124">
        <v>0</v>
      </c>
      <c r="L2124">
        <v>0</v>
      </c>
      <c r="M2124" t="s">
        <v>49</v>
      </c>
      <c r="N2124">
        <v>1</v>
      </c>
    </row>
    <row r="2125" hidden="1" spans="1:14">
      <c r="A2125">
        <v>3442</v>
      </c>
      <c r="B2125">
        <v>0</v>
      </c>
      <c r="C2125" t="s">
        <v>523</v>
      </c>
      <c r="D2125">
        <v>0</v>
      </c>
      <c r="E2125">
        <v>120.264</v>
      </c>
      <c r="F2125">
        <v>-2.63531</v>
      </c>
      <c r="G2125">
        <v>60608.98</v>
      </c>
      <c r="H2125" s="1">
        <v>39835</v>
      </c>
      <c r="I2125" s="1">
        <v>39842</v>
      </c>
      <c r="J2125" t="s">
        <v>15</v>
      </c>
      <c r="K2125">
        <v>3</v>
      </c>
      <c r="L2125">
        <v>3000</v>
      </c>
      <c r="M2125" t="s">
        <v>536</v>
      </c>
      <c r="N2125">
        <v>1</v>
      </c>
    </row>
    <row r="2126" hidden="1" spans="1:14">
      <c r="A2126">
        <v>3458</v>
      </c>
      <c r="B2126" t="s">
        <v>537</v>
      </c>
      <c r="C2126" t="s">
        <v>523</v>
      </c>
      <c r="D2126">
        <v>0</v>
      </c>
      <c r="E2126">
        <v>121.978</v>
      </c>
      <c r="F2126">
        <v>0.814144</v>
      </c>
      <c r="G2126">
        <v>21570.89</v>
      </c>
      <c r="H2126" s="1">
        <v>39856</v>
      </c>
      <c r="I2126" s="1">
        <v>39867</v>
      </c>
      <c r="J2126" t="s">
        <v>15</v>
      </c>
      <c r="K2126">
        <v>0</v>
      </c>
      <c r="L2126">
        <v>0</v>
      </c>
      <c r="M2126" t="s">
        <v>49</v>
      </c>
      <c r="N2126">
        <v>1</v>
      </c>
    </row>
    <row r="2127" hidden="1" spans="1:14">
      <c r="A2127">
        <v>3465</v>
      </c>
      <c r="B2127" t="s">
        <v>538</v>
      </c>
      <c r="C2127" t="s">
        <v>523</v>
      </c>
      <c r="E2127">
        <v>100.731</v>
      </c>
      <c r="F2127">
        <v>-1.20654</v>
      </c>
      <c r="G2127">
        <v>44401.17</v>
      </c>
      <c r="H2127" s="1">
        <v>39896</v>
      </c>
      <c r="I2127" s="1">
        <v>39923</v>
      </c>
      <c r="J2127" t="s">
        <v>15</v>
      </c>
      <c r="K2127">
        <v>0</v>
      </c>
      <c r="L2127">
        <v>5000</v>
      </c>
      <c r="M2127" t="s">
        <v>252</v>
      </c>
      <c r="N2127">
        <v>2</v>
      </c>
    </row>
    <row r="2128" hidden="1" spans="1:14">
      <c r="A2128">
        <v>3466</v>
      </c>
      <c r="B2128">
        <v>0</v>
      </c>
      <c r="C2128" t="s">
        <v>523</v>
      </c>
      <c r="D2128">
        <v>0</v>
      </c>
      <c r="E2128">
        <v>106.364</v>
      </c>
      <c r="F2128">
        <v>-6.5542</v>
      </c>
      <c r="G2128">
        <v>19203.9</v>
      </c>
      <c r="H2128" s="1">
        <v>39902</v>
      </c>
      <c r="I2128" s="1">
        <v>39903</v>
      </c>
      <c r="J2128" t="s">
        <v>15</v>
      </c>
      <c r="K2128">
        <v>0</v>
      </c>
      <c r="L2128">
        <v>1000</v>
      </c>
      <c r="M2128" t="s">
        <v>52</v>
      </c>
      <c r="N2128">
        <v>1</v>
      </c>
    </row>
    <row r="2129" hidden="1" spans="1:14">
      <c r="A2129">
        <v>3473</v>
      </c>
      <c r="B2129">
        <v>0</v>
      </c>
      <c r="C2129" t="s">
        <v>523</v>
      </c>
      <c r="D2129">
        <v>0</v>
      </c>
      <c r="E2129">
        <v>116.937</v>
      </c>
      <c r="F2129">
        <v>-0.298253</v>
      </c>
      <c r="G2129">
        <v>9797.19</v>
      </c>
      <c r="H2129" s="1">
        <v>39915</v>
      </c>
      <c r="I2129" s="1">
        <v>39918</v>
      </c>
      <c r="J2129" t="s">
        <v>15</v>
      </c>
      <c r="K2129">
        <v>0</v>
      </c>
      <c r="L2129">
        <v>8000</v>
      </c>
      <c r="M2129" t="s">
        <v>49</v>
      </c>
      <c r="N2129">
        <v>1</v>
      </c>
    </row>
    <row r="2130" hidden="1" spans="1:14">
      <c r="A2130">
        <v>3541</v>
      </c>
      <c r="B2130" t="s">
        <v>539</v>
      </c>
      <c r="C2130" t="s">
        <v>523</v>
      </c>
      <c r="D2130">
        <v>0</v>
      </c>
      <c r="E2130">
        <v>98.5925</v>
      </c>
      <c r="F2130">
        <v>2.89095</v>
      </c>
      <c r="G2130">
        <v>47760.1</v>
      </c>
      <c r="H2130" s="1">
        <v>40071</v>
      </c>
      <c r="I2130" s="1">
        <v>40072</v>
      </c>
      <c r="J2130">
        <v>0</v>
      </c>
      <c r="K2130">
        <v>38</v>
      </c>
      <c r="L2130">
        <v>0</v>
      </c>
      <c r="M2130" t="s">
        <v>52</v>
      </c>
      <c r="N2130">
        <v>2</v>
      </c>
    </row>
    <row r="2131" hidden="1" spans="1:14">
      <c r="A2131">
        <v>3627</v>
      </c>
      <c r="B2131" t="s">
        <v>540</v>
      </c>
      <c r="C2131" t="s">
        <v>523</v>
      </c>
      <c r="D2131">
        <v>0</v>
      </c>
      <c r="E2131">
        <v>104.787</v>
      </c>
      <c r="F2131">
        <v>-4.44749</v>
      </c>
      <c r="G2131">
        <v>149970.68</v>
      </c>
      <c r="H2131" s="1">
        <v>40261</v>
      </c>
      <c r="I2131" s="1">
        <v>40263</v>
      </c>
      <c r="J2131">
        <v>0</v>
      </c>
      <c r="K2131">
        <v>0</v>
      </c>
      <c r="L2131">
        <v>25000</v>
      </c>
      <c r="M2131" t="s">
        <v>52</v>
      </c>
      <c r="N2131">
        <v>1</v>
      </c>
    </row>
    <row r="2132" hidden="1" spans="1:14">
      <c r="A2132">
        <v>3640</v>
      </c>
      <c r="B2132">
        <v>0</v>
      </c>
      <c r="C2132" t="s">
        <v>523</v>
      </c>
      <c r="D2132">
        <v>0</v>
      </c>
      <c r="E2132">
        <v>113.972</v>
      </c>
      <c r="F2132">
        <v>-2.68196</v>
      </c>
      <c r="G2132">
        <v>103901.84</v>
      </c>
      <c r="H2132" s="1">
        <v>40284</v>
      </c>
      <c r="I2132" s="1">
        <v>40300</v>
      </c>
      <c r="J2132">
        <v>0</v>
      </c>
      <c r="K2132">
        <v>0</v>
      </c>
      <c r="L2132">
        <v>0</v>
      </c>
      <c r="M2132" t="s">
        <v>49</v>
      </c>
      <c r="N2132">
        <v>1</v>
      </c>
    </row>
    <row r="2133" hidden="1" spans="1:14">
      <c r="A2133">
        <v>3645</v>
      </c>
      <c r="B2133">
        <v>0</v>
      </c>
      <c r="C2133" t="s">
        <v>523</v>
      </c>
      <c r="D2133">
        <v>0</v>
      </c>
      <c r="E2133">
        <v>121.994</v>
      </c>
      <c r="F2133">
        <v>-3.87599</v>
      </c>
      <c r="G2133">
        <v>24518.72</v>
      </c>
      <c r="H2133" s="1">
        <v>40306</v>
      </c>
      <c r="I2133" s="1">
        <v>40308</v>
      </c>
      <c r="J2133">
        <v>0</v>
      </c>
      <c r="K2133">
        <v>0</v>
      </c>
      <c r="L2133">
        <v>0</v>
      </c>
      <c r="M2133" t="s">
        <v>49</v>
      </c>
      <c r="N2133">
        <v>1</v>
      </c>
    </row>
    <row r="2134" hidden="1" spans="1:14">
      <c r="A2134">
        <v>3691</v>
      </c>
      <c r="B2134">
        <v>0</v>
      </c>
      <c r="C2134" t="s">
        <v>523</v>
      </c>
      <c r="D2134">
        <v>0</v>
      </c>
      <c r="E2134">
        <v>114.972</v>
      </c>
      <c r="F2134">
        <v>-2.14107</v>
      </c>
      <c r="G2134">
        <v>106460.15</v>
      </c>
      <c r="H2134" s="1">
        <v>40382</v>
      </c>
      <c r="I2134" s="1">
        <v>40384</v>
      </c>
      <c r="J2134">
        <v>0</v>
      </c>
      <c r="K2134">
        <v>21</v>
      </c>
      <c r="L2134">
        <v>15000</v>
      </c>
      <c r="M2134" t="s">
        <v>49</v>
      </c>
      <c r="N2134">
        <v>1</v>
      </c>
    </row>
    <row r="2135" hidden="1" spans="1:14">
      <c r="A2135">
        <v>3726</v>
      </c>
      <c r="B2135">
        <v>0</v>
      </c>
      <c r="C2135" t="s">
        <v>523</v>
      </c>
      <c r="D2135">
        <v>0</v>
      </c>
      <c r="E2135">
        <v>132.811</v>
      </c>
      <c r="F2135">
        <v>-1.22352</v>
      </c>
      <c r="G2135">
        <v>31988.88</v>
      </c>
      <c r="H2135" s="1">
        <v>40453</v>
      </c>
      <c r="I2135" s="1">
        <v>40457</v>
      </c>
      <c r="J2135" t="s">
        <v>15</v>
      </c>
      <c r="K2135">
        <v>84</v>
      </c>
      <c r="L2135">
        <v>0</v>
      </c>
      <c r="M2135" t="s">
        <v>52</v>
      </c>
      <c r="N2135">
        <v>1.5</v>
      </c>
    </row>
    <row r="2136" hidden="1" spans="1:14">
      <c r="A2136">
        <v>3744</v>
      </c>
      <c r="B2136">
        <v>0</v>
      </c>
      <c r="C2136" t="s">
        <v>523</v>
      </c>
      <c r="D2136">
        <v>0</v>
      </c>
      <c r="E2136">
        <v>121.614</v>
      </c>
      <c r="F2136">
        <v>-8.67221</v>
      </c>
      <c r="G2136">
        <v>23685.01</v>
      </c>
      <c r="H2136" s="1">
        <v>40484</v>
      </c>
      <c r="I2136" s="1">
        <v>40487</v>
      </c>
      <c r="J2136" t="s">
        <v>15</v>
      </c>
      <c r="K2136">
        <v>15</v>
      </c>
      <c r="L2136">
        <v>0</v>
      </c>
      <c r="M2136" t="s">
        <v>49</v>
      </c>
      <c r="N2136">
        <v>1</v>
      </c>
    </row>
    <row r="2137" hidden="1" spans="1:14">
      <c r="A2137">
        <v>3770</v>
      </c>
      <c r="B2137">
        <v>0</v>
      </c>
      <c r="C2137" t="s">
        <v>523</v>
      </c>
      <c r="E2137">
        <v>108.26</v>
      </c>
      <c r="F2137">
        <v>-6.8436</v>
      </c>
      <c r="G2137">
        <v>10402.99</v>
      </c>
      <c r="H2137" s="1">
        <v>40559</v>
      </c>
      <c r="I2137" s="1">
        <v>40561</v>
      </c>
      <c r="J2137" t="s">
        <v>15</v>
      </c>
      <c r="K2137">
        <v>0</v>
      </c>
      <c r="L2137">
        <v>12000</v>
      </c>
      <c r="M2137" t="s">
        <v>49</v>
      </c>
      <c r="N2137">
        <v>1</v>
      </c>
    </row>
    <row r="2138" hidden="1" spans="1:14">
      <c r="A2138">
        <v>3783</v>
      </c>
      <c r="C2138" t="s">
        <v>523</v>
      </c>
      <c r="E2138">
        <v>115.087</v>
      </c>
      <c r="F2138">
        <v>-8.41426</v>
      </c>
      <c r="G2138">
        <v>4197.8</v>
      </c>
      <c r="H2138" s="1">
        <v>40598</v>
      </c>
      <c r="I2138" s="1">
        <v>40600</v>
      </c>
      <c r="J2138" t="s">
        <v>15</v>
      </c>
      <c r="K2138">
        <v>0</v>
      </c>
      <c r="L2138">
        <v>4000</v>
      </c>
      <c r="M2138" t="s">
        <v>52</v>
      </c>
      <c r="N2138">
        <v>1.5</v>
      </c>
    </row>
    <row r="2139" hidden="1" spans="1:14">
      <c r="A2139">
        <v>3784</v>
      </c>
      <c r="C2139" t="s">
        <v>523</v>
      </c>
      <c r="E2139">
        <v>97.0985</v>
      </c>
      <c r="F2139">
        <v>4.211</v>
      </c>
      <c r="G2139">
        <v>41506.24</v>
      </c>
      <c r="H2139" s="1">
        <v>40612</v>
      </c>
      <c r="I2139" s="1">
        <v>40613</v>
      </c>
      <c r="J2139" t="s">
        <v>15</v>
      </c>
      <c r="K2139">
        <v>12</v>
      </c>
      <c r="L2139">
        <v>750</v>
      </c>
      <c r="M2139" t="s">
        <v>52</v>
      </c>
      <c r="N2139">
        <v>1.5</v>
      </c>
    </row>
    <row r="2140" hidden="1" spans="1:14">
      <c r="A2140">
        <v>3796</v>
      </c>
      <c r="C2140" t="s">
        <v>523</v>
      </c>
      <c r="E2140">
        <v>98.9728</v>
      </c>
      <c r="F2140">
        <v>3.32971</v>
      </c>
      <c r="G2140">
        <v>23979.38</v>
      </c>
      <c r="H2140" s="1">
        <v>40633</v>
      </c>
      <c r="I2140" s="1">
        <v>40634</v>
      </c>
      <c r="J2140" t="s">
        <v>15</v>
      </c>
      <c r="K2140">
        <v>0</v>
      </c>
      <c r="L2140">
        <v>400</v>
      </c>
      <c r="M2140" t="s">
        <v>49</v>
      </c>
      <c r="N2140">
        <v>1</v>
      </c>
    </row>
    <row r="2141" hidden="1" spans="1:14">
      <c r="A2141">
        <v>3800</v>
      </c>
      <c r="C2141" t="s">
        <v>523</v>
      </c>
      <c r="E2141">
        <v>137.834</v>
      </c>
      <c r="F2141">
        <v>-4.39091</v>
      </c>
      <c r="G2141">
        <v>17351.66</v>
      </c>
      <c r="H2141" s="1">
        <v>40634</v>
      </c>
      <c r="I2141" s="1">
        <v>40643</v>
      </c>
      <c r="J2141" t="s">
        <v>15</v>
      </c>
      <c r="K2141">
        <v>18</v>
      </c>
      <c r="L2141">
        <v>3000</v>
      </c>
      <c r="M2141" t="s">
        <v>52</v>
      </c>
      <c r="N2141">
        <v>1.5</v>
      </c>
    </row>
    <row r="2142" hidden="1" spans="1:14">
      <c r="A2142">
        <v>3808</v>
      </c>
      <c r="C2142" t="s">
        <v>523</v>
      </c>
      <c r="E2142">
        <v>124.355</v>
      </c>
      <c r="F2142">
        <v>-9.70872</v>
      </c>
      <c r="G2142">
        <v>9766.63</v>
      </c>
      <c r="H2142" s="1">
        <v>40656</v>
      </c>
      <c r="I2142" s="1">
        <v>40658</v>
      </c>
      <c r="J2142" t="s">
        <v>15</v>
      </c>
      <c r="K2142">
        <v>0</v>
      </c>
      <c r="L2142">
        <v>1800</v>
      </c>
      <c r="M2142" t="s">
        <v>52</v>
      </c>
      <c r="N2142">
        <v>1</v>
      </c>
    </row>
    <row r="2143" hidden="1" spans="1:14">
      <c r="A2143">
        <v>3878</v>
      </c>
      <c r="C2143" t="s">
        <v>523</v>
      </c>
      <c r="E2143">
        <v>100.378</v>
      </c>
      <c r="F2143">
        <v>1.69854</v>
      </c>
      <c r="G2143">
        <v>11294.19</v>
      </c>
      <c r="H2143" s="1">
        <v>40874</v>
      </c>
      <c r="I2143" s="1">
        <v>40877</v>
      </c>
      <c r="J2143" t="s">
        <v>15</v>
      </c>
      <c r="K2143">
        <v>0</v>
      </c>
      <c r="L2143">
        <v>500</v>
      </c>
      <c r="M2143" t="s">
        <v>49</v>
      </c>
      <c r="N2143">
        <v>1</v>
      </c>
    </row>
    <row r="2144" hidden="1" spans="1:14">
      <c r="A2144">
        <v>3882</v>
      </c>
      <c r="C2144" t="s">
        <v>523</v>
      </c>
      <c r="E2144">
        <v>120.008</v>
      </c>
      <c r="F2144">
        <v>-0.914218</v>
      </c>
      <c r="G2144">
        <v>1254.06</v>
      </c>
      <c r="H2144" s="1">
        <v>40889</v>
      </c>
      <c r="I2144" s="1">
        <v>40894</v>
      </c>
      <c r="J2144" t="s">
        <v>15</v>
      </c>
      <c r="K2144">
        <v>0</v>
      </c>
      <c r="L2144">
        <v>42</v>
      </c>
      <c r="M2144" t="s">
        <v>52</v>
      </c>
      <c r="N2144">
        <v>1</v>
      </c>
    </row>
    <row r="2145" hidden="1" spans="1:14">
      <c r="A2145">
        <v>3888</v>
      </c>
      <c r="C2145" t="s">
        <v>523</v>
      </c>
      <c r="E2145">
        <v>110.236</v>
      </c>
      <c r="F2145">
        <v>-7.37953</v>
      </c>
      <c r="G2145">
        <v>2457.47</v>
      </c>
      <c r="H2145" s="1">
        <v>40895</v>
      </c>
      <c r="I2145" s="1">
        <v>40912</v>
      </c>
      <c r="J2145" t="s">
        <v>15</v>
      </c>
      <c r="K2145">
        <v>10</v>
      </c>
      <c r="L2145">
        <v>54</v>
      </c>
      <c r="M2145" t="s">
        <v>52</v>
      </c>
      <c r="N2145">
        <v>1</v>
      </c>
    </row>
    <row r="2146" hidden="1" spans="1:14">
      <c r="A2146">
        <v>3895</v>
      </c>
      <c r="C2146" t="s">
        <v>523</v>
      </c>
      <c r="E2146">
        <v>112.51</v>
      </c>
      <c r="F2146">
        <v>-7.48277</v>
      </c>
      <c r="G2146">
        <v>7754.36</v>
      </c>
      <c r="H2146" s="1">
        <v>40935</v>
      </c>
      <c r="I2146" s="1">
        <v>40937</v>
      </c>
      <c r="J2146" t="s">
        <v>15</v>
      </c>
      <c r="K2146">
        <v>6</v>
      </c>
      <c r="L2146">
        <v>3000</v>
      </c>
      <c r="M2146" t="s">
        <v>52</v>
      </c>
      <c r="N2146">
        <v>1.5</v>
      </c>
    </row>
    <row r="2147" hidden="1" spans="1:14">
      <c r="A2147">
        <v>3899</v>
      </c>
      <c r="C2147" t="s">
        <v>523</v>
      </c>
      <c r="E2147">
        <v>106.658</v>
      </c>
      <c r="F2147">
        <v>-6.31874</v>
      </c>
      <c r="G2147">
        <v>12053.82</v>
      </c>
      <c r="H2147" s="1">
        <v>40951</v>
      </c>
      <c r="I2147" s="1">
        <v>40953</v>
      </c>
      <c r="J2147" t="s">
        <v>15</v>
      </c>
      <c r="K2147">
        <v>0</v>
      </c>
      <c r="L2147">
        <v>6800</v>
      </c>
      <c r="M2147" t="s">
        <v>52</v>
      </c>
      <c r="N2147">
        <v>1</v>
      </c>
    </row>
    <row r="2148" hidden="1" spans="1:14">
      <c r="A2148">
        <v>3902</v>
      </c>
      <c r="C2148" t="s">
        <v>523</v>
      </c>
      <c r="E2148">
        <v>103.416</v>
      </c>
      <c r="F2148">
        <v>-2.58568</v>
      </c>
      <c r="G2148">
        <v>194382.95</v>
      </c>
      <c r="H2148" s="1">
        <v>40959</v>
      </c>
      <c r="I2148" s="1">
        <v>40966</v>
      </c>
      <c r="J2148" t="s">
        <v>15</v>
      </c>
      <c r="K2148">
        <v>0</v>
      </c>
      <c r="L2148">
        <v>1200</v>
      </c>
      <c r="M2148" t="s">
        <v>52</v>
      </c>
      <c r="N2148">
        <v>1</v>
      </c>
    </row>
    <row r="2149" hidden="1" spans="1:14">
      <c r="A2149">
        <v>3907</v>
      </c>
      <c r="C2149" t="s">
        <v>523</v>
      </c>
      <c r="E2149">
        <v>116.093</v>
      </c>
      <c r="F2149">
        <v>-3.18435</v>
      </c>
      <c r="G2149">
        <v>4597.04</v>
      </c>
      <c r="H2149" s="1">
        <v>40972</v>
      </c>
      <c r="I2149" s="1">
        <v>40975</v>
      </c>
      <c r="J2149" t="s">
        <v>15</v>
      </c>
      <c r="K2149">
        <v>5</v>
      </c>
      <c r="L2149">
        <v>0</v>
      </c>
      <c r="M2149" t="s">
        <v>52</v>
      </c>
      <c r="N2149">
        <v>1</v>
      </c>
    </row>
    <row r="2150" hidden="1" spans="1:14">
      <c r="A2150">
        <v>3952</v>
      </c>
      <c r="C2150" t="s">
        <v>523</v>
      </c>
      <c r="E2150">
        <v>122.436</v>
      </c>
      <c r="F2150">
        <v>0.782182</v>
      </c>
      <c r="G2150">
        <v>8218.79</v>
      </c>
      <c r="H2150" s="1">
        <v>41110</v>
      </c>
      <c r="I2150" s="1">
        <v>41113</v>
      </c>
      <c r="J2150" t="s">
        <v>15</v>
      </c>
      <c r="K2150">
        <v>0</v>
      </c>
      <c r="L2150">
        <v>586</v>
      </c>
      <c r="M2150" t="s">
        <v>52</v>
      </c>
      <c r="N2150">
        <v>1</v>
      </c>
    </row>
    <row r="2151" hidden="1" spans="1:14">
      <c r="A2151">
        <v>4013</v>
      </c>
      <c r="C2151" t="s">
        <v>523</v>
      </c>
      <c r="E2151">
        <v>121.883</v>
      </c>
      <c r="F2151">
        <v>-3.86702</v>
      </c>
      <c r="G2151">
        <v>67600.2</v>
      </c>
      <c r="H2151" s="1">
        <v>41277</v>
      </c>
      <c r="I2151" s="1">
        <v>41284</v>
      </c>
      <c r="J2151" t="s">
        <v>15</v>
      </c>
      <c r="K2151">
        <v>8</v>
      </c>
      <c r="L2151">
        <v>1000</v>
      </c>
      <c r="M2151" t="s">
        <v>49</v>
      </c>
      <c r="N2151">
        <v>1</v>
      </c>
    </row>
    <row r="2152" hidden="1" spans="1:14">
      <c r="A2152">
        <v>4020</v>
      </c>
      <c r="B2152" t="s">
        <v>541</v>
      </c>
      <c r="C2152" t="s">
        <v>523</v>
      </c>
      <c r="E2152">
        <v>106.73</v>
      </c>
      <c r="F2152">
        <v>-6.17945</v>
      </c>
      <c r="G2152">
        <v>1746.34</v>
      </c>
      <c r="H2152" s="1">
        <v>41287</v>
      </c>
      <c r="I2152" s="1">
        <v>41296</v>
      </c>
      <c r="J2152" t="s">
        <v>15</v>
      </c>
      <c r="K2152">
        <v>32</v>
      </c>
      <c r="L2152">
        <v>46000</v>
      </c>
      <c r="M2152" t="s">
        <v>54</v>
      </c>
      <c r="N2152">
        <v>2</v>
      </c>
    </row>
    <row r="2153" hidden="1" spans="1:14">
      <c r="A2153">
        <v>4029</v>
      </c>
      <c r="C2153" t="s">
        <v>523</v>
      </c>
      <c r="E2153">
        <v>100.565</v>
      </c>
      <c r="F2153">
        <v>0.733498</v>
      </c>
      <c r="G2153">
        <v>21653.62</v>
      </c>
      <c r="H2153" s="1">
        <v>41321</v>
      </c>
      <c r="I2153" s="1">
        <v>41323</v>
      </c>
      <c r="J2153" t="s">
        <v>15</v>
      </c>
      <c r="K2153">
        <v>0</v>
      </c>
      <c r="L2153">
        <v>3452</v>
      </c>
      <c r="M2153" t="s">
        <v>49</v>
      </c>
      <c r="N2153">
        <v>1</v>
      </c>
    </row>
    <row r="2154" hidden="1" spans="1:14">
      <c r="A2154">
        <v>4030</v>
      </c>
      <c r="C2154" t="s">
        <v>523</v>
      </c>
      <c r="E2154">
        <v>124.508</v>
      </c>
      <c r="F2154">
        <v>1.0256</v>
      </c>
      <c r="G2154">
        <v>28873.67</v>
      </c>
      <c r="H2154" s="1">
        <v>41321</v>
      </c>
      <c r="I2154" s="1">
        <v>41323</v>
      </c>
      <c r="J2154" t="s">
        <v>15</v>
      </c>
      <c r="K2154">
        <v>17</v>
      </c>
      <c r="L2154">
        <v>0</v>
      </c>
      <c r="M2154" t="s">
        <v>49</v>
      </c>
      <c r="N2154">
        <v>1</v>
      </c>
    </row>
    <row r="2155" hidden="1" spans="1:14">
      <c r="A2155">
        <v>4032</v>
      </c>
      <c r="C2155" t="s">
        <v>523</v>
      </c>
      <c r="E2155">
        <v>104.265</v>
      </c>
      <c r="F2155">
        <v>-2.41871</v>
      </c>
      <c r="G2155">
        <v>4201.51</v>
      </c>
      <c r="H2155" s="1">
        <v>41325</v>
      </c>
      <c r="I2155" s="1">
        <v>41337</v>
      </c>
      <c r="J2155" t="s">
        <v>15</v>
      </c>
      <c r="K2155">
        <v>0</v>
      </c>
      <c r="L2155">
        <v>1000</v>
      </c>
      <c r="M2155" t="s">
        <v>16</v>
      </c>
      <c r="N2155">
        <v>1.5</v>
      </c>
    </row>
    <row r="2156" hidden="1" spans="1:14">
      <c r="A2156">
        <v>4054</v>
      </c>
      <c r="C2156" t="s">
        <v>523</v>
      </c>
      <c r="E2156">
        <v>98.6181</v>
      </c>
      <c r="F2156">
        <v>3.84919</v>
      </c>
      <c r="G2156">
        <v>17152.64</v>
      </c>
      <c r="H2156" s="1">
        <v>41400</v>
      </c>
      <c r="I2156" s="1">
        <v>41410</v>
      </c>
      <c r="J2156" t="s">
        <v>15</v>
      </c>
      <c r="K2156">
        <v>0</v>
      </c>
      <c r="L2156">
        <v>3000</v>
      </c>
      <c r="M2156" t="s">
        <v>52</v>
      </c>
      <c r="N2156">
        <v>1</v>
      </c>
    </row>
    <row r="2157" hidden="1" spans="1:14">
      <c r="A2157">
        <v>4096</v>
      </c>
      <c r="C2157" t="s">
        <v>523</v>
      </c>
      <c r="E2157">
        <v>99.6771</v>
      </c>
      <c r="F2157">
        <v>2.95415</v>
      </c>
      <c r="G2157">
        <v>31023.66</v>
      </c>
      <c r="H2157" s="1">
        <v>41554</v>
      </c>
      <c r="I2157" s="1">
        <v>41561</v>
      </c>
      <c r="J2157" t="s">
        <v>15</v>
      </c>
      <c r="K2157">
        <v>0</v>
      </c>
      <c r="L2157">
        <v>16000</v>
      </c>
      <c r="M2157" t="s">
        <v>52</v>
      </c>
      <c r="N2157">
        <v>1.5</v>
      </c>
    </row>
    <row r="2158" hidden="1" spans="1:14">
      <c r="A2158">
        <v>4112</v>
      </c>
      <c r="C2158" t="s">
        <v>523</v>
      </c>
      <c r="E2158">
        <v>97.2893</v>
      </c>
      <c r="F2158">
        <v>4.48013</v>
      </c>
      <c r="G2158">
        <v>22524.63</v>
      </c>
      <c r="H2158" s="1">
        <v>41637</v>
      </c>
      <c r="I2158" s="1">
        <v>41643</v>
      </c>
      <c r="J2158" t="s">
        <v>15</v>
      </c>
      <c r="K2158">
        <v>0</v>
      </c>
      <c r="L2158">
        <v>4500</v>
      </c>
      <c r="M2158" t="s">
        <v>49</v>
      </c>
      <c r="N2158">
        <v>1</v>
      </c>
    </row>
    <row r="2159" hidden="1" spans="1:14">
      <c r="A2159">
        <v>4121</v>
      </c>
      <c r="C2159" t="s">
        <v>523</v>
      </c>
      <c r="E2159">
        <v>107.706</v>
      </c>
      <c r="F2159">
        <v>-6.6324</v>
      </c>
      <c r="G2159">
        <v>35769.22</v>
      </c>
      <c r="H2159" s="1">
        <v>41647</v>
      </c>
      <c r="I2159" s="1">
        <v>41677</v>
      </c>
      <c r="J2159" t="s">
        <v>15</v>
      </c>
      <c r="K2159">
        <v>23</v>
      </c>
      <c r="L2159">
        <v>20000</v>
      </c>
      <c r="M2159" t="s">
        <v>49</v>
      </c>
      <c r="N2159">
        <v>1.5</v>
      </c>
    </row>
    <row r="2160" hidden="1" spans="1:14">
      <c r="A2160">
        <v>4173</v>
      </c>
      <c r="C2160" t="s">
        <v>523</v>
      </c>
      <c r="E2160">
        <v>107.83</v>
      </c>
      <c r="F2160">
        <v>-7.0044</v>
      </c>
      <c r="G2160">
        <v>65176.82</v>
      </c>
      <c r="H2160" s="1">
        <v>41862</v>
      </c>
      <c r="I2160" s="1">
        <v>41870</v>
      </c>
      <c r="J2160" t="s">
        <v>15</v>
      </c>
      <c r="K2160">
        <v>2</v>
      </c>
      <c r="L2160">
        <v>600</v>
      </c>
      <c r="M2160" t="s">
        <v>52</v>
      </c>
      <c r="N2160">
        <v>1</v>
      </c>
    </row>
    <row r="2161" hidden="1" spans="1:14">
      <c r="A2161">
        <v>4204</v>
      </c>
      <c r="C2161" t="s">
        <v>523</v>
      </c>
      <c r="E2161">
        <v>100.753</v>
      </c>
      <c r="F2161">
        <v>-1.02615</v>
      </c>
      <c r="G2161">
        <v>57442.62</v>
      </c>
      <c r="H2161" s="1">
        <v>41957</v>
      </c>
      <c r="I2161" s="1">
        <v>41959</v>
      </c>
      <c r="J2161" t="s">
        <v>15</v>
      </c>
      <c r="K2161">
        <v>0</v>
      </c>
      <c r="L2161">
        <v>2400</v>
      </c>
      <c r="M2161" t="s">
        <v>49</v>
      </c>
      <c r="N2161">
        <v>1</v>
      </c>
    </row>
    <row r="2162" hidden="1" spans="1:14">
      <c r="A2162">
        <v>4222</v>
      </c>
      <c r="C2162" t="s">
        <v>523</v>
      </c>
      <c r="E2162">
        <v>122.862</v>
      </c>
      <c r="F2162">
        <v>0.686073</v>
      </c>
      <c r="G2162">
        <v>18063.44</v>
      </c>
      <c r="H2162" s="1">
        <v>42040</v>
      </c>
      <c r="I2162" s="1">
        <v>42044</v>
      </c>
      <c r="J2162" t="s">
        <v>15</v>
      </c>
      <c r="K2162">
        <v>0</v>
      </c>
      <c r="L2162">
        <v>300</v>
      </c>
      <c r="M2162" t="s">
        <v>49</v>
      </c>
      <c r="N2162">
        <v>1</v>
      </c>
    </row>
    <row r="2163" hidden="1" spans="1:14">
      <c r="A2163">
        <v>4231</v>
      </c>
      <c r="C2163" t="s">
        <v>523</v>
      </c>
      <c r="E2163">
        <v>108.399</v>
      </c>
      <c r="F2163">
        <v>-6.55868</v>
      </c>
      <c r="G2163">
        <v>7001.53</v>
      </c>
      <c r="H2163" s="1">
        <v>42078</v>
      </c>
      <c r="I2163" s="1">
        <v>42086</v>
      </c>
      <c r="J2163" t="s">
        <v>15</v>
      </c>
      <c r="K2163">
        <v>0</v>
      </c>
      <c r="L2163">
        <v>4000</v>
      </c>
      <c r="M2163" t="s">
        <v>52</v>
      </c>
      <c r="N2163">
        <v>1</v>
      </c>
    </row>
    <row r="2164" hidden="1" spans="1:14">
      <c r="A2164">
        <v>4308</v>
      </c>
      <c r="C2164" t="s">
        <v>523</v>
      </c>
      <c r="E2164">
        <v>98.4028</v>
      </c>
      <c r="F2164">
        <v>3.66137</v>
      </c>
      <c r="G2164">
        <v>56237.12</v>
      </c>
      <c r="H2164" s="1">
        <v>42300</v>
      </c>
      <c r="I2164" s="1">
        <v>42305</v>
      </c>
      <c r="J2164" t="s">
        <v>15</v>
      </c>
      <c r="K2164">
        <v>0</v>
      </c>
      <c r="L2164">
        <v>4000</v>
      </c>
      <c r="M2164" t="s">
        <v>49</v>
      </c>
      <c r="N2164">
        <v>1</v>
      </c>
    </row>
    <row r="2165" hidden="1" spans="1:14">
      <c r="A2165">
        <v>4330</v>
      </c>
      <c r="B2165" t="s">
        <v>542</v>
      </c>
      <c r="C2165" t="s">
        <v>523</v>
      </c>
      <c r="D2165" t="s">
        <v>524</v>
      </c>
      <c r="E2165">
        <v>103.352</v>
      </c>
      <c r="F2165">
        <v>-2.46543</v>
      </c>
      <c r="G2165">
        <v>235818.78</v>
      </c>
      <c r="H2165" s="1">
        <v>42387</v>
      </c>
      <c r="I2165" s="1">
        <v>42439</v>
      </c>
      <c r="J2165" t="s">
        <v>15</v>
      </c>
      <c r="K2165">
        <v>1</v>
      </c>
      <c r="L2165">
        <v>37000</v>
      </c>
      <c r="M2165" t="s">
        <v>52</v>
      </c>
      <c r="N2165">
        <v>1</v>
      </c>
    </row>
    <row r="2166" hidden="1" spans="1:14">
      <c r="A2166">
        <v>4341</v>
      </c>
      <c r="C2166" t="s">
        <v>523</v>
      </c>
      <c r="E2166">
        <v>101.669</v>
      </c>
      <c r="F2166">
        <v>-1.64626</v>
      </c>
      <c r="G2166">
        <v>75626.23</v>
      </c>
      <c r="H2166" s="1">
        <v>42450</v>
      </c>
      <c r="I2166" s="1">
        <v>42454</v>
      </c>
      <c r="J2166" t="s">
        <v>15</v>
      </c>
      <c r="K2166">
        <v>3</v>
      </c>
      <c r="L2166">
        <v>500</v>
      </c>
      <c r="M2166" t="s">
        <v>49</v>
      </c>
      <c r="N2166">
        <v>1</v>
      </c>
    </row>
    <row r="2167" hidden="1" spans="1:14">
      <c r="A2167">
        <v>4364</v>
      </c>
      <c r="B2167" t="s">
        <v>543</v>
      </c>
      <c r="C2167" t="s">
        <v>523</v>
      </c>
      <c r="E2167">
        <v>110.032</v>
      </c>
      <c r="F2167">
        <v>-7.47687</v>
      </c>
      <c r="G2167">
        <v>39127.45</v>
      </c>
      <c r="H2167" s="1">
        <v>42538</v>
      </c>
      <c r="I2167" s="1">
        <v>42545</v>
      </c>
      <c r="J2167" t="s">
        <v>15</v>
      </c>
      <c r="K2167">
        <v>43</v>
      </c>
      <c r="L2167">
        <v>0</v>
      </c>
      <c r="M2167" t="s">
        <v>52</v>
      </c>
      <c r="N2167">
        <v>1.5</v>
      </c>
    </row>
    <row r="2168" hidden="1" spans="1:14">
      <c r="A2168">
        <v>4377</v>
      </c>
      <c r="C2168" t="s">
        <v>523</v>
      </c>
      <c r="E2168">
        <v>122.305</v>
      </c>
      <c r="F2168">
        <v>-3.91272</v>
      </c>
      <c r="G2168">
        <v>16148.18</v>
      </c>
      <c r="H2168" s="1">
        <v>42562</v>
      </c>
      <c r="I2168" s="1">
        <v>42570</v>
      </c>
      <c r="J2168" t="s">
        <v>15</v>
      </c>
      <c r="K2168">
        <v>0</v>
      </c>
      <c r="L2168">
        <v>1354</v>
      </c>
      <c r="M2168" t="s">
        <v>49</v>
      </c>
      <c r="N2168">
        <v>1</v>
      </c>
    </row>
    <row r="2169" hidden="1" spans="1:14">
      <c r="A2169">
        <v>4394</v>
      </c>
      <c r="C2169" t="s">
        <v>523</v>
      </c>
      <c r="E2169">
        <v>108.238</v>
      </c>
      <c r="F2169">
        <v>-7.04186</v>
      </c>
      <c r="G2169">
        <v>32276.01</v>
      </c>
      <c r="H2169" s="1">
        <v>42633</v>
      </c>
      <c r="I2169" s="1">
        <v>42635</v>
      </c>
      <c r="J2169" t="s">
        <v>15</v>
      </c>
      <c r="K2169">
        <v>26</v>
      </c>
      <c r="L2169">
        <v>400</v>
      </c>
      <c r="M2169" t="s">
        <v>52</v>
      </c>
      <c r="N2169">
        <v>1</v>
      </c>
    </row>
    <row r="2170" hidden="1" spans="1:14">
      <c r="A2170">
        <v>4413</v>
      </c>
      <c r="C2170" t="s">
        <v>523</v>
      </c>
      <c r="E2170">
        <v>123.245</v>
      </c>
      <c r="F2170">
        <v>0.64869</v>
      </c>
      <c r="G2170">
        <v>11225.49</v>
      </c>
      <c r="H2170" s="1">
        <v>42666</v>
      </c>
      <c r="I2170" s="1">
        <v>42684</v>
      </c>
      <c r="J2170" t="s">
        <v>15</v>
      </c>
      <c r="K2170">
        <v>2</v>
      </c>
      <c r="L2170">
        <v>4500</v>
      </c>
      <c r="M2170" t="s">
        <v>49</v>
      </c>
      <c r="N2170">
        <v>1</v>
      </c>
    </row>
    <row r="2171" hidden="1" spans="1:14">
      <c r="A2171">
        <v>4447</v>
      </c>
      <c r="C2171" t="s">
        <v>523</v>
      </c>
      <c r="E2171">
        <v>107.162</v>
      </c>
      <c r="F2171">
        <v>-7.0293</v>
      </c>
      <c r="G2171">
        <v>40253.83</v>
      </c>
      <c r="H2171" s="1">
        <v>42787</v>
      </c>
      <c r="I2171" s="1">
        <v>42797</v>
      </c>
      <c r="J2171" t="s">
        <v>15</v>
      </c>
      <c r="K2171">
        <v>2</v>
      </c>
      <c r="L2171">
        <v>400</v>
      </c>
      <c r="M2171" t="s">
        <v>49</v>
      </c>
      <c r="N2171">
        <v>1</v>
      </c>
    </row>
    <row r="2172" hidden="1" spans="1:14">
      <c r="A2172">
        <v>4538</v>
      </c>
      <c r="C2172" t="s">
        <v>523</v>
      </c>
      <c r="E2172">
        <v>109.117</v>
      </c>
      <c r="F2172">
        <v>-7.22858</v>
      </c>
      <c r="G2172">
        <v>27067.56</v>
      </c>
      <c r="H2172" s="1">
        <v>43042</v>
      </c>
      <c r="I2172" s="1">
        <v>43050</v>
      </c>
      <c r="J2172" t="s">
        <v>15</v>
      </c>
      <c r="K2172">
        <v>9</v>
      </c>
      <c r="L2172">
        <v>12000</v>
      </c>
      <c r="M2172" t="s">
        <v>49</v>
      </c>
      <c r="N2172">
        <v>1</v>
      </c>
    </row>
    <row r="2173" hidden="1" spans="1:14">
      <c r="A2173">
        <v>4544</v>
      </c>
      <c r="C2173" t="s">
        <v>523</v>
      </c>
      <c r="E2173">
        <v>111.517</v>
      </c>
      <c r="F2173">
        <v>-7.52729</v>
      </c>
      <c r="G2173">
        <v>46292.08</v>
      </c>
      <c r="H2173" s="1">
        <v>43066</v>
      </c>
      <c r="I2173" s="1">
        <v>43068</v>
      </c>
      <c r="J2173" t="s">
        <v>15</v>
      </c>
      <c r="K2173">
        <v>11</v>
      </c>
      <c r="L2173">
        <v>4000</v>
      </c>
      <c r="M2173" t="s">
        <v>544</v>
      </c>
      <c r="N2173">
        <v>1</v>
      </c>
    </row>
    <row r="2174" hidden="1" spans="1:14">
      <c r="A2174">
        <v>4584</v>
      </c>
      <c r="C2174" t="s">
        <v>523</v>
      </c>
      <c r="E2174">
        <v>118.569</v>
      </c>
      <c r="F2174">
        <v>-8.49749</v>
      </c>
      <c r="G2174">
        <v>3938.29</v>
      </c>
      <c r="H2174" s="1">
        <v>43164</v>
      </c>
      <c r="I2174" s="1">
        <v>43165</v>
      </c>
      <c r="J2174" t="s">
        <v>56</v>
      </c>
      <c r="K2174">
        <v>0</v>
      </c>
      <c r="L2174">
        <v>3000</v>
      </c>
      <c r="M2174" t="s">
        <v>52</v>
      </c>
      <c r="N2174">
        <v>1.5</v>
      </c>
    </row>
    <row r="2175" hidden="1" spans="1:14">
      <c r="A2175">
        <v>4682</v>
      </c>
      <c r="C2175" t="s">
        <v>523</v>
      </c>
      <c r="E2175">
        <v>120.251</v>
      </c>
      <c r="F2175">
        <v>-1.01063</v>
      </c>
      <c r="G2175">
        <v>11467.68</v>
      </c>
      <c r="H2175" s="1">
        <v>43371</v>
      </c>
      <c r="I2175" s="1">
        <v>43372</v>
      </c>
      <c r="J2175" t="s">
        <v>56</v>
      </c>
      <c r="K2175">
        <v>800</v>
      </c>
      <c r="L2175">
        <v>17000</v>
      </c>
      <c r="M2175" t="s">
        <v>78</v>
      </c>
      <c r="N2175">
        <v>2</v>
      </c>
    </row>
    <row r="2176" hidden="1" spans="1:14">
      <c r="A2176">
        <v>4700</v>
      </c>
      <c r="C2176" t="s">
        <v>523</v>
      </c>
      <c r="E2176">
        <v>99.9864</v>
      </c>
      <c r="F2176">
        <v>-0.008989</v>
      </c>
      <c r="G2176">
        <v>22664.39</v>
      </c>
      <c r="H2176" s="1">
        <v>43405</v>
      </c>
      <c r="I2176" s="1">
        <v>43411</v>
      </c>
      <c r="J2176" t="s">
        <v>56</v>
      </c>
      <c r="K2176">
        <v>4</v>
      </c>
      <c r="L2176">
        <v>0</v>
      </c>
      <c r="M2176" t="s">
        <v>49</v>
      </c>
      <c r="N2176">
        <v>1</v>
      </c>
    </row>
    <row r="2177" hidden="1" spans="1:14">
      <c r="A2177">
        <v>4708</v>
      </c>
      <c r="C2177" t="s">
        <v>523</v>
      </c>
      <c r="E2177">
        <v>102.708</v>
      </c>
      <c r="F2177">
        <v>-1.57238</v>
      </c>
      <c r="G2177">
        <v>136439.91</v>
      </c>
      <c r="H2177" s="1">
        <v>43439</v>
      </c>
      <c r="I2177" s="1">
        <v>43444</v>
      </c>
      <c r="J2177" t="s">
        <v>56</v>
      </c>
      <c r="K2177">
        <v>9</v>
      </c>
      <c r="L2177">
        <v>236</v>
      </c>
      <c r="M2177" t="s">
        <v>49</v>
      </c>
      <c r="N2177">
        <v>1</v>
      </c>
    </row>
    <row r="2178" hidden="1" spans="1:14">
      <c r="A2178">
        <v>4715</v>
      </c>
      <c r="C2178" t="s">
        <v>523</v>
      </c>
      <c r="E2178">
        <v>105.704</v>
      </c>
      <c r="F2178">
        <v>-4.95813</v>
      </c>
      <c r="G2178">
        <v>12324.38</v>
      </c>
      <c r="H2178" s="1">
        <v>43456</v>
      </c>
      <c r="I2178" s="1">
        <v>43457</v>
      </c>
      <c r="J2178" t="s">
        <v>56</v>
      </c>
      <c r="K2178">
        <v>373</v>
      </c>
      <c r="L2178">
        <v>1600</v>
      </c>
      <c r="M2178" t="s">
        <v>78</v>
      </c>
      <c r="N2178">
        <v>2</v>
      </c>
    </row>
    <row r="2179" hidden="1" spans="1:14">
      <c r="A2179">
        <v>4858</v>
      </c>
      <c r="C2179" t="s">
        <v>523</v>
      </c>
      <c r="E2179">
        <v>125.175</v>
      </c>
      <c r="F2179">
        <v>1.88743</v>
      </c>
      <c r="G2179">
        <v>23321.44</v>
      </c>
      <c r="H2179" s="1">
        <v>43831</v>
      </c>
      <c r="I2179" s="1">
        <v>43835</v>
      </c>
      <c r="J2179" t="s">
        <v>56</v>
      </c>
      <c r="K2179">
        <v>2</v>
      </c>
      <c r="L2179">
        <v>0</v>
      </c>
      <c r="M2179" t="s">
        <v>545</v>
      </c>
      <c r="N2179">
        <v>1</v>
      </c>
    </row>
    <row r="2180" hidden="1" spans="1:14">
      <c r="A2180">
        <v>4859</v>
      </c>
      <c r="C2180" t="s">
        <v>523</v>
      </c>
      <c r="E2180">
        <v>107.508</v>
      </c>
      <c r="F2180">
        <v>-6.53346</v>
      </c>
      <c r="G2180">
        <v>24986.75</v>
      </c>
      <c r="H2180" s="1">
        <v>43831</v>
      </c>
      <c r="I2180" s="1">
        <v>43839</v>
      </c>
      <c r="J2180" t="s">
        <v>56</v>
      </c>
      <c r="K2180">
        <v>53</v>
      </c>
      <c r="L2180">
        <v>173000</v>
      </c>
      <c r="M2180" t="s">
        <v>49</v>
      </c>
      <c r="N2180">
        <v>2</v>
      </c>
    </row>
    <row r="2181" hidden="1" spans="1:14">
      <c r="A2181">
        <v>4860</v>
      </c>
      <c r="C2181" t="s">
        <v>523</v>
      </c>
      <c r="E2181">
        <v>100.184</v>
      </c>
      <c r="F2181">
        <v>1.94961</v>
      </c>
      <c r="G2181">
        <v>11674.16</v>
      </c>
      <c r="H2181" s="1">
        <v>43827</v>
      </c>
      <c r="I2181" s="1">
        <v>43829</v>
      </c>
      <c r="J2181" t="s">
        <v>56</v>
      </c>
      <c r="K2181">
        <v>5</v>
      </c>
      <c r="L2181">
        <v>100</v>
      </c>
      <c r="M2181" t="s">
        <v>49</v>
      </c>
      <c r="N2181">
        <v>1.5</v>
      </c>
    </row>
    <row r="2182" hidden="1" spans="1:14">
      <c r="A2182">
        <v>4866</v>
      </c>
      <c r="C2182" t="s">
        <v>523</v>
      </c>
      <c r="E2182">
        <v>107.88</v>
      </c>
      <c r="F2182">
        <v>-6.85599</v>
      </c>
      <c r="G2182">
        <v>14792.85</v>
      </c>
      <c r="H2182" s="1">
        <v>43853</v>
      </c>
      <c r="I2182" s="1">
        <v>43857</v>
      </c>
      <c r="J2182" t="s">
        <v>56</v>
      </c>
      <c r="K2182">
        <v>0</v>
      </c>
      <c r="L2182">
        <v>16000</v>
      </c>
      <c r="M2182" t="s">
        <v>49</v>
      </c>
      <c r="N2182">
        <v>1.5</v>
      </c>
    </row>
    <row r="2183" hidden="1" spans="1:14">
      <c r="A2183">
        <v>4886</v>
      </c>
      <c r="C2183" t="s">
        <v>523</v>
      </c>
      <c r="E2183">
        <v>120.523</v>
      </c>
      <c r="F2183">
        <v>-1.3702</v>
      </c>
      <c r="G2183">
        <v>34166.52</v>
      </c>
      <c r="H2183" s="1">
        <v>43895</v>
      </c>
      <c r="I2183" s="1">
        <v>43905</v>
      </c>
      <c r="J2183" t="s">
        <v>56</v>
      </c>
      <c r="K2183">
        <v>0</v>
      </c>
      <c r="L2183">
        <v>300</v>
      </c>
      <c r="M2183" t="s">
        <v>49</v>
      </c>
      <c r="N2183">
        <v>1</v>
      </c>
    </row>
    <row r="2184" hidden="1" spans="1:14">
      <c r="A2184">
        <v>4889</v>
      </c>
      <c r="C2184" t="s">
        <v>523</v>
      </c>
      <c r="E2184">
        <v>107.063</v>
      </c>
      <c r="F2184">
        <v>-6.45856</v>
      </c>
      <c r="G2184">
        <v>18058.92</v>
      </c>
      <c r="H2184" s="1">
        <v>43885</v>
      </c>
      <c r="I2184" s="1">
        <v>43900</v>
      </c>
      <c r="J2184" t="s">
        <v>56</v>
      </c>
      <c r="K2184">
        <v>0</v>
      </c>
      <c r="L2184">
        <v>17000</v>
      </c>
      <c r="M2184" t="s">
        <v>49</v>
      </c>
      <c r="N2184">
        <v>1.5</v>
      </c>
    </row>
    <row r="2185" hidden="1" spans="1:14">
      <c r="A2185">
        <v>4893</v>
      </c>
      <c r="C2185" t="s">
        <v>523</v>
      </c>
      <c r="E2185">
        <v>107.286</v>
      </c>
      <c r="F2185">
        <v>-6.70697</v>
      </c>
      <c r="G2185">
        <v>12749.15</v>
      </c>
      <c r="H2185" s="1">
        <v>43921</v>
      </c>
      <c r="I2185" s="1">
        <v>43924</v>
      </c>
      <c r="J2185" t="s">
        <v>56</v>
      </c>
      <c r="K2185">
        <v>1</v>
      </c>
      <c r="L2185">
        <v>300</v>
      </c>
      <c r="M2185" t="s">
        <v>49</v>
      </c>
      <c r="N2185">
        <v>1.5</v>
      </c>
    </row>
    <row r="2186" hidden="1" spans="1:14">
      <c r="A2186">
        <v>4904</v>
      </c>
      <c r="C2186" t="s">
        <v>523</v>
      </c>
      <c r="E2186">
        <v>101.867</v>
      </c>
      <c r="F2186">
        <v>-2.11727</v>
      </c>
      <c r="G2186">
        <v>52988.23</v>
      </c>
      <c r="H2186" s="1">
        <v>43943</v>
      </c>
      <c r="I2186" s="1">
        <v>43947</v>
      </c>
      <c r="J2186" t="s">
        <v>56</v>
      </c>
      <c r="K2186">
        <v>0</v>
      </c>
      <c r="L2186">
        <v>2000</v>
      </c>
      <c r="M2186" t="s">
        <v>49</v>
      </c>
      <c r="N2186">
        <v>1</v>
      </c>
    </row>
    <row r="2187" hidden="1" spans="1:14">
      <c r="A2187">
        <v>4926</v>
      </c>
      <c r="C2187" t="s">
        <v>523</v>
      </c>
      <c r="E2187">
        <v>116.874</v>
      </c>
      <c r="F2187">
        <v>-0.352141</v>
      </c>
      <c r="G2187">
        <v>17703.47</v>
      </c>
      <c r="H2187" s="1">
        <v>43973</v>
      </c>
      <c r="I2187" s="1">
        <v>43981</v>
      </c>
      <c r="J2187" t="s">
        <v>56</v>
      </c>
      <c r="K2187">
        <v>0</v>
      </c>
      <c r="L2187">
        <v>5200</v>
      </c>
      <c r="M2187" t="s">
        <v>49</v>
      </c>
      <c r="N2187">
        <v>1.5</v>
      </c>
    </row>
    <row r="2188" hidden="1" spans="1:14">
      <c r="A2188">
        <v>4946</v>
      </c>
      <c r="C2188" t="s">
        <v>523</v>
      </c>
      <c r="E2188">
        <v>121.835</v>
      </c>
      <c r="F2188">
        <v>-3.98697</v>
      </c>
      <c r="G2188">
        <v>39202.49</v>
      </c>
      <c r="H2188" s="1">
        <v>44023</v>
      </c>
      <c r="I2188" s="1">
        <v>44030</v>
      </c>
      <c r="J2188" t="s">
        <v>56</v>
      </c>
      <c r="K2188">
        <v>17</v>
      </c>
      <c r="L2188">
        <v>5000</v>
      </c>
      <c r="M2188" t="s">
        <v>49</v>
      </c>
      <c r="N2188">
        <v>1.5</v>
      </c>
    </row>
    <row r="2189" hidden="1" spans="1:14">
      <c r="A2189">
        <v>4972</v>
      </c>
      <c r="C2189" t="s">
        <v>523</v>
      </c>
      <c r="E2189">
        <v>99.7884</v>
      </c>
      <c r="F2189">
        <v>1.20606</v>
      </c>
      <c r="G2189">
        <v>69428.83</v>
      </c>
      <c r="H2189" s="1">
        <v>44139</v>
      </c>
      <c r="I2189" s="1">
        <v>44144</v>
      </c>
      <c r="J2189" t="s">
        <v>56</v>
      </c>
      <c r="K2189">
        <v>0</v>
      </c>
      <c r="L2189">
        <v>3000</v>
      </c>
      <c r="M2189" t="s">
        <v>49</v>
      </c>
      <c r="N2189">
        <v>1</v>
      </c>
    </row>
    <row r="2190" hidden="1" spans="1:14">
      <c r="A2190">
        <v>4986</v>
      </c>
      <c r="C2190" t="s">
        <v>523</v>
      </c>
      <c r="E2190">
        <v>103.45</v>
      </c>
      <c r="F2190">
        <v>-2.56474</v>
      </c>
      <c r="G2190">
        <v>202486.83</v>
      </c>
      <c r="H2190" s="1">
        <v>44154</v>
      </c>
      <c r="I2190" s="1">
        <v>44158</v>
      </c>
      <c r="J2190" t="s">
        <v>58</v>
      </c>
      <c r="K2190">
        <v>3</v>
      </c>
      <c r="L2190">
        <v>261</v>
      </c>
      <c r="M2190" t="s">
        <v>52</v>
      </c>
      <c r="N2190">
        <v>1.5</v>
      </c>
    </row>
    <row r="2191" hidden="1" spans="1:14">
      <c r="A2191">
        <v>5010</v>
      </c>
      <c r="C2191" t="s">
        <v>523</v>
      </c>
      <c r="E2191">
        <v>109.933</v>
      </c>
      <c r="F2191">
        <v>-7.55119</v>
      </c>
      <c r="G2191">
        <v>39426.75</v>
      </c>
      <c r="H2191" s="1">
        <v>44207</v>
      </c>
      <c r="I2191" s="1">
        <v>44209</v>
      </c>
      <c r="J2191" t="s">
        <v>56</v>
      </c>
      <c r="K2191">
        <v>0</v>
      </c>
      <c r="L2191">
        <v>3000</v>
      </c>
      <c r="M2191" t="s">
        <v>49</v>
      </c>
      <c r="N2191">
        <v>1.5</v>
      </c>
    </row>
    <row r="2192" hidden="1" spans="1:14">
      <c r="A2192">
        <v>5027</v>
      </c>
      <c r="C2192" t="s">
        <v>523</v>
      </c>
      <c r="E2192">
        <v>107.137</v>
      </c>
      <c r="F2192">
        <v>-6.43393</v>
      </c>
      <c r="G2192">
        <v>13179.26</v>
      </c>
      <c r="H2192" s="1">
        <v>44246</v>
      </c>
      <c r="I2192" s="1">
        <v>44249</v>
      </c>
      <c r="J2192" t="s">
        <v>56</v>
      </c>
      <c r="K2192">
        <v>5</v>
      </c>
      <c r="L2192">
        <v>32000</v>
      </c>
      <c r="M2192" t="s">
        <v>49</v>
      </c>
      <c r="N2192">
        <v>1.5</v>
      </c>
    </row>
    <row r="2193" hidden="1" spans="1:14">
      <c r="A2193">
        <v>5033</v>
      </c>
      <c r="C2193" t="s">
        <v>523</v>
      </c>
      <c r="E2193">
        <v>110.391</v>
      </c>
      <c r="F2193">
        <v>-6.94421</v>
      </c>
      <c r="G2193">
        <v>8568.78</v>
      </c>
      <c r="H2193" s="1">
        <v>44249</v>
      </c>
      <c r="I2193" s="1">
        <v>44255</v>
      </c>
      <c r="J2193" t="s">
        <v>56</v>
      </c>
      <c r="K2193">
        <v>1</v>
      </c>
      <c r="L2193">
        <v>36000</v>
      </c>
      <c r="M2193" t="s">
        <v>49</v>
      </c>
      <c r="N2193">
        <v>1.5</v>
      </c>
    </row>
    <row r="2194" hidden="1" spans="1:14">
      <c r="A2194">
        <v>5049</v>
      </c>
      <c r="C2194" t="s">
        <v>523</v>
      </c>
      <c r="E2194">
        <v>107.137</v>
      </c>
      <c r="F2194">
        <v>-6.76914</v>
      </c>
      <c r="G2194">
        <v>15546.16</v>
      </c>
      <c r="H2194" s="1">
        <v>44280</v>
      </c>
      <c r="I2194" s="1">
        <v>44281</v>
      </c>
      <c r="J2194" t="s">
        <v>56</v>
      </c>
      <c r="K2194">
        <v>0</v>
      </c>
      <c r="L2194">
        <v>39</v>
      </c>
      <c r="M2194" t="s">
        <v>52</v>
      </c>
      <c r="N2194">
        <v>1.5</v>
      </c>
    </row>
    <row r="2195" hidden="1" spans="1:14">
      <c r="A2195">
        <v>5052</v>
      </c>
      <c r="C2195" t="s">
        <v>523</v>
      </c>
      <c r="D2195" t="s">
        <v>376</v>
      </c>
      <c r="E2195">
        <v>124.8</v>
      </c>
      <c r="F2195">
        <v>-9.33179</v>
      </c>
      <c r="G2195">
        <v>43033.65</v>
      </c>
      <c r="H2195" s="1">
        <v>44289</v>
      </c>
      <c r="I2195" s="1">
        <v>44296</v>
      </c>
      <c r="J2195" t="s">
        <v>56</v>
      </c>
      <c r="K2195">
        <v>150</v>
      </c>
      <c r="L2195">
        <v>8424</v>
      </c>
      <c r="M2195" t="s">
        <v>546</v>
      </c>
      <c r="N2195">
        <v>2</v>
      </c>
    </row>
    <row r="2196" hidden="1" spans="1:14">
      <c r="A2196">
        <v>5053</v>
      </c>
      <c r="C2196" t="s">
        <v>523</v>
      </c>
      <c r="E2196">
        <v>109.513</v>
      </c>
      <c r="F2196">
        <v>-7.26584</v>
      </c>
      <c r="G2196">
        <v>36880.23</v>
      </c>
      <c r="H2196" s="1">
        <v>44286</v>
      </c>
      <c r="I2196" s="1">
        <v>44290</v>
      </c>
      <c r="J2196" t="s">
        <v>56</v>
      </c>
      <c r="K2196">
        <v>0</v>
      </c>
      <c r="L2196">
        <v>100</v>
      </c>
      <c r="M2196" t="s">
        <v>52</v>
      </c>
      <c r="N2196">
        <v>1.5</v>
      </c>
    </row>
    <row r="2197" hidden="1" spans="1:14">
      <c r="A2197">
        <v>5072</v>
      </c>
      <c r="C2197" t="s">
        <v>523</v>
      </c>
      <c r="E2197">
        <v>108.176</v>
      </c>
      <c r="F2197">
        <v>-7.0049</v>
      </c>
      <c r="G2197">
        <v>28512.33</v>
      </c>
      <c r="H2197" s="1">
        <v>44340</v>
      </c>
      <c r="I2197" s="1">
        <v>44344</v>
      </c>
      <c r="J2197" t="s">
        <v>56</v>
      </c>
      <c r="K2197">
        <v>0</v>
      </c>
      <c r="L2197">
        <v>12000</v>
      </c>
      <c r="M2197" t="s">
        <v>49</v>
      </c>
      <c r="N2197">
        <v>1.5</v>
      </c>
    </row>
    <row r="2198" hidden="1" spans="1:14">
      <c r="A2198">
        <v>5093</v>
      </c>
      <c r="C2198" t="s">
        <v>523</v>
      </c>
      <c r="E2198">
        <v>97.0172</v>
      </c>
      <c r="F2198">
        <v>4.25715</v>
      </c>
      <c r="G2198">
        <v>49386.55</v>
      </c>
      <c r="H2198" s="1">
        <v>44382</v>
      </c>
      <c r="I2198" s="1">
        <v>44384</v>
      </c>
      <c r="J2198" t="s">
        <v>56</v>
      </c>
      <c r="K2198">
        <v>0</v>
      </c>
      <c r="L2198">
        <v>6000</v>
      </c>
      <c r="M2198" t="s">
        <v>49</v>
      </c>
      <c r="N2198">
        <v>1</v>
      </c>
    </row>
    <row r="2199" hidden="1" spans="1:14">
      <c r="A2199">
        <v>1807</v>
      </c>
      <c r="B2199">
        <v>0</v>
      </c>
      <c r="C2199" t="s">
        <v>547</v>
      </c>
      <c r="D2199">
        <v>0</v>
      </c>
      <c r="E2199">
        <v>109.305</v>
      </c>
      <c r="F2199">
        <v>-7.52386</v>
      </c>
      <c r="G2199">
        <v>2257.22</v>
      </c>
      <c r="H2199" s="1">
        <v>37172</v>
      </c>
      <c r="I2199" s="1">
        <v>37173</v>
      </c>
      <c r="J2199" t="s">
        <v>15</v>
      </c>
      <c r="K2199">
        <v>0</v>
      </c>
      <c r="L2199">
        <v>4000</v>
      </c>
      <c r="M2199" t="s">
        <v>16</v>
      </c>
      <c r="N2199">
        <v>1</v>
      </c>
    </row>
    <row r="2200" hidden="1" spans="1:14">
      <c r="A2200">
        <v>123</v>
      </c>
      <c r="B2200">
        <v>0</v>
      </c>
      <c r="C2200" t="s">
        <v>548</v>
      </c>
      <c r="D2200">
        <v>0</v>
      </c>
      <c r="E2200">
        <v>111.925</v>
      </c>
      <c r="F2200">
        <v>-7.33531</v>
      </c>
      <c r="G2200">
        <v>19656.35</v>
      </c>
      <c r="H2200" s="1">
        <v>31829</v>
      </c>
      <c r="I2200" s="1">
        <v>31831</v>
      </c>
      <c r="J2200" t="s">
        <v>15</v>
      </c>
      <c r="K2200">
        <v>3</v>
      </c>
      <c r="L2200">
        <v>26000</v>
      </c>
      <c r="M2200" t="s">
        <v>16</v>
      </c>
      <c r="N2200">
        <v>2</v>
      </c>
    </row>
    <row r="2201" hidden="1" spans="1:14">
      <c r="A2201">
        <v>167</v>
      </c>
      <c r="B2201">
        <v>0</v>
      </c>
      <c r="C2201" t="s">
        <v>548</v>
      </c>
      <c r="D2201">
        <v>0</v>
      </c>
      <c r="E2201">
        <v>110.614</v>
      </c>
      <c r="F2201">
        <v>-7.76758</v>
      </c>
      <c r="G2201">
        <v>7795.17</v>
      </c>
      <c r="H2201" s="1">
        <v>32178</v>
      </c>
      <c r="I2201" s="1">
        <v>32179</v>
      </c>
      <c r="J2201" t="s">
        <v>15</v>
      </c>
      <c r="K2201">
        <v>7</v>
      </c>
      <c r="L2201">
        <v>3000</v>
      </c>
      <c r="M2201" t="s">
        <v>64</v>
      </c>
      <c r="N2201">
        <v>1</v>
      </c>
    </row>
    <row r="2202" hidden="1" spans="1:14">
      <c r="A2202">
        <v>265</v>
      </c>
      <c r="B2202">
        <v>0</v>
      </c>
      <c r="C2202" t="s">
        <v>548</v>
      </c>
      <c r="D2202">
        <v>0</v>
      </c>
      <c r="E2202">
        <v>121.641</v>
      </c>
      <c r="F2202">
        <v>-8.80602</v>
      </c>
      <c r="G2202">
        <v>785.956</v>
      </c>
      <c r="H2202" s="1">
        <v>32452</v>
      </c>
      <c r="I2202" s="1">
        <v>32454</v>
      </c>
      <c r="J2202" t="s">
        <v>15</v>
      </c>
      <c r="K2202">
        <v>20</v>
      </c>
      <c r="L2202">
        <v>1200</v>
      </c>
      <c r="M2202" t="s">
        <v>16</v>
      </c>
      <c r="N2202">
        <v>1</v>
      </c>
    </row>
    <row r="2203" hidden="1" spans="1:14">
      <c r="A2203">
        <v>268</v>
      </c>
      <c r="B2203">
        <v>0</v>
      </c>
      <c r="C2203" t="s">
        <v>548</v>
      </c>
      <c r="D2203">
        <v>0</v>
      </c>
      <c r="E2203">
        <v>98.0389</v>
      </c>
      <c r="F2203">
        <v>3.35681</v>
      </c>
      <c r="G2203">
        <v>22307.16</v>
      </c>
      <c r="H2203" s="1">
        <v>32465</v>
      </c>
      <c r="I2203" s="1">
        <v>32466</v>
      </c>
      <c r="J2203" t="s">
        <v>15</v>
      </c>
      <c r="K2203">
        <v>28</v>
      </c>
      <c r="L2203">
        <v>0</v>
      </c>
      <c r="M2203" t="s">
        <v>16</v>
      </c>
      <c r="N2203">
        <v>1</v>
      </c>
    </row>
    <row r="2204" hidden="1" spans="1:14">
      <c r="A2204">
        <v>797</v>
      </c>
      <c r="B2204">
        <v>0</v>
      </c>
      <c r="C2204" t="s">
        <v>548</v>
      </c>
      <c r="D2204">
        <v>0</v>
      </c>
      <c r="E2204">
        <v>101.308</v>
      </c>
      <c r="F2204">
        <v>1.12387</v>
      </c>
      <c r="G2204">
        <v>44228.12</v>
      </c>
      <c r="H2204" s="1">
        <v>34276</v>
      </c>
      <c r="I2204" s="1">
        <v>34289</v>
      </c>
      <c r="J2204" t="s">
        <v>15</v>
      </c>
      <c r="K2204">
        <v>5</v>
      </c>
      <c r="L2204">
        <v>3000</v>
      </c>
      <c r="M2204" t="s">
        <v>64</v>
      </c>
      <c r="N2204">
        <v>1</v>
      </c>
    </row>
    <row r="2205" hidden="1" spans="1:14">
      <c r="A2205">
        <v>816</v>
      </c>
      <c r="B2205">
        <v>0</v>
      </c>
      <c r="C2205" t="s">
        <v>548</v>
      </c>
      <c r="D2205">
        <v>0</v>
      </c>
      <c r="E2205">
        <v>106.357</v>
      </c>
      <c r="F2205">
        <v>-6.24192</v>
      </c>
      <c r="G2205">
        <v>4052.37</v>
      </c>
      <c r="H2205" s="1">
        <v>34329</v>
      </c>
      <c r="I2205" s="1">
        <v>34330</v>
      </c>
      <c r="J2205" t="s">
        <v>15</v>
      </c>
      <c r="K2205">
        <v>2</v>
      </c>
      <c r="L2205">
        <v>8000</v>
      </c>
      <c r="M2205" t="s">
        <v>64</v>
      </c>
      <c r="N2205">
        <v>1</v>
      </c>
    </row>
    <row r="2206" hidden="1" spans="1:14">
      <c r="A2206">
        <v>1656</v>
      </c>
      <c r="B2206">
        <v>0</v>
      </c>
      <c r="C2206" t="s">
        <v>548</v>
      </c>
      <c r="D2206">
        <v>0</v>
      </c>
      <c r="E2206">
        <v>108.884</v>
      </c>
      <c r="F2206">
        <v>-7.32349</v>
      </c>
      <c r="G2206">
        <v>13696.67</v>
      </c>
      <c r="H2206" s="1">
        <v>36828</v>
      </c>
      <c r="I2206" s="1">
        <v>36830</v>
      </c>
      <c r="J2206" t="s">
        <v>15</v>
      </c>
      <c r="K2206">
        <v>40</v>
      </c>
      <c r="L2206">
        <v>10000</v>
      </c>
      <c r="M2206" t="s">
        <v>16</v>
      </c>
      <c r="N2206">
        <v>1</v>
      </c>
    </row>
    <row r="2207" hidden="1" spans="1:14">
      <c r="A2207">
        <v>1676</v>
      </c>
      <c r="B2207">
        <v>0</v>
      </c>
      <c r="C2207" t="s">
        <v>548</v>
      </c>
      <c r="D2207">
        <v>0</v>
      </c>
      <c r="E2207">
        <v>124.7</v>
      </c>
      <c r="F2207">
        <v>1.16835</v>
      </c>
      <c r="G2207">
        <v>6250.2</v>
      </c>
      <c r="H2207" s="1">
        <v>36860</v>
      </c>
      <c r="I2207" s="1">
        <v>36863</v>
      </c>
      <c r="J2207" t="s">
        <v>15</v>
      </c>
      <c r="K2207">
        <v>14</v>
      </c>
      <c r="L2207">
        <v>30000</v>
      </c>
      <c r="M2207" t="s">
        <v>16</v>
      </c>
      <c r="N2207">
        <v>1</v>
      </c>
    </row>
    <row r="2208" hidden="1" spans="1:14">
      <c r="A2208">
        <v>1817</v>
      </c>
      <c r="B2208">
        <v>0</v>
      </c>
      <c r="C2208" t="s">
        <v>548</v>
      </c>
      <c r="D2208">
        <v>0</v>
      </c>
      <c r="E2208">
        <v>109.763</v>
      </c>
      <c r="F2208">
        <v>-7.59454</v>
      </c>
      <c r="G2208">
        <v>2095.07</v>
      </c>
      <c r="H2208" s="1">
        <v>37181</v>
      </c>
      <c r="I2208" s="1">
        <v>37191</v>
      </c>
      <c r="J2208" t="s">
        <v>15</v>
      </c>
      <c r="K2208">
        <v>20</v>
      </c>
      <c r="L2208">
        <v>18000</v>
      </c>
      <c r="M2208" t="s">
        <v>16</v>
      </c>
      <c r="N2208">
        <v>1</v>
      </c>
    </row>
    <row r="2209" hidden="1" spans="1:14">
      <c r="A2209">
        <v>1851</v>
      </c>
      <c r="B2209">
        <v>0</v>
      </c>
      <c r="C2209" t="s">
        <v>548</v>
      </c>
      <c r="D2209">
        <v>0</v>
      </c>
      <c r="E2209">
        <v>98.8125</v>
      </c>
      <c r="F2209">
        <v>3.39927</v>
      </c>
      <c r="G2209">
        <v>9125.19</v>
      </c>
      <c r="H2209" s="1">
        <v>37253</v>
      </c>
      <c r="I2209" s="1">
        <v>37257</v>
      </c>
      <c r="J2209" t="s">
        <v>15</v>
      </c>
      <c r="K2209">
        <v>9</v>
      </c>
      <c r="L2209">
        <v>3000</v>
      </c>
      <c r="M2209" t="s">
        <v>16</v>
      </c>
      <c r="N2209">
        <v>1</v>
      </c>
    </row>
    <row r="2210" hidden="1" spans="1:14">
      <c r="A2210">
        <v>1663</v>
      </c>
      <c r="B2210">
        <v>0</v>
      </c>
      <c r="C2210" t="s">
        <v>549</v>
      </c>
      <c r="D2210">
        <v>0</v>
      </c>
      <c r="E2210">
        <v>109.443</v>
      </c>
      <c r="F2210">
        <v>-7.63679</v>
      </c>
      <c r="G2210">
        <v>7587.63</v>
      </c>
      <c r="H2210" s="1">
        <v>36835</v>
      </c>
      <c r="I2210" s="1">
        <v>36837</v>
      </c>
      <c r="J2210" t="s">
        <v>15</v>
      </c>
      <c r="K2210">
        <v>21</v>
      </c>
      <c r="L2210">
        <v>0</v>
      </c>
      <c r="M2210" t="s">
        <v>18</v>
      </c>
      <c r="N2210">
        <v>1</v>
      </c>
    </row>
    <row r="2211" hidden="1" spans="1:14">
      <c r="A2211">
        <v>77</v>
      </c>
      <c r="B2211">
        <v>0</v>
      </c>
      <c r="C2211" t="s">
        <v>550</v>
      </c>
      <c r="D2211">
        <v>0</v>
      </c>
      <c r="E2211">
        <v>49.8267</v>
      </c>
      <c r="F2211">
        <v>33.3427</v>
      </c>
      <c r="G2211">
        <v>206210.86</v>
      </c>
      <c r="H2211" s="1">
        <v>31534</v>
      </c>
      <c r="I2211" s="1">
        <v>31538</v>
      </c>
      <c r="J2211" t="s">
        <v>15</v>
      </c>
      <c r="K2211">
        <v>26</v>
      </c>
      <c r="L2211">
        <v>1000</v>
      </c>
      <c r="M2211" t="s">
        <v>16</v>
      </c>
      <c r="N2211">
        <v>1</v>
      </c>
    </row>
    <row r="2212" hidden="1" spans="1:14">
      <c r="A2212">
        <v>114</v>
      </c>
      <c r="B2212">
        <v>0</v>
      </c>
      <c r="C2212" t="s">
        <v>550</v>
      </c>
      <c r="D2212">
        <v>0</v>
      </c>
      <c r="E2212">
        <v>50.5509</v>
      </c>
      <c r="F2212">
        <v>29.8651</v>
      </c>
      <c r="G2212">
        <v>155503.4</v>
      </c>
      <c r="H2212" s="1">
        <v>31746</v>
      </c>
      <c r="I2212" s="1">
        <v>31757</v>
      </c>
      <c r="J2212" t="s">
        <v>15</v>
      </c>
      <c r="K2212">
        <v>200</v>
      </c>
      <c r="L2212">
        <v>40000</v>
      </c>
      <c r="M2212" t="s">
        <v>16</v>
      </c>
      <c r="N2212">
        <v>1</v>
      </c>
    </row>
    <row r="2213" hidden="1" spans="1:14">
      <c r="A2213">
        <v>353</v>
      </c>
      <c r="B2213">
        <v>0</v>
      </c>
      <c r="C2213" t="s">
        <v>550</v>
      </c>
      <c r="D2213">
        <v>0</v>
      </c>
      <c r="E2213">
        <v>61.1056</v>
      </c>
      <c r="F2213">
        <v>30.9519</v>
      </c>
      <c r="G2213">
        <v>15984.91</v>
      </c>
      <c r="H2213" s="1">
        <v>32727</v>
      </c>
      <c r="I2213" s="1">
        <v>32730</v>
      </c>
      <c r="J2213" t="s">
        <v>15</v>
      </c>
      <c r="K2213">
        <v>0</v>
      </c>
      <c r="L2213">
        <v>300000</v>
      </c>
      <c r="M2213" t="s">
        <v>16</v>
      </c>
      <c r="N2213">
        <v>1</v>
      </c>
    </row>
    <row r="2214" hidden="1" spans="1:14">
      <c r="A2214">
        <v>355</v>
      </c>
      <c r="B2214">
        <v>0</v>
      </c>
      <c r="C2214" t="s">
        <v>550</v>
      </c>
      <c r="D2214">
        <v>0</v>
      </c>
      <c r="E2214">
        <v>45.5551</v>
      </c>
      <c r="F2214">
        <v>37.5488</v>
      </c>
      <c r="G2214">
        <v>56831.87</v>
      </c>
      <c r="H2214" s="1">
        <v>32737</v>
      </c>
      <c r="I2214" s="1">
        <v>32739</v>
      </c>
      <c r="J2214" t="s">
        <v>15</v>
      </c>
      <c r="K2214">
        <v>1</v>
      </c>
      <c r="L2214">
        <v>0</v>
      </c>
      <c r="M2214" t="s">
        <v>16</v>
      </c>
      <c r="N2214">
        <v>1</v>
      </c>
    </row>
    <row r="2215" hidden="1" spans="1:14">
      <c r="A2215">
        <v>356</v>
      </c>
      <c r="B2215">
        <v>0</v>
      </c>
      <c r="C2215" t="s">
        <v>550</v>
      </c>
      <c r="D2215">
        <v>0</v>
      </c>
      <c r="E2215">
        <v>58.8318</v>
      </c>
      <c r="F2215">
        <v>27.923</v>
      </c>
      <c r="G2215">
        <v>96594.98</v>
      </c>
      <c r="H2215" s="1">
        <v>32742</v>
      </c>
      <c r="I2215" s="1">
        <v>32745</v>
      </c>
      <c r="J2215" t="s">
        <v>15</v>
      </c>
      <c r="K2215">
        <v>6</v>
      </c>
      <c r="L2215">
        <v>0</v>
      </c>
      <c r="M2215" t="s">
        <v>16</v>
      </c>
      <c r="N2215">
        <v>1</v>
      </c>
    </row>
    <row r="2216" hidden="1" spans="1:14">
      <c r="A2216">
        <v>393</v>
      </c>
      <c r="B2216">
        <v>0</v>
      </c>
      <c r="C2216" t="s">
        <v>550</v>
      </c>
      <c r="D2216">
        <v>0</v>
      </c>
      <c r="E2216">
        <v>60.8533</v>
      </c>
      <c r="F2216">
        <v>25.9245</v>
      </c>
      <c r="G2216">
        <v>28582.51</v>
      </c>
      <c r="H2216" s="1">
        <v>32915</v>
      </c>
      <c r="I2216" s="1">
        <v>32920</v>
      </c>
      <c r="J2216" t="s">
        <v>15</v>
      </c>
      <c r="K2216">
        <v>11</v>
      </c>
      <c r="L2216">
        <v>15000</v>
      </c>
      <c r="M2216" t="s">
        <v>16</v>
      </c>
      <c r="N2216">
        <v>1</v>
      </c>
    </row>
    <row r="2217" hidden="1" spans="1:14">
      <c r="A2217">
        <v>491</v>
      </c>
      <c r="B2217">
        <v>0</v>
      </c>
      <c r="C2217" t="s">
        <v>550</v>
      </c>
      <c r="D2217">
        <v>0</v>
      </c>
      <c r="E2217">
        <v>58.5715</v>
      </c>
      <c r="F2217">
        <v>31.7208</v>
      </c>
      <c r="G2217">
        <v>448337.92</v>
      </c>
      <c r="H2217" s="1">
        <v>33265</v>
      </c>
      <c r="I2217" s="1">
        <v>33274</v>
      </c>
      <c r="J2217" t="s">
        <v>15</v>
      </c>
      <c r="K2217">
        <v>6</v>
      </c>
      <c r="L2217">
        <v>50000</v>
      </c>
      <c r="M2217" t="s">
        <v>16</v>
      </c>
      <c r="N2217">
        <v>2</v>
      </c>
    </row>
    <row r="2218" hidden="1" spans="1:14">
      <c r="A2218">
        <v>495</v>
      </c>
      <c r="B2218">
        <v>0</v>
      </c>
      <c r="C2218" t="s">
        <v>550</v>
      </c>
      <c r="D2218">
        <v>0</v>
      </c>
      <c r="E2218">
        <v>55.4168</v>
      </c>
      <c r="F2218">
        <v>29.3318</v>
      </c>
      <c r="G2218">
        <v>624246.49</v>
      </c>
      <c r="H2218" s="1">
        <v>33304</v>
      </c>
      <c r="I2218" s="1">
        <v>33329</v>
      </c>
      <c r="J2218" t="s">
        <v>15</v>
      </c>
      <c r="K2218">
        <v>0</v>
      </c>
      <c r="L2218">
        <v>100000</v>
      </c>
      <c r="M2218" t="s">
        <v>16</v>
      </c>
      <c r="N2218">
        <v>1</v>
      </c>
    </row>
    <row r="2219" hidden="1" spans="1:14">
      <c r="A2219">
        <v>502</v>
      </c>
      <c r="B2219">
        <v>0</v>
      </c>
      <c r="C2219" t="s">
        <v>550</v>
      </c>
      <c r="D2219">
        <v>0</v>
      </c>
      <c r="E2219">
        <v>54.0921</v>
      </c>
      <c r="F2219">
        <v>31.9506</v>
      </c>
      <c r="G2219">
        <v>31920.06</v>
      </c>
      <c r="H2219" s="1">
        <v>33327</v>
      </c>
      <c r="I2219" s="1">
        <v>33329</v>
      </c>
      <c r="J2219" t="s">
        <v>15</v>
      </c>
      <c r="K2219">
        <v>0</v>
      </c>
      <c r="L2219">
        <v>0</v>
      </c>
      <c r="M2219" t="s">
        <v>16</v>
      </c>
      <c r="N2219">
        <v>1</v>
      </c>
    </row>
    <row r="2220" hidden="1" spans="1:14">
      <c r="A2220">
        <v>566</v>
      </c>
      <c r="B2220">
        <v>0</v>
      </c>
      <c r="C2220" t="s">
        <v>550</v>
      </c>
      <c r="D2220">
        <v>0</v>
      </c>
      <c r="E2220">
        <v>54.214</v>
      </c>
      <c r="F2220">
        <v>37.2339</v>
      </c>
      <c r="G2220">
        <v>32782.99</v>
      </c>
      <c r="H2220" s="1">
        <v>33461</v>
      </c>
      <c r="I2220" s="1">
        <v>33463</v>
      </c>
      <c r="J2220" t="s">
        <v>15</v>
      </c>
      <c r="K2220">
        <v>0</v>
      </c>
      <c r="L2220">
        <v>120</v>
      </c>
      <c r="M2220" t="s">
        <v>16</v>
      </c>
      <c r="N2220">
        <v>1</v>
      </c>
    </row>
    <row r="2221" hidden="1" spans="1:14">
      <c r="A2221">
        <v>591</v>
      </c>
      <c r="B2221">
        <v>0</v>
      </c>
      <c r="C2221" t="s">
        <v>550</v>
      </c>
      <c r="D2221">
        <v>0</v>
      </c>
      <c r="E2221">
        <v>51.6712</v>
      </c>
      <c r="F2221">
        <v>30.7867</v>
      </c>
      <c r="G2221">
        <v>49663.68</v>
      </c>
      <c r="H2221" s="1">
        <v>33516</v>
      </c>
      <c r="I2221" s="1">
        <v>33517</v>
      </c>
      <c r="J2221" t="s">
        <v>15</v>
      </c>
      <c r="K2221">
        <v>12</v>
      </c>
      <c r="L2221">
        <v>0</v>
      </c>
      <c r="M2221" t="s">
        <v>16</v>
      </c>
      <c r="N2221">
        <v>1</v>
      </c>
    </row>
    <row r="2222" hidden="1" spans="1:14">
      <c r="A2222">
        <v>603</v>
      </c>
      <c r="B2222">
        <v>0</v>
      </c>
      <c r="C2222" t="s">
        <v>550</v>
      </c>
      <c r="D2222">
        <v>0</v>
      </c>
      <c r="E2222">
        <v>49.5668</v>
      </c>
      <c r="F2222">
        <v>32.8694</v>
      </c>
      <c r="G2222">
        <v>336721.66</v>
      </c>
      <c r="H2222" s="1">
        <v>33579</v>
      </c>
      <c r="I2222" s="1">
        <v>33583</v>
      </c>
      <c r="J2222" t="s">
        <v>15</v>
      </c>
      <c r="K2222">
        <v>22</v>
      </c>
      <c r="L2222">
        <v>0</v>
      </c>
      <c r="M2222" t="s">
        <v>16</v>
      </c>
      <c r="N2222">
        <v>1</v>
      </c>
    </row>
    <row r="2223" hidden="1" spans="1:14">
      <c r="A2223">
        <v>636</v>
      </c>
      <c r="B2223">
        <v>0</v>
      </c>
      <c r="C2223" t="s">
        <v>550</v>
      </c>
      <c r="D2223">
        <v>0</v>
      </c>
      <c r="E2223">
        <v>52.8976</v>
      </c>
      <c r="F2223">
        <v>33.3518</v>
      </c>
      <c r="G2223">
        <v>1151219.32</v>
      </c>
      <c r="H2223" s="1">
        <v>33691</v>
      </c>
      <c r="I2223" s="1">
        <v>33763</v>
      </c>
      <c r="J2223" t="s">
        <v>15</v>
      </c>
      <c r="K2223">
        <v>105</v>
      </c>
      <c r="L2223">
        <v>48000</v>
      </c>
      <c r="M2223" t="s">
        <v>16</v>
      </c>
      <c r="N2223">
        <v>2</v>
      </c>
    </row>
    <row r="2224" hidden="1" spans="1:14">
      <c r="A2224">
        <v>666</v>
      </c>
      <c r="B2224">
        <v>0</v>
      </c>
      <c r="C2224" t="s">
        <v>550</v>
      </c>
      <c r="D2224">
        <v>0</v>
      </c>
      <c r="E2224">
        <v>50.3478</v>
      </c>
      <c r="F2224">
        <v>36.8893</v>
      </c>
      <c r="G2224">
        <v>19184.31</v>
      </c>
      <c r="H2224" s="1">
        <v>33794</v>
      </c>
      <c r="I2224" s="1">
        <v>33795</v>
      </c>
      <c r="J2224" t="s">
        <v>15</v>
      </c>
      <c r="K2224">
        <v>0</v>
      </c>
      <c r="L2224">
        <v>0</v>
      </c>
      <c r="M2224" t="s">
        <v>16</v>
      </c>
      <c r="N2224">
        <v>1</v>
      </c>
    </row>
    <row r="2225" hidden="1" spans="1:14">
      <c r="A2225">
        <v>702</v>
      </c>
      <c r="B2225">
        <v>0</v>
      </c>
      <c r="C2225" t="s">
        <v>550</v>
      </c>
      <c r="D2225">
        <v>0</v>
      </c>
      <c r="E2225">
        <v>49.6333</v>
      </c>
      <c r="F2225">
        <v>37.3028</v>
      </c>
      <c r="G2225">
        <v>24061.13</v>
      </c>
      <c r="H2225" s="1">
        <v>33875</v>
      </c>
      <c r="I2225" s="1">
        <v>33876</v>
      </c>
      <c r="J2225" t="s">
        <v>15</v>
      </c>
      <c r="K2225">
        <v>0</v>
      </c>
      <c r="L2225">
        <v>0</v>
      </c>
      <c r="M2225" t="s">
        <v>16</v>
      </c>
      <c r="N2225">
        <v>1</v>
      </c>
    </row>
    <row r="2226" hidden="1" spans="1:14">
      <c r="A2226">
        <v>719</v>
      </c>
      <c r="B2226">
        <v>0</v>
      </c>
      <c r="C2226" t="s">
        <v>550</v>
      </c>
      <c r="D2226">
        <v>0</v>
      </c>
      <c r="E2226">
        <v>54.831</v>
      </c>
      <c r="F2226">
        <v>29.753</v>
      </c>
      <c r="G2226">
        <v>626123</v>
      </c>
      <c r="H2226" s="1">
        <v>33961</v>
      </c>
      <c r="I2226" s="1">
        <v>33963</v>
      </c>
      <c r="J2226" t="s">
        <v>15</v>
      </c>
      <c r="K2226">
        <v>14</v>
      </c>
      <c r="L2226">
        <v>3600</v>
      </c>
      <c r="M2226" t="s">
        <v>16</v>
      </c>
      <c r="N2226">
        <v>1</v>
      </c>
    </row>
    <row r="2227" hidden="1" spans="1:14">
      <c r="A2227">
        <v>722</v>
      </c>
      <c r="B2227">
        <v>0</v>
      </c>
      <c r="C2227" t="s">
        <v>550</v>
      </c>
      <c r="D2227">
        <v>0</v>
      </c>
      <c r="E2227">
        <v>56.2039</v>
      </c>
      <c r="F2227">
        <v>27.2447</v>
      </c>
      <c r="G2227">
        <v>103106.54</v>
      </c>
      <c r="H2227" s="1">
        <v>33972</v>
      </c>
      <c r="I2227" s="1">
        <v>33975</v>
      </c>
      <c r="J2227" t="s">
        <v>15</v>
      </c>
      <c r="K2227">
        <v>10</v>
      </c>
      <c r="L2227">
        <v>0</v>
      </c>
      <c r="M2227" t="s">
        <v>16</v>
      </c>
      <c r="N2227">
        <v>1</v>
      </c>
    </row>
    <row r="2228" hidden="1" spans="1:14">
      <c r="A2228">
        <v>734</v>
      </c>
      <c r="B2228">
        <v>0</v>
      </c>
      <c r="C2228" t="s">
        <v>550</v>
      </c>
      <c r="D2228">
        <v>0</v>
      </c>
      <c r="E2228">
        <v>59.5156</v>
      </c>
      <c r="F2228">
        <v>31.4647</v>
      </c>
      <c r="G2228">
        <v>5315.08</v>
      </c>
      <c r="H2228" s="1">
        <v>34076</v>
      </c>
      <c r="I2228" s="1">
        <v>34076</v>
      </c>
      <c r="J2228" t="s">
        <v>15</v>
      </c>
      <c r="K2228">
        <v>1</v>
      </c>
      <c r="L2228">
        <v>8000</v>
      </c>
      <c r="M2228" t="s">
        <v>16</v>
      </c>
      <c r="N2228">
        <v>1</v>
      </c>
    </row>
    <row r="2229" hidden="1" spans="1:14">
      <c r="A2229">
        <v>785</v>
      </c>
      <c r="B2229">
        <v>0</v>
      </c>
      <c r="C2229" t="s">
        <v>550</v>
      </c>
      <c r="D2229">
        <v>0</v>
      </c>
      <c r="E2229">
        <v>49.1108</v>
      </c>
      <c r="F2229">
        <v>37.9331</v>
      </c>
      <c r="G2229">
        <v>7202.07</v>
      </c>
      <c r="H2229" s="1">
        <v>34244</v>
      </c>
      <c r="I2229" s="1">
        <v>34245</v>
      </c>
      <c r="J2229" t="s">
        <v>15</v>
      </c>
      <c r="K2229">
        <v>0</v>
      </c>
      <c r="L2229">
        <v>0</v>
      </c>
      <c r="M2229" t="s">
        <v>16</v>
      </c>
      <c r="N2229">
        <v>1</v>
      </c>
    </row>
    <row r="2230" hidden="1" spans="1:14">
      <c r="A2230">
        <v>801</v>
      </c>
      <c r="B2230">
        <v>0</v>
      </c>
      <c r="C2230" t="s">
        <v>550</v>
      </c>
      <c r="D2230">
        <v>0</v>
      </c>
      <c r="E2230">
        <v>48.1619</v>
      </c>
      <c r="F2230">
        <v>32.5504</v>
      </c>
      <c r="G2230">
        <v>988.946</v>
      </c>
      <c r="H2230" s="1">
        <v>34302</v>
      </c>
      <c r="I2230" s="1">
        <v>34303</v>
      </c>
      <c r="J2230" t="s">
        <v>15</v>
      </c>
      <c r="K2230">
        <v>3</v>
      </c>
      <c r="L2230">
        <v>0</v>
      </c>
      <c r="M2230" t="s">
        <v>16</v>
      </c>
      <c r="N2230">
        <v>1</v>
      </c>
    </row>
    <row r="2231" hidden="1" spans="1:14">
      <c r="A2231">
        <v>832</v>
      </c>
      <c r="B2231">
        <v>0</v>
      </c>
      <c r="C2231" t="s">
        <v>550</v>
      </c>
      <c r="D2231">
        <v>0</v>
      </c>
      <c r="E2231">
        <v>59.3372</v>
      </c>
      <c r="F2231">
        <v>35.3656</v>
      </c>
      <c r="G2231">
        <v>26419.01</v>
      </c>
      <c r="H2231" s="1">
        <v>34404</v>
      </c>
      <c r="I2231" s="1">
        <v>34407</v>
      </c>
      <c r="J2231" t="s">
        <v>15</v>
      </c>
      <c r="K2231">
        <v>4</v>
      </c>
      <c r="L2231">
        <v>80</v>
      </c>
      <c r="M2231" t="s">
        <v>16</v>
      </c>
      <c r="N2231">
        <v>1</v>
      </c>
    </row>
    <row r="2232" hidden="1" spans="1:14">
      <c r="A2232">
        <v>860</v>
      </c>
      <c r="B2232">
        <v>0</v>
      </c>
      <c r="C2232" t="s">
        <v>550</v>
      </c>
      <c r="D2232">
        <v>0</v>
      </c>
      <c r="E2232">
        <v>61.0726</v>
      </c>
      <c r="F2232">
        <v>27.4913</v>
      </c>
      <c r="G2232">
        <v>155500.97</v>
      </c>
      <c r="H2232" s="1">
        <v>34524</v>
      </c>
      <c r="I2232" s="1">
        <v>34526</v>
      </c>
      <c r="J2232" t="s">
        <v>15</v>
      </c>
      <c r="K2232">
        <v>24</v>
      </c>
      <c r="L2232">
        <v>0</v>
      </c>
      <c r="M2232" t="s">
        <v>16</v>
      </c>
      <c r="N2232">
        <v>1</v>
      </c>
    </row>
    <row r="2233" hidden="1" spans="1:14">
      <c r="A2233">
        <v>921</v>
      </c>
      <c r="B2233">
        <v>0</v>
      </c>
      <c r="C2233" t="s">
        <v>550</v>
      </c>
      <c r="D2233">
        <v>0</v>
      </c>
      <c r="E2233">
        <v>48.9236</v>
      </c>
      <c r="F2233">
        <v>32.0846</v>
      </c>
      <c r="G2233">
        <v>271235.05</v>
      </c>
      <c r="H2233" s="1">
        <v>34652</v>
      </c>
      <c r="I2233" s="1">
        <v>34666</v>
      </c>
      <c r="J2233" t="s">
        <v>15</v>
      </c>
      <c r="K2233">
        <v>13</v>
      </c>
      <c r="L2233">
        <v>40000</v>
      </c>
      <c r="M2233" t="s">
        <v>16</v>
      </c>
      <c r="N2233">
        <v>1</v>
      </c>
    </row>
    <row r="2234" hidden="1" spans="1:14">
      <c r="A2234">
        <v>945</v>
      </c>
      <c r="B2234">
        <v>0</v>
      </c>
      <c r="C2234" t="s">
        <v>550</v>
      </c>
      <c r="D2234">
        <v>0</v>
      </c>
      <c r="E2234">
        <v>58.9894</v>
      </c>
      <c r="F2234">
        <v>35.2121</v>
      </c>
      <c r="G2234">
        <v>147607.47</v>
      </c>
      <c r="H2234" s="1">
        <v>34810</v>
      </c>
      <c r="I2234" s="1">
        <v>34812</v>
      </c>
      <c r="J2234" t="s">
        <v>15</v>
      </c>
      <c r="K2234">
        <v>9</v>
      </c>
      <c r="L2234">
        <v>50</v>
      </c>
      <c r="M2234" t="s">
        <v>18</v>
      </c>
      <c r="N2234">
        <v>1</v>
      </c>
    </row>
    <row r="2235" hidden="1" spans="1:14">
      <c r="A2235">
        <v>956</v>
      </c>
      <c r="B2235">
        <v>0</v>
      </c>
      <c r="C2235" t="s">
        <v>550</v>
      </c>
      <c r="D2235">
        <v>0</v>
      </c>
      <c r="E2235">
        <v>51.6601</v>
      </c>
      <c r="F2235">
        <v>35.5798</v>
      </c>
      <c r="G2235">
        <v>29482</v>
      </c>
      <c r="H2235" s="1">
        <v>34850</v>
      </c>
      <c r="I2235" s="1">
        <v>34853</v>
      </c>
      <c r="J2235" t="s">
        <v>15</v>
      </c>
      <c r="K2235">
        <v>10</v>
      </c>
      <c r="L2235">
        <v>200</v>
      </c>
      <c r="M2235" t="s">
        <v>18</v>
      </c>
      <c r="N2235">
        <v>1</v>
      </c>
    </row>
    <row r="2236" hidden="1" spans="1:14">
      <c r="A2236">
        <v>1061</v>
      </c>
      <c r="B2236">
        <v>0</v>
      </c>
      <c r="C2236" t="s">
        <v>550</v>
      </c>
      <c r="D2236">
        <v>0</v>
      </c>
      <c r="E2236">
        <v>48.0866</v>
      </c>
      <c r="F2236">
        <v>32.5397</v>
      </c>
      <c r="G2236">
        <v>121599.11</v>
      </c>
      <c r="H2236" s="1">
        <v>35152</v>
      </c>
      <c r="I2236" s="1">
        <v>35156</v>
      </c>
      <c r="J2236" t="s">
        <v>15</v>
      </c>
      <c r="K2236">
        <v>22</v>
      </c>
      <c r="L2236">
        <v>0</v>
      </c>
      <c r="M2236" t="s">
        <v>16</v>
      </c>
      <c r="N2236">
        <v>1</v>
      </c>
    </row>
    <row r="2237" hidden="1" spans="1:14">
      <c r="A2237">
        <v>1087</v>
      </c>
      <c r="B2237">
        <v>0</v>
      </c>
      <c r="C2237" t="s">
        <v>550</v>
      </c>
      <c r="D2237">
        <v>0</v>
      </c>
      <c r="E2237">
        <v>46.4851</v>
      </c>
      <c r="F2237">
        <v>37.9198</v>
      </c>
      <c r="G2237">
        <v>101579.27</v>
      </c>
      <c r="H2237" s="1">
        <v>35258</v>
      </c>
      <c r="I2237" s="1">
        <v>35262</v>
      </c>
      <c r="J2237" t="s">
        <v>15</v>
      </c>
      <c r="K2237">
        <v>25</v>
      </c>
      <c r="L2237">
        <v>0</v>
      </c>
      <c r="M2237" t="s">
        <v>16</v>
      </c>
      <c r="N2237">
        <v>1</v>
      </c>
    </row>
    <row r="2238" hidden="1" spans="1:14">
      <c r="A2238">
        <v>1130</v>
      </c>
      <c r="B2238">
        <v>0</v>
      </c>
      <c r="C2238" t="s">
        <v>550</v>
      </c>
      <c r="D2238">
        <v>0</v>
      </c>
      <c r="E2238">
        <v>53.0682</v>
      </c>
      <c r="F2238">
        <v>36.4069</v>
      </c>
      <c r="G2238">
        <v>16758.37</v>
      </c>
      <c r="H2238" s="1">
        <v>35378</v>
      </c>
      <c r="I2238" s="1">
        <v>35382</v>
      </c>
      <c r="J2238" t="s">
        <v>15</v>
      </c>
      <c r="K2238">
        <v>5</v>
      </c>
      <c r="L2238">
        <v>12000</v>
      </c>
      <c r="M2238" t="s">
        <v>49</v>
      </c>
      <c r="N2238">
        <v>1</v>
      </c>
    </row>
    <row r="2239" hidden="1" spans="1:14">
      <c r="A2239">
        <v>1212</v>
      </c>
      <c r="B2239">
        <v>0</v>
      </c>
      <c r="C2239" t="s">
        <v>550</v>
      </c>
      <c r="D2239">
        <v>0</v>
      </c>
      <c r="E2239">
        <v>52.6964</v>
      </c>
      <c r="F2239">
        <v>30.0776</v>
      </c>
      <c r="G2239">
        <v>488269.97</v>
      </c>
      <c r="H2239" s="1">
        <v>35514</v>
      </c>
      <c r="I2239" s="1">
        <v>35519</v>
      </c>
      <c r="J2239" t="s">
        <v>15</v>
      </c>
      <c r="K2239">
        <v>2</v>
      </c>
      <c r="L2239">
        <v>0</v>
      </c>
      <c r="M2239" t="s">
        <v>16</v>
      </c>
      <c r="N2239">
        <v>1</v>
      </c>
    </row>
    <row r="2240" hidden="1" spans="1:14">
      <c r="A2240">
        <v>1221</v>
      </c>
      <c r="B2240">
        <v>0</v>
      </c>
      <c r="C2240" t="s">
        <v>550</v>
      </c>
      <c r="D2240">
        <v>0</v>
      </c>
      <c r="E2240">
        <v>59.4723</v>
      </c>
      <c r="F2240">
        <v>32.8139</v>
      </c>
      <c r="G2240">
        <v>17008.77</v>
      </c>
      <c r="H2240" s="1">
        <v>35546</v>
      </c>
      <c r="I2240" s="1">
        <v>35555</v>
      </c>
      <c r="J2240" t="s">
        <v>15</v>
      </c>
      <c r="K2240">
        <v>6</v>
      </c>
      <c r="L2240">
        <v>1500</v>
      </c>
      <c r="M2240" t="s">
        <v>16</v>
      </c>
      <c r="N2240">
        <v>1</v>
      </c>
    </row>
    <row r="2241" hidden="1" spans="1:14">
      <c r="A2241">
        <v>1233</v>
      </c>
      <c r="B2241">
        <v>0</v>
      </c>
      <c r="C2241" t="s">
        <v>550</v>
      </c>
      <c r="D2241">
        <v>0</v>
      </c>
      <c r="E2241">
        <v>48.0012</v>
      </c>
      <c r="F2241">
        <v>38.4007</v>
      </c>
      <c r="G2241">
        <v>25838.25</v>
      </c>
      <c r="H2241" s="1">
        <v>35599</v>
      </c>
      <c r="I2241" s="1">
        <v>35609</v>
      </c>
      <c r="J2241" t="s">
        <v>15</v>
      </c>
      <c r="K2241">
        <v>2</v>
      </c>
      <c r="L2241">
        <v>0</v>
      </c>
      <c r="M2241" t="s">
        <v>16</v>
      </c>
      <c r="N2241">
        <v>1</v>
      </c>
    </row>
    <row r="2242" hidden="1" spans="1:14">
      <c r="A2242">
        <v>1235</v>
      </c>
      <c r="B2242">
        <v>0</v>
      </c>
      <c r="C2242" t="s">
        <v>550</v>
      </c>
      <c r="D2242">
        <v>0</v>
      </c>
      <c r="E2242">
        <v>59.9829</v>
      </c>
      <c r="F2242">
        <v>35.6264</v>
      </c>
      <c r="G2242">
        <v>31963.65</v>
      </c>
      <c r="H2242" s="1">
        <v>35598</v>
      </c>
      <c r="I2242" s="1">
        <v>35602</v>
      </c>
      <c r="J2242" t="s">
        <v>15</v>
      </c>
      <c r="K2242">
        <v>13</v>
      </c>
      <c r="L2242">
        <v>0</v>
      </c>
      <c r="M2242" t="s">
        <v>16</v>
      </c>
      <c r="N2242">
        <v>1</v>
      </c>
    </row>
    <row r="2243" hidden="1" spans="1:14">
      <c r="A2243">
        <v>1260</v>
      </c>
      <c r="B2243">
        <v>0</v>
      </c>
      <c r="C2243" t="s">
        <v>550</v>
      </c>
      <c r="D2243">
        <v>0</v>
      </c>
      <c r="E2243">
        <v>46.173</v>
      </c>
      <c r="F2243">
        <v>37.1834</v>
      </c>
      <c r="G2243">
        <v>109453.51</v>
      </c>
      <c r="H2243" s="1">
        <v>35613</v>
      </c>
      <c r="I2243" s="1">
        <v>35617</v>
      </c>
      <c r="J2243" t="s">
        <v>15</v>
      </c>
      <c r="K2243">
        <v>11</v>
      </c>
      <c r="L2243">
        <v>1400</v>
      </c>
      <c r="M2243" t="s">
        <v>16</v>
      </c>
      <c r="N2243">
        <v>1</v>
      </c>
    </row>
    <row r="2244" hidden="1" spans="1:14">
      <c r="A2244">
        <v>1276</v>
      </c>
      <c r="B2244">
        <v>0</v>
      </c>
      <c r="C2244" t="s">
        <v>550</v>
      </c>
      <c r="D2244">
        <v>0</v>
      </c>
      <c r="E2244">
        <v>54.3393</v>
      </c>
      <c r="F2244">
        <v>37.061</v>
      </c>
      <c r="G2244">
        <v>30770.71</v>
      </c>
      <c r="H2244" s="1">
        <v>35725</v>
      </c>
      <c r="I2244" s="1">
        <v>35729</v>
      </c>
      <c r="J2244" t="s">
        <v>15</v>
      </c>
      <c r="K2244">
        <v>5</v>
      </c>
      <c r="L2244">
        <v>0</v>
      </c>
      <c r="M2244" t="s">
        <v>16</v>
      </c>
      <c r="N2244">
        <v>1</v>
      </c>
    </row>
    <row r="2245" hidden="1" spans="1:14">
      <c r="A2245">
        <v>1281</v>
      </c>
      <c r="B2245">
        <v>0</v>
      </c>
      <c r="C2245" t="s">
        <v>550</v>
      </c>
      <c r="D2245">
        <v>0</v>
      </c>
      <c r="E2245">
        <v>57.1698</v>
      </c>
      <c r="F2245">
        <v>37.1834</v>
      </c>
      <c r="G2245">
        <v>30591.2</v>
      </c>
      <c r="H2245" s="1">
        <v>35708</v>
      </c>
      <c r="I2245" s="1">
        <v>35712</v>
      </c>
      <c r="J2245" t="s">
        <v>15</v>
      </c>
      <c r="K2245">
        <v>3</v>
      </c>
      <c r="L2245">
        <v>0</v>
      </c>
      <c r="M2245" t="s">
        <v>16</v>
      </c>
      <c r="N2245">
        <v>1</v>
      </c>
    </row>
    <row r="2246" hidden="1" spans="1:14">
      <c r="A2246">
        <v>1327</v>
      </c>
      <c r="B2246">
        <v>0</v>
      </c>
      <c r="C2246" t="s">
        <v>550</v>
      </c>
      <c r="D2246">
        <v>0</v>
      </c>
      <c r="E2246">
        <v>50.8055</v>
      </c>
      <c r="F2246">
        <v>31.6288</v>
      </c>
      <c r="G2246">
        <v>203421.89</v>
      </c>
      <c r="H2246" s="1">
        <v>35882</v>
      </c>
      <c r="I2246" s="1">
        <v>35890</v>
      </c>
      <c r="J2246" t="s">
        <v>15</v>
      </c>
      <c r="K2246">
        <v>84</v>
      </c>
      <c r="L2246">
        <v>10000</v>
      </c>
      <c r="M2246" t="s">
        <v>18</v>
      </c>
      <c r="N2246">
        <v>1</v>
      </c>
    </row>
    <row r="2247" hidden="1" spans="1:14">
      <c r="A2247">
        <v>1360</v>
      </c>
      <c r="B2247">
        <v>0</v>
      </c>
      <c r="C2247" t="s">
        <v>550</v>
      </c>
      <c r="D2247">
        <v>0</v>
      </c>
      <c r="E2247">
        <v>60.2508</v>
      </c>
      <c r="F2247">
        <v>32.7421</v>
      </c>
      <c r="G2247">
        <v>125228.8</v>
      </c>
      <c r="H2247" s="1">
        <v>35927</v>
      </c>
      <c r="I2247" s="1">
        <v>35931</v>
      </c>
      <c r="J2247" t="s">
        <v>15</v>
      </c>
      <c r="K2247">
        <v>27</v>
      </c>
      <c r="L2247">
        <v>0</v>
      </c>
      <c r="M2247" t="s">
        <v>18</v>
      </c>
      <c r="N2247">
        <v>1</v>
      </c>
    </row>
    <row r="2248" hidden="1" spans="1:14">
      <c r="A2248">
        <v>1455</v>
      </c>
      <c r="B2248">
        <v>0</v>
      </c>
      <c r="C2248" t="s">
        <v>550</v>
      </c>
      <c r="D2248">
        <v>0</v>
      </c>
      <c r="E2248">
        <v>54.2367</v>
      </c>
      <c r="F2248">
        <v>37.142</v>
      </c>
      <c r="G2248">
        <v>37475.38</v>
      </c>
      <c r="H2248" s="1">
        <v>36071</v>
      </c>
      <c r="I2248" s="1">
        <v>36077</v>
      </c>
      <c r="J2248" t="s">
        <v>15</v>
      </c>
      <c r="K2248">
        <v>8</v>
      </c>
      <c r="L2248">
        <v>0</v>
      </c>
      <c r="M2248" t="s">
        <v>16</v>
      </c>
      <c r="N2248">
        <v>1</v>
      </c>
    </row>
    <row r="2249" hidden="1" spans="1:14">
      <c r="A2249">
        <v>1530</v>
      </c>
      <c r="B2249">
        <v>0</v>
      </c>
      <c r="C2249" t="s">
        <v>550</v>
      </c>
      <c r="D2249">
        <v>0</v>
      </c>
      <c r="E2249">
        <v>52.7616</v>
      </c>
      <c r="F2249">
        <v>36.7876</v>
      </c>
      <c r="G2249">
        <v>31880.32</v>
      </c>
      <c r="H2249" s="1">
        <v>36356</v>
      </c>
      <c r="I2249" s="1">
        <v>36368</v>
      </c>
      <c r="J2249" t="s">
        <v>15</v>
      </c>
      <c r="K2249">
        <v>37</v>
      </c>
      <c r="L2249">
        <v>8000</v>
      </c>
      <c r="M2249" t="s">
        <v>18</v>
      </c>
      <c r="N2249">
        <v>2</v>
      </c>
    </row>
    <row r="2250" hidden="1" spans="1:14">
      <c r="A2250">
        <v>1537</v>
      </c>
      <c r="B2250">
        <v>0</v>
      </c>
      <c r="C2250" t="s">
        <v>550</v>
      </c>
      <c r="D2250">
        <v>0</v>
      </c>
      <c r="E2250">
        <v>47.6599</v>
      </c>
      <c r="F2250">
        <v>37.4688</v>
      </c>
      <c r="G2250">
        <v>63177.2</v>
      </c>
      <c r="H2250" s="1">
        <v>36380</v>
      </c>
      <c r="I2250" s="1">
        <v>36381</v>
      </c>
      <c r="J2250" t="s">
        <v>15</v>
      </c>
      <c r="K2250">
        <v>6</v>
      </c>
      <c r="L2250">
        <v>0</v>
      </c>
      <c r="M2250" t="s">
        <v>16</v>
      </c>
      <c r="N2250">
        <v>1</v>
      </c>
    </row>
    <row r="2251" hidden="1" spans="1:14">
      <c r="A2251">
        <v>1621</v>
      </c>
      <c r="B2251">
        <v>0</v>
      </c>
      <c r="C2251" t="s">
        <v>550</v>
      </c>
      <c r="D2251">
        <v>0</v>
      </c>
      <c r="E2251">
        <v>56.6552</v>
      </c>
      <c r="F2251">
        <v>36.5465</v>
      </c>
      <c r="G2251">
        <v>16275.53</v>
      </c>
      <c r="H2251" s="1">
        <v>36745</v>
      </c>
      <c r="I2251" s="1">
        <v>36747</v>
      </c>
      <c r="J2251" t="s">
        <v>15</v>
      </c>
      <c r="K2251">
        <v>8</v>
      </c>
      <c r="L2251">
        <v>400</v>
      </c>
      <c r="M2251" t="s">
        <v>18</v>
      </c>
      <c r="N2251">
        <v>1</v>
      </c>
    </row>
    <row r="2252" hidden="1" spans="1:14">
      <c r="A2252">
        <v>1798</v>
      </c>
      <c r="B2252">
        <v>0</v>
      </c>
      <c r="C2252" t="s">
        <v>550</v>
      </c>
      <c r="D2252">
        <v>0</v>
      </c>
      <c r="E2252">
        <v>54.98</v>
      </c>
      <c r="F2252">
        <v>37.3785</v>
      </c>
      <c r="G2252">
        <v>10285.01</v>
      </c>
      <c r="H2252" s="1">
        <v>37153</v>
      </c>
      <c r="I2252" s="1">
        <v>37154</v>
      </c>
      <c r="J2252" t="s">
        <v>15</v>
      </c>
      <c r="K2252">
        <v>1</v>
      </c>
      <c r="L2252">
        <v>800</v>
      </c>
      <c r="M2252" t="s">
        <v>18</v>
      </c>
      <c r="N2252">
        <v>1</v>
      </c>
    </row>
    <row r="2253" hidden="1" spans="1:14">
      <c r="A2253">
        <v>1804</v>
      </c>
      <c r="B2253">
        <v>0</v>
      </c>
      <c r="C2253" t="s">
        <v>550</v>
      </c>
      <c r="D2253">
        <v>0</v>
      </c>
      <c r="E2253">
        <v>54.3165</v>
      </c>
      <c r="F2253">
        <v>37.0335</v>
      </c>
      <c r="G2253">
        <v>27363.34</v>
      </c>
      <c r="H2253" s="1">
        <v>37165</v>
      </c>
      <c r="I2253" s="1">
        <v>37166</v>
      </c>
      <c r="J2253" t="s">
        <v>15</v>
      </c>
      <c r="K2253">
        <v>0</v>
      </c>
      <c r="L2253">
        <v>3000</v>
      </c>
      <c r="M2253" t="s">
        <v>18</v>
      </c>
      <c r="N2253">
        <v>1</v>
      </c>
    </row>
    <row r="2254" hidden="1" spans="1:14">
      <c r="A2254">
        <v>1833</v>
      </c>
      <c r="B2254">
        <v>0</v>
      </c>
      <c r="C2254" t="s">
        <v>550</v>
      </c>
      <c r="D2254">
        <v>0</v>
      </c>
      <c r="E2254">
        <v>48.3095</v>
      </c>
      <c r="F2254">
        <v>32.6068</v>
      </c>
      <c r="G2254">
        <v>497.356</v>
      </c>
      <c r="H2254" s="1">
        <v>37230</v>
      </c>
      <c r="I2254" s="1">
        <v>37230</v>
      </c>
      <c r="J2254" t="s">
        <v>15</v>
      </c>
      <c r="K2254">
        <v>6</v>
      </c>
      <c r="L2254">
        <v>0</v>
      </c>
      <c r="M2254" t="s">
        <v>18</v>
      </c>
      <c r="N2254">
        <v>1</v>
      </c>
    </row>
    <row r="2255" hidden="1" spans="1:14">
      <c r="A2255">
        <v>1863</v>
      </c>
      <c r="B2255">
        <v>0</v>
      </c>
      <c r="C2255" t="s">
        <v>550</v>
      </c>
      <c r="D2255">
        <v>0</v>
      </c>
      <c r="E2255">
        <v>53.018</v>
      </c>
      <c r="F2255">
        <v>29.6686</v>
      </c>
      <c r="G2255">
        <v>59656.92</v>
      </c>
      <c r="H2255" s="1">
        <v>37267</v>
      </c>
      <c r="I2255" s="1">
        <v>37269</v>
      </c>
      <c r="J2255" t="s">
        <v>15</v>
      </c>
      <c r="K2255">
        <v>11</v>
      </c>
      <c r="L2255">
        <v>0</v>
      </c>
      <c r="M2255" t="s">
        <v>16</v>
      </c>
      <c r="N2255">
        <v>1</v>
      </c>
    </row>
    <row r="2256" hidden="1" spans="1:14">
      <c r="A2256">
        <v>1903</v>
      </c>
      <c r="B2256">
        <v>0</v>
      </c>
      <c r="C2256" t="s">
        <v>550</v>
      </c>
      <c r="D2256">
        <v>0</v>
      </c>
      <c r="E2256">
        <v>53.3797</v>
      </c>
      <c r="F2256">
        <v>32.2875</v>
      </c>
      <c r="G2256">
        <v>44882.83</v>
      </c>
      <c r="H2256" s="1">
        <v>37360</v>
      </c>
      <c r="I2256" s="1">
        <v>37362</v>
      </c>
      <c r="J2256" t="s">
        <v>15</v>
      </c>
      <c r="K2256">
        <v>11</v>
      </c>
      <c r="L2256">
        <v>0</v>
      </c>
      <c r="M2256" t="s">
        <v>16</v>
      </c>
      <c r="N2256">
        <v>1</v>
      </c>
    </row>
    <row r="2257" hidden="1" spans="1:14">
      <c r="A2257">
        <v>1914</v>
      </c>
      <c r="B2257">
        <v>0</v>
      </c>
      <c r="C2257" t="s">
        <v>550</v>
      </c>
      <c r="D2257">
        <v>0</v>
      </c>
      <c r="E2257">
        <v>55.4285</v>
      </c>
      <c r="F2257">
        <v>37.2799</v>
      </c>
      <c r="G2257">
        <v>283.706</v>
      </c>
      <c r="H2257" s="1">
        <v>37372</v>
      </c>
      <c r="I2257" s="1">
        <v>37374</v>
      </c>
      <c r="J2257" t="s">
        <v>15</v>
      </c>
      <c r="K2257">
        <v>2</v>
      </c>
      <c r="L2257">
        <v>0</v>
      </c>
      <c r="M2257" t="s">
        <v>16</v>
      </c>
      <c r="N2257">
        <v>1</v>
      </c>
    </row>
    <row r="2258" hidden="1" spans="1:14">
      <c r="A2258">
        <v>1993</v>
      </c>
      <c r="B2258">
        <v>0</v>
      </c>
      <c r="C2258" t="s">
        <v>550</v>
      </c>
      <c r="D2258">
        <v>0</v>
      </c>
      <c r="E2258">
        <v>57.9285</v>
      </c>
      <c r="F2258">
        <v>37.4146</v>
      </c>
      <c r="G2258">
        <v>1663.6</v>
      </c>
      <c r="H2258" s="1">
        <v>37457</v>
      </c>
      <c r="I2258" s="1">
        <v>37458</v>
      </c>
      <c r="J2258" t="s">
        <v>15</v>
      </c>
      <c r="K2258">
        <v>3</v>
      </c>
      <c r="L2258">
        <v>0</v>
      </c>
      <c r="M2258" t="s">
        <v>16</v>
      </c>
      <c r="N2258">
        <v>1</v>
      </c>
    </row>
    <row r="2259" hidden="1" spans="1:14">
      <c r="A2259">
        <v>2029</v>
      </c>
      <c r="B2259">
        <v>0</v>
      </c>
      <c r="C2259" t="s">
        <v>550</v>
      </c>
      <c r="D2259">
        <v>0</v>
      </c>
      <c r="E2259">
        <v>55.5526</v>
      </c>
      <c r="F2259">
        <v>37.5233</v>
      </c>
      <c r="G2259">
        <v>9715.16</v>
      </c>
      <c r="H2259" s="1">
        <v>37478</v>
      </c>
      <c r="I2259" s="1">
        <v>37482</v>
      </c>
      <c r="J2259" t="s">
        <v>15</v>
      </c>
      <c r="K2259">
        <v>35</v>
      </c>
      <c r="L2259">
        <v>0</v>
      </c>
      <c r="M2259" t="s">
        <v>16</v>
      </c>
      <c r="N2259">
        <v>1</v>
      </c>
    </row>
    <row r="2260" hidden="1" spans="1:14">
      <c r="A2260">
        <v>2196</v>
      </c>
      <c r="B2260">
        <v>0</v>
      </c>
      <c r="C2260" t="s">
        <v>550</v>
      </c>
      <c r="D2260">
        <v>0</v>
      </c>
      <c r="E2260">
        <v>57.5828</v>
      </c>
      <c r="F2260">
        <v>37.1113</v>
      </c>
      <c r="G2260">
        <v>914.247</v>
      </c>
      <c r="H2260" s="1">
        <v>37707</v>
      </c>
      <c r="I2260" s="1">
        <v>37707</v>
      </c>
      <c r="J2260" t="s">
        <v>15</v>
      </c>
      <c r="K2260">
        <v>0</v>
      </c>
      <c r="L2260">
        <v>800</v>
      </c>
      <c r="M2260" t="s">
        <v>16</v>
      </c>
      <c r="N2260">
        <v>1</v>
      </c>
    </row>
    <row r="2261" hidden="1" spans="1:14">
      <c r="A2261">
        <v>2195</v>
      </c>
      <c r="B2261">
        <v>0</v>
      </c>
      <c r="C2261" t="s">
        <v>550</v>
      </c>
      <c r="D2261">
        <v>0</v>
      </c>
      <c r="E2261">
        <v>51.6194</v>
      </c>
      <c r="F2261">
        <v>31.5119</v>
      </c>
      <c r="G2261">
        <v>3089.53</v>
      </c>
      <c r="H2261" s="1">
        <v>37706</v>
      </c>
      <c r="I2261" s="1">
        <v>37707</v>
      </c>
      <c r="J2261" t="s">
        <v>15</v>
      </c>
      <c r="K2261">
        <v>0</v>
      </c>
      <c r="L2261">
        <v>0</v>
      </c>
      <c r="M2261" t="s">
        <v>16</v>
      </c>
      <c r="N2261">
        <v>1</v>
      </c>
    </row>
    <row r="2262" hidden="1" spans="1:14">
      <c r="A2262">
        <v>2227</v>
      </c>
      <c r="B2262">
        <v>0</v>
      </c>
      <c r="C2262" t="s">
        <v>550</v>
      </c>
      <c r="D2262">
        <v>0</v>
      </c>
      <c r="E2262">
        <v>54.1224</v>
      </c>
      <c r="F2262">
        <v>36.9249</v>
      </c>
      <c r="G2262">
        <v>359.582</v>
      </c>
      <c r="H2262" s="1">
        <v>37750</v>
      </c>
      <c r="I2262" s="1">
        <v>37751</v>
      </c>
      <c r="J2262" t="s">
        <v>15</v>
      </c>
      <c r="K2262">
        <v>0</v>
      </c>
      <c r="L2262">
        <v>0</v>
      </c>
      <c r="M2262" t="s">
        <v>18</v>
      </c>
      <c r="N2262">
        <v>1</v>
      </c>
    </row>
    <row r="2263" hidden="1" spans="1:14">
      <c r="A2263">
        <v>2234</v>
      </c>
      <c r="B2263">
        <v>0</v>
      </c>
      <c r="C2263" t="s">
        <v>550</v>
      </c>
      <c r="D2263">
        <v>0</v>
      </c>
      <c r="E2263">
        <v>47.6991</v>
      </c>
      <c r="F2263">
        <v>38.5134</v>
      </c>
      <c r="G2263">
        <v>2074.7</v>
      </c>
      <c r="H2263" s="1">
        <v>37763</v>
      </c>
      <c r="I2263" s="1">
        <v>37764</v>
      </c>
      <c r="J2263" t="s">
        <v>15</v>
      </c>
      <c r="K2263">
        <v>2</v>
      </c>
      <c r="L2263">
        <v>0</v>
      </c>
      <c r="M2263" t="s">
        <v>18</v>
      </c>
      <c r="N2263">
        <v>1</v>
      </c>
    </row>
    <row r="2264" hidden="1" spans="1:14">
      <c r="A2264">
        <v>2266</v>
      </c>
      <c r="B2264">
        <v>0</v>
      </c>
      <c r="C2264" t="s">
        <v>550</v>
      </c>
      <c r="D2264">
        <v>0</v>
      </c>
      <c r="E2264">
        <v>50.7762</v>
      </c>
      <c r="F2264">
        <v>36.6816</v>
      </c>
      <c r="G2264">
        <v>1088.54</v>
      </c>
      <c r="H2264" s="1">
        <v>37798</v>
      </c>
      <c r="I2264" s="1">
        <v>37798</v>
      </c>
      <c r="J2264" t="s">
        <v>15</v>
      </c>
      <c r="K2264">
        <v>0</v>
      </c>
      <c r="L2264">
        <v>0</v>
      </c>
      <c r="M2264" t="s">
        <v>18</v>
      </c>
      <c r="N2264">
        <v>1</v>
      </c>
    </row>
    <row r="2265" hidden="1" spans="1:14">
      <c r="A2265">
        <v>2415</v>
      </c>
      <c r="B2265">
        <v>0</v>
      </c>
      <c r="C2265" t="s">
        <v>550</v>
      </c>
      <c r="E2265">
        <v>51.4395</v>
      </c>
      <c r="F2265">
        <v>29.4666</v>
      </c>
      <c r="G2265">
        <v>87835.8</v>
      </c>
      <c r="H2265" s="1">
        <v>37996</v>
      </c>
      <c r="I2265" s="1">
        <v>38005</v>
      </c>
      <c r="J2265" t="s">
        <v>15</v>
      </c>
      <c r="K2265">
        <v>6</v>
      </c>
      <c r="L2265">
        <v>8000</v>
      </c>
      <c r="M2265" t="s">
        <v>16</v>
      </c>
      <c r="N2265">
        <v>1</v>
      </c>
    </row>
    <row r="2266" hidden="1" spans="1:14">
      <c r="A2266">
        <v>2479</v>
      </c>
      <c r="B2266">
        <v>0</v>
      </c>
      <c r="C2266" t="s">
        <v>550</v>
      </c>
      <c r="D2266">
        <v>0</v>
      </c>
      <c r="E2266">
        <v>45.9295</v>
      </c>
      <c r="F2266">
        <v>34.4441</v>
      </c>
      <c r="G2266">
        <v>1122.78</v>
      </c>
      <c r="H2266" s="1">
        <v>38108</v>
      </c>
      <c r="I2266" s="1">
        <v>38108</v>
      </c>
      <c r="J2266" t="s">
        <v>15</v>
      </c>
      <c r="K2266">
        <v>8</v>
      </c>
      <c r="L2266">
        <v>0</v>
      </c>
      <c r="M2266" t="s">
        <v>18</v>
      </c>
      <c r="N2266">
        <v>1</v>
      </c>
    </row>
    <row r="2267" hidden="1" spans="1:14">
      <c r="A2267">
        <v>2599</v>
      </c>
      <c r="B2267">
        <v>0</v>
      </c>
      <c r="C2267" t="s">
        <v>550</v>
      </c>
      <c r="D2267">
        <v>0</v>
      </c>
      <c r="E2267">
        <v>51.7011</v>
      </c>
      <c r="F2267">
        <v>28.4261</v>
      </c>
      <c r="G2267">
        <v>436702.62</v>
      </c>
      <c r="H2267" s="1">
        <v>38330</v>
      </c>
      <c r="I2267" s="1">
        <v>38353</v>
      </c>
      <c r="J2267" t="s">
        <v>15</v>
      </c>
      <c r="K2267">
        <v>54</v>
      </c>
      <c r="L2267">
        <v>4000</v>
      </c>
      <c r="M2267" t="s">
        <v>16</v>
      </c>
      <c r="N2267">
        <v>1</v>
      </c>
    </row>
    <row r="2268" hidden="1" spans="1:14">
      <c r="A2268">
        <v>2635</v>
      </c>
      <c r="B2268">
        <v>0</v>
      </c>
      <c r="C2268" t="s">
        <v>550</v>
      </c>
      <c r="D2268">
        <v>0</v>
      </c>
      <c r="E2268">
        <v>48.8491</v>
      </c>
      <c r="F2268">
        <v>33.7656</v>
      </c>
      <c r="G2268">
        <v>23040.13</v>
      </c>
      <c r="H2268" s="1">
        <v>38422</v>
      </c>
      <c r="I2268" s="1">
        <v>38423</v>
      </c>
      <c r="J2268" t="s">
        <v>15</v>
      </c>
      <c r="K2268">
        <v>3</v>
      </c>
      <c r="L2268">
        <v>3000</v>
      </c>
      <c r="M2268" t="s">
        <v>16</v>
      </c>
      <c r="N2268">
        <v>1</v>
      </c>
    </row>
    <row r="2269" hidden="1" spans="1:14">
      <c r="A2269">
        <v>2701</v>
      </c>
      <c r="B2269">
        <v>0</v>
      </c>
      <c r="C2269" t="s">
        <v>550</v>
      </c>
      <c r="D2269">
        <v>0</v>
      </c>
      <c r="E2269">
        <v>55.7931</v>
      </c>
      <c r="F2269">
        <v>37.6805</v>
      </c>
      <c r="G2269">
        <v>4580.5</v>
      </c>
      <c r="H2269" s="1">
        <v>38564</v>
      </c>
      <c r="I2269" s="1">
        <v>38565</v>
      </c>
      <c r="J2269" t="s">
        <v>15</v>
      </c>
      <c r="K2269">
        <v>27</v>
      </c>
      <c r="L2269">
        <v>0</v>
      </c>
      <c r="M2269" t="s">
        <v>16</v>
      </c>
      <c r="N2269">
        <v>1</v>
      </c>
    </row>
    <row r="2270" hidden="1" spans="1:14">
      <c r="A2270">
        <v>2708</v>
      </c>
      <c r="B2270">
        <v>0</v>
      </c>
      <c r="C2270" t="s">
        <v>550</v>
      </c>
      <c r="D2270">
        <v>0</v>
      </c>
      <c r="E2270">
        <v>55.8167</v>
      </c>
      <c r="F2270">
        <v>37.6813</v>
      </c>
      <c r="G2270">
        <v>4899.65</v>
      </c>
      <c r="H2270" s="1">
        <v>38573</v>
      </c>
      <c r="I2270" s="1">
        <v>38575</v>
      </c>
      <c r="J2270" t="s">
        <v>15</v>
      </c>
      <c r="K2270">
        <v>43</v>
      </c>
      <c r="L2270">
        <v>0</v>
      </c>
      <c r="M2270" t="s">
        <v>16</v>
      </c>
      <c r="N2270">
        <v>1</v>
      </c>
    </row>
    <row r="2271" hidden="1" spans="1:14">
      <c r="A2271">
        <v>2860</v>
      </c>
      <c r="B2271">
        <v>0</v>
      </c>
      <c r="C2271" t="s">
        <v>550</v>
      </c>
      <c r="D2271">
        <v>0</v>
      </c>
      <c r="E2271">
        <v>47.8814</v>
      </c>
      <c r="F2271">
        <v>38.6872</v>
      </c>
      <c r="G2271">
        <v>18313.13</v>
      </c>
      <c r="H2271" s="1">
        <v>38845</v>
      </c>
      <c r="I2271" s="1">
        <v>38850</v>
      </c>
      <c r="J2271" t="s">
        <v>15</v>
      </c>
      <c r="K2271">
        <v>14</v>
      </c>
      <c r="L2271">
        <v>2800</v>
      </c>
      <c r="M2271" t="s">
        <v>16</v>
      </c>
      <c r="N2271">
        <v>1</v>
      </c>
    </row>
    <row r="2272" hidden="1" spans="1:14">
      <c r="A2272">
        <v>3115</v>
      </c>
      <c r="B2272">
        <v>0</v>
      </c>
      <c r="C2272" t="s">
        <v>550</v>
      </c>
      <c r="D2272">
        <v>0</v>
      </c>
      <c r="E2272">
        <v>52.2019</v>
      </c>
      <c r="F2272">
        <v>33.7535</v>
      </c>
      <c r="G2272">
        <v>10410.86</v>
      </c>
      <c r="H2272" s="1">
        <v>39260</v>
      </c>
      <c r="I2272" s="1">
        <v>39262</v>
      </c>
      <c r="J2272" t="s">
        <v>15</v>
      </c>
      <c r="K2272">
        <v>12</v>
      </c>
      <c r="L2272">
        <v>0</v>
      </c>
      <c r="M2272" t="s">
        <v>18</v>
      </c>
      <c r="N2272">
        <v>1.5</v>
      </c>
    </row>
    <row r="2273" hidden="1" spans="1:14">
      <c r="A2273">
        <v>3278</v>
      </c>
      <c r="B2273">
        <v>0</v>
      </c>
      <c r="C2273" t="s">
        <v>550</v>
      </c>
      <c r="D2273">
        <v>0</v>
      </c>
      <c r="E2273">
        <v>61.2658</v>
      </c>
      <c r="F2273">
        <v>26.5539</v>
      </c>
      <c r="G2273">
        <v>108379.15</v>
      </c>
      <c r="H2273" s="1">
        <v>39460</v>
      </c>
      <c r="I2273" s="1">
        <v>39476</v>
      </c>
      <c r="J2273" t="s">
        <v>15</v>
      </c>
      <c r="K2273">
        <v>0</v>
      </c>
      <c r="L2273">
        <v>3000</v>
      </c>
      <c r="M2273" t="s">
        <v>16</v>
      </c>
      <c r="N2273">
        <v>1</v>
      </c>
    </row>
    <row r="2274" hidden="1" spans="1:14">
      <c r="A2274">
        <v>3350</v>
      </c>
      <c r="C2274" t="s">
        <v>550</v>
      </c>
      <c r="D2274">
        <v>0</v>
      </c>
      <c r="E2274">
        <v>44.6926</v>
      </c>
      <c r="F2274">
        <v>39.2463</v>
      </c>
      <c r="G2274">
        <v>7095.62</v>
      </c>
      <c r="H2274" s="1">
        <v>39667</v>
      </c>
      <c r="I2274" s="1">
        <v>39668</v>
      </c>
      <c r="J2274" t="s">
        <v>15</v>
      </c>
      <c r="K2274">
        <v>3</v>
      </c>
      <c r="L2274">
        <v>1200</v>
      </c>
      <c r="M2274" t="s">
        <v>64</v>
      </c>
      <c r="N2274">
        <v>2</v>
      </c>
    </row>
    <row r="2275" hidden="1" spans="1:14">
      <c r="A2275">
        <v>3377</v>
      </c>
      <c r="B2275">
        <v>0</v>
      </c>
      <c r="C2275" t="s">
        <v>550</v>
      </c>
      <c r="D2275">
        <v>0</v>
      </c>
      <c r="E2275">
        <v>50.6564</v>
      </c>
      <c r="F2275">
        <v>31.9961</v>
      </c>
      <c r="G2275">
        <v>26847.35</v>
      </c>
      <c r="H2275" s="1">
        <v>39700</v>
      </c>
      <c r="I2275" s="1">
        <v>39701</v>
      </c>
      <c r="J2275" t="s">
        <v>15</v>
      </c>
      <c r="K2275">
        <v>19</v>
      </c>
      <c r="L2275">
        <v>200</v>
      </c>
      <c r="M2275" t="s">
        <v>64</v>
      </c>
      <c r="N2275">
        <v>1.5</v>
      </c>
    </row>
    <row r="2276" hidden="1" spans="1:14">
      <c r="A2276">
        <v>3841</v>
      </c>
      <c r="C2276" t="s">
        <v>550</v>
      </c>
      <c r="E2276">
        <v>44.7839</v>
      </c>
      <c r="F2276">
        <v>38.0461</v>
      </c>
      <c r="G2276">
        <v>15700.01</v>
      </c>
      <c r="H2276" s="1">
        <v>40739</v>
      </c>
      <c r="I2276" s="1">
        <v>40746</v>
      </c>
      <c r="J2276" t="s">
        <v>15</v>
      </c>
      <c r="K2276">
        <v>3</v>
      </c>
      <c r="L2276">
        <v>0</v>
      </c>
      <c r="M2276" t="s">
        <v>52</v>
      </c>
      <c r="N2276">
        <v>1</v>
      </c>
    </row>
    <row r="2277" hidden="1" spans="1:14">
      <c r="A2277">
        <v>3993</v>
      </c>
      <c r="C2277" t="s">
        <v>550</v>
      </c>
      <c r="E2277">
        <v>54.2681</v>
      </c>
      <c r="F2277">
        <v>36.5397</v>
      </c>
      <c r="G2277">
        <v>11490.12</v>
      </c>
      <c r="H2277" s="1">
        <v>41194</v>
      </c>
      <c r="I2277" s="1">
        <v>41197</v>
      </c>
      <c r="J2277" t="s">
        <v>15</v>
      </c>
      <c r="K2277">
        <v>7</v>
      </c>
      <c r="L2277">
        <v>1000</v>
      </c>
      <c r="M2277" t="s">
        <v>52</v>
      </c>
      <c r="N2277">
        <v>1.5</v>
      </c>
    </row>
    <row r="2278" hidden="1" spans="1:14">
      <c r="A2278">
        <v>4147</v>
      </c>
      <c r="C2278" t="s">
        <v>550</v>
      </c>
      <c r="E2278">
        <v>57.2544</v>
      </c>
      <c r="F2278">
        <v>34.3756</v>
      </c>
      <c r="G2278">
        <v>305525.25</v>
      </c>
      <c r="H2278" s="1">
        <v>41791</v>
      </c>
      <c r="I2278" s="1">
        <v>41800</v>
      </c>
      <c r="J2278" t="s">
        <v>15</v>
      </c>
      <c r="K2278">
        <v>37</v>
      </c>
      <c r="L2278">
        <v>440000</v>
      </c>
      <c r="M2278" t="s">
        <v>54</v>
      </c>
      <c r="N2278">
        <v>1.5</v>
      </c>
    </row>
    <row r="2279" hidden="1" spans="1:14">
      <c r="A2279">
        <v>4277</v>
      </c>
      <c r="B2279" t="s">
        <v>551</v>
      </c>
      <c r="C2279" t="s">
        <v>550</v>
      </c>
      <c r="E2279">
        <v>54.0377</v>
      </c>
      <c r="F2279">
        <v>33.3604</v>
      </c>
      <c r="G2279">
        <v>776608.3</v>
      </c>
      <c r="H2279" s="1">
        <v>42199</v>
      </c>
      <c r="I2279" s="1">
        <v>42206</v>
      </c>
      <c r="J2279" t="s">
        <v>15</v>
      </c>
      <c r="K2279">
        <v>20</v>
      </c>
      <c r="L2279">
        <v>0</v>
      </c>
      <c r="M2279" t="s">
        <v>52</v>
      </c>
      <c r="N2279">
        <v>1</v>
      </c>
    </row>
    <row r="2280" hidden="1" spans="1:14">
      <c r="A2280">
        <v>4463</v>
      </c>
      <c r="B2280" t="s">
        <v>552</v>
      </c>
      <c r="C2280" t="s">
        <v>550</v>
      </c>
      <c r="E2280">
        <v>46.1693</v>
      </c>
      <c r="F2280">
        <v>37.7043</v>
      </c>
      <c r="G2280">
        <v>40807.87</v>
      </c>
      <c r="H2280" s="1">
        <v>42840</v>
      </c>
      <c r="I2280" s="1">
        <v>42846</v>
      </c>
      <c r="J2280" t="s">
        <v>15</v>
      </c>
      <c r="K2280">
        <v>42</v>
      </c>
      <c r="L2280">
        <v>0</v>
      </c>
      <c r="M2280" t="s">
        <v>52</v>
      </c>
      <c r="N2280">
        <v>2</v>
      </c>
    </row>
    <row r="2281" hidden="1" spans="1:14">
      <c r="A2281">
        <v>4627</v>
      </c>
      <c r="C2281" t="s">
        <v>550</v>
      </c>
      <c r="E2281">
        <v>52.4046</v>
      </c>
      <c r="F2281">
        <v>34.9981</v>
      </c>
      <c r="G2281">
        <v>53067.28</v>
      </c>
      <c r="H2281" s="1">
        <v>43243</v>
      </c>
      <c r="I2281" s="1">
        <v>43245</v>
      </c>
      <c r="J2281" t="s">
        <v>58</v>
      </c>
      <c r="K2281">
        <v>1</v>
      </c>
      <c r="L2281">
        <v>89</v>
      </c>
      <c r="M2281" t="s">
        <v>52</v>
      </c>
      <c r="N2281">
        <v>1.5</v>
      </c>
    </row>
    <row r="2282" hidden="1" spans="1:14">
      <c r="A2282">
        <v>4690</v>
      </c>
      <c r="C2282" t="s">
        <v>550</v>
      </c>
      <c r="E2282">
        <v>52.4294</v>
      </c>
      <c r="F2282">
        <v>35.6064</v>
      </c>
      <c r="G2282">
        <v>340197.41</v>
      </c>
      <c r="H2282" s="1">
        <v>43378</v>
      </c>
      <c r="I2282" s="1">
        <v>43379</v>
      </c>
      <c r="J2282" t="s">
        <v>56</v>
      </c>
      <c r="K2282">
        <v>9</v>
      </c>
      <c r="L2282">
        <v>143</v>
      </c>
      <c r="M2282" t="s">
        <v>52</v>
      </c>
      <c r="N2282">
        <v>1</v>
      </c>
    </row>
    <row r="2283" hidden="1" spans="1:14">
      <c r="A2283">
        <v>4734</v>
      </c>
      <c r="C2283" t="s">
        <v>550</v>
      </c>
      <c r="D2283" t="s">
        <v>37</v>
      </c>
      <c r="E2283">
        <v>61.5845</v>
      </c>
      <c r="F2283">
        <v>30.1346</v>
      </c>
      <c r="G2283">
        <v>986684.27</v>
      </c>
      <c r="H2283" s="1">
        <v>43541</v>
      </c>
      <c r="I2283" s="1">
        <v>43557</v>
      </c>
      <c r="J2283" t="s">
        <v>56</v>
      </c>
      <c r="K2283">
        <v>101</v>
      </c>
      <c r="L2283">
        <v>56000</v>
      </c>
      <c r="M2283" t="s">
        <v>553</v>
      </c>
      <c r="N2283">
        <v>1.5</v>
      </c>
    </row>
    <row r="2284" hidden="1" spans="1:14">
      <c r="A2284">
        <v>4816</v>
      </c>
      <c r="C2284" t="s">
        <v>550</v>
      </c>
      <c r="E2284">
        <v>54.7553</v>
      </c>
      <c r="F2284">
        <v>35.8903</v>
      </c>
      <c r="G2284">
        <v>213508.44</v>
      </c>
      <c r="H2284" s="1">
        <v>43763</v>
      </c>
      <c r="I2284" s="1">
        <v>43775</v>
      </c>
      <c r="J2284" t="s">
        <v>56</v>
      </c>
      <c r="K2284">
        <v>2</v>
      </c>
      <c r="L2284">
        <v>0</v>
      </c>
      <c r="M2284" t="s">
        <v>49</v>
      </c>
      <c r="N2284">
        <v>1.5</v>
      </c>
    </row>
    <row r="2285" hidden="1" spans="1:14">
      <c r="A2285">
        <v>4883</v>
      </c>
      <c r="C2285" t="s">
        <v>550</v>
      </c>
      <c r="E2285">
        <v>47.8271</v>
      </c>
      <c r="F2285">
        <v>33.9716</v>
      </c>
      <c r="G2285">
        <v>96629.85</v>
      </c>
      <c r="H2285" s="1">
        <v>43885</v>
      </c>
      <c r="I2285" s="1">
        <v>43900</v>
      </c>
      <c r="J2285" t="s">
        <v>58</v>
      </c>
      <c r="K2285">
        <v>0</v>
      </c>
      <c r="L2285">
        <v>0</v>
      </c>
      <c r="M2285" t="s">
        <v>49</v>
      </c>
      <c r="N2285">
        <v>1.5</v>
      </c>
    </row>
    <row r="2286" hidden="1" spans="1:14">
      <c r="A2286">
        <v>4909</v>
      </c>
      <c r="C2286" t="s">
        <v>550</v>
      </c>
      <c r="E2286">
        <v>54.1614</v>
      </c>
      <c r="F2286">
        <v>33.0386</v>
      </c>
      <c r="G2286">
        <v>216986.62</v>
      </c>
      <c r="H2286" s="1">
        <v>43931</v>
      </c>
      <c r="I2286" s="1">
        <v>43937</v>
      </c>
      <c r="J2286" t="s">
        <v>56</v>
      </c>
      <c r="K2286">
        <v>7</v>
      </c>
      <c r="L2286">
        <v>300</v>
      </c>
      <c r="M2286" t="s">
        <v>49</v>
      </c>
      <c r="N2286">
        <v>1.5</v>
      </c>
    </row>
    <row r="2287" hidden="1" spans="1:14">
      <c r="A2287">
        <v>5066</v>
      </c>
      <c r="C2287" t="s">
        <v>550</v>
      </c>
      <c r="E2287">
        <v>56.5863</v>
      </c>
      <c r="F2287">
        <v>32.3928</v>
      </c>
      <c r="G2287">
        <v>221266.12</v>
      </c>
      <c r="H2287" s="1">
        <v>44321</v>
      </c>
      <c r="I2287" s="1">
        <v>44325</v>
      </c>
      <c r="J2287" t="s">
        <v>56</v>
      </c>
      <c r="K2287">
        <v>10</v>
      </c>
      <c r="L2287">
        <v>600</v>
      </c>
      <c r="M2287" t="s">
        <v>52</v>
      </c>
      <c r="N2287">
        <v>1.5</v>
      </c>
    </row>
    <row r="2288" hidden="1" spans="1:14">
      <c r="A2288">
        <v>145</v>
      </c>
      <c r="B2288">
        <v>0</v>
      </c>
      <c r="C2288" t="s">
        <v>554</v>
      </c>
      <c r="D2288">
        <v>0</v>
      </c>
      <c r="E2288">
        <v>51.6599</v>
      </c>
      <c r="F2288">
        <v>35.2053</v>
      </c>
      <c r="G2288">
        <v>50247.17</v>
      </c>
      <c r="H2288" s="1">
        <v>31982</v>
      </c>
      <c r="I2288" s="1">
        <v>31985</v>
      </c>
      <c r="J2288" t="s">
        <v>15</v>
      </c>
      <c r="K2288">
        <v>147</v>
      </c>
      <c r="L2288">
        <v>0</v>
      </c>
      <c r="M2288" t="s">
        <v>16</v>
      </c>
      <c r="N2288">
        <v>1</v>
      </c>
    </row>
    <row r="2289" hidden="1" spans="1:14">
      <c r="A2289">
        <v>239</v>
      </c>
      <c r="B2289">
        <v>0</v>
      </c>
      <c r="C2289" t="s">
        <v>554</v>
      </c>
      <c r="D2289">
        <v>0</v>
      </c>
      <c r="E2289">
        <v>52.2925</v>
      </c>
      <c r="F2289">
        <v>35.55</v>
      </c>
      <c r="G2289">
        <v>1149.7</v>
      </c>
      <c r="H2289" s="1">
        <v>32380</v>
      </c>
      <c r="I2289" s="1">
        <v>32380</v>
      </c>
      <c r="J2289" t="s">
        <v>15</v>
      </c>
      <c r="K2289">
        <v>25</v>
      </c>
      <c r="L2289">
        <v>0</v>
      </c>
      <c r="M2289" t="s">
        <v>16</v>
      </c>
      <c r="N2289">
        <v>1</v>
      </c>
    </row>
    <row r="2290" hidden="1" spans="1:14">
      <c r="A2290">
        <v>727</v>
      </c>
      <c r="B2290">
        <v>0</v>
      </c>
      <c r="C2290" t="s">
        <v>554</v>
      </c>
      <c r="D2290">
        <v>0</v>
      </c>
      <c r="E2290">
        <v>55.8857</v>
      </c>
      <c r="F2290">
        <v>29.4316</v>
      </c>
      <c r="G2290">
        <v>625231.64</v>
      </c>
      <c r="H2290" s="1">
        <v>34003</v>
      </c>
      <c r="I2290" s="1">
        <v>34022</v>
      </c>
      <c r="J2290" t="s">
        <v>15</v>
      </c>
      <c r="K2290">
        <v>500</v>
      </c>
      <c r="L2290">
        <v>300000</v>
      </c>
      <c r="M2290" t="s">
        <v>16</v>
      </c>
      <c r="N2290">
        <v>1</v>
      </c>
    </row>
    <row r="2291" hidden="1" spans="1:14">
      <c r="A2291">
        <v>1674</v>
      </c>
      <c r="B2291">
        <v>0</v>
      </c>
      <c r="C2291" t="s">
        <v>554</v>
      </c>
      <c r="D2291">
        <v>0</v>
      </c>
      <c r="E2291">
        <v>48.4834</v>
      </c>
      <c r="F2291">
        <v>32.6274</v>
      </c>
      <c r="G2291">
        <v>83734.13</v>
      </c>
      <c r="H2291" s="1">
        <v>36860</v>
      </c>
      <c r="I2291" s="1">
        <v>36862</v>
      </c>
      <c r="J2291" t="s">
        <v>15</v>
      </c>
      <c r="K2291">
        <v>0</v>
      </c>
      <c r="L2291">
        <v>0</v>
      </c>
      <c r="M2291" t="s">
        <v>18</v>
      </c>
      <c r="N2291">
        <v>1</v>
      </c>
    </row>
    <row r="2292" hidden="1" spans="1:14">
      <c r="A2292">
        <v>1721</v>
      </c>
      <c r="B2292">
        <v>0</v>
      </c>
      <c r="C2292" t="s">
        <v>554</v>
      </c>
      <c r="D2292">
        <v>0</v>
      </c>
      <c r="E2292">
        <v>57.4197</v>
      </c>
      <c r="F2292">
        <v>37.4938</v>
      </c>
      <c r="G2292">
        <v>2134.65</v>
      </c>
      <c r="H2292" s="1">
        <v>37017</v>
      </c>
      <c r="I2292" s="1">
        <v>37017</v>
      </c>
      <c r="J2292" t="s">
        <v>15</v>
      </c>
      <c r="K2292">
        <v>32</v>
      </c>
      <c r="L2292">
        <v>800</v>
      </c>
      <c r="M2292" t="s">
        <v>18</v>
      </c>
      <c r="N2292">
        <v>1</v>
      </c>
    </row>
    <row r="2293" hidden="1" spans="1:14">
      <c r="A2293">
        <v>1755</v>
      </c>
      <c r="B2293">
        <v>0</v>
      </c>
      <c r="C2293" t="s">
        <v>554</v>
      </c>
      <c r="D2293">
        <v>0</v>
      </c>
      <c r="E2293">
        <v>48.0198</v>
      </c>
      <c r="F2293">
        <v>38.6073</v>
      </c>
      <c r="G2293">
        <v>7447.29</v>
      </c>
      <c r="H2293" s="1">
        <v>37092</v>
      </c>
      <c r="I2293" s="1">
        <v>37093</v>
      </c>
      <c r="J2293" t="s">
        <v>15</v>
      </c>
      <c r="K2293">
        <v>34</v>
      </c>
      <c r="L2293">
        <v>0</v>
      </c>
      <c r="M2293" t="s">
        <v>16</v>
      </c>
      <c r="N2293">
        <v>1</v>
      </c>
    </row>
    <row r="2294" hidden="1" spans="1:14">
      <c r="A2294">
        <v>1775</v>
      </c>
      <c r="B2294">
        <v>0</v>
      </c>
      <c r="C2294" t="s">
        <v>554</v>
      </c>
      <c r="D2294">
        <v>0</v>
      </c>
      <c r="E2294">
        <v>56.9063</v>
      </c>
      <c r="F2294">
        <v>36.8725</v>
      </c>
      <c r="G2294">
        <v>77941.49</v>
      </c>
      <c r="H2294" s="1">
        <v>37113</v>
      </c>
      <c r="I2294" s="1">
        <v>37115</v>
      </c>
      <c r="J2294" t="s">
        <v>15</v>
      </c>
      <c r="K2294">
        <v>600</v>
      </c>
      <c r="L2294">
        <v>15000</v>
      </c>
      <c r="M2294" t="s">
        <v>18</v>
      </c>
      <c r="N2294">
        <v>2</v>
      </c>
    </row>
    <row r="2295" hidden="1" spans="1:14">
      <c r="A2295">
        <v>2432</v>
      </c>
      <c r="B2295">
        <v>0</v>
      </c>
      <c r="C2295" t="s">
        <v>555</v>
      </c>
      <c r="D2295">
        <v>0</v>
      </c>
      <c r="E2295">
        <v>46.1627</v>
      </c>
      <c r="F2295">
        <v>30.8406</v>
      </c>
      <c r="G2295">
        <v>150236.89</v>
      </c>
      <c r="H2295" s="1">
        <v>38002</v>
      </c>
      <c r="I2295" s="1">
        <v>38042</v>
      </c>
      <c r="J2295" t="s">
        <v>15</v>
      </c>
      <c r="K2295">
        <v>0</v>
      </c>
      <c r="L2295">
        <v>0</v>
      </c>
      <c r="M2295" t="s">
        <v>16</v>
      </c>
      <c r="N2295">
        <v>1</v>
      </c>
    </row>
    <row r="2296" hidden="1" spans="1:14">
      <c r="A2296">
        <v>2637</v>
      </c>
      <c r="B2296">
        <v>0</v>
      </c>
      <c r="C2296" t="s">
        <v>555</v>
      </c>
      <c r="D2296">
        <v>0</v>
      </c>
      <c r="E2296">
        <v>46.294</v>
      </c>
      <c r="F2296">
        <v>32.9589</v>
      </c>
      <c r="G2296">
        <v>260716.36</v>
      </c>
      <c r="H2296" s="1">
        <v>38424</v>
      </c>
      <c r="I2296" s="1">
        <v>38436</v>
      </c>
      <c r="J2296" t="s">
        <v>15</v>
      </c>
      <c r="K2296">
        <v>0</v>
      </c>
      <c r="L2296">
        <v>0</v>
      </c>
      <c r="M2296" t="s">
        <v>16</v>
      </c>
      <c r="N2296">
        <v>1</v>
      </c>
    </row>
    <row r="2297" hidden="1" spans="1:14">
      <c r="A2297">
        <v>2797</v>
      </c>
      <c r="B2297" t="s">
        <v>556</v>
      </c>
      <c r="C2297" t="s">
        <v>555</v>
      </c>
      <c r="D2297">
        <v>0</v>
      </c>
      <c r="E2297">
        <v>45.4859</v>
      </c>
      <c r="F2297">
        <v>34.2105</v>
      </c>
      <c r="G2297">
        <v>77638.16</v>
      </c>
      <c r="H2297" s="1">
        <v>38752</v>
      </c>
      <c r="I2297" s="1">
        <v>38760</v>
      </c>
      <c r="J2297" t="s">
        <v>15</v>
      </c>
      <c r="K2297">
        <v>0</v>
      </c>
      <c r="L2297">
        <v>28000</v>
      </c>
      <c r="M2297" t="s">
        <v>16</v>
      </c>
      <c r="N2297">
        <v>1</v>
      </c>
    </row>
    <row r="2298" hidden="1" spans="1:14">
      <c r="A2298">
        <v>2989</v>
      </c>
      <c r="B2298">
        <v>0</v>
      </c>
      <c r="C2298" t="s">
        <v>555</v>
      </c>
      <c r="D2298">
        <v>0</v>
      </c>
      <c r="E2298">
        <v>44.8108</v>
      </c>
      <c r="F2298">
        <v>36.2336</v>
      </c>
      <c r="G2298">
        <v>19956.32</v>
      </c>
      <c r="H2298" s="1">
        <v>39026</v>
      </c>
      <c r="I2298" s="1">
        <v>39028</v>
      </c>
      <c r="J2298" t="s">
        <v>15</v>
      </c>
      <c r="K2298">
        <v>20</v>
      </c>
      <c r="L2298">
        <v>18000</v>
      </c>
      <c r="M2298" t="s">
        <v>16</v>
      </c>
      <c r="N2298">
        <v>1</v>
      </c>
    </row>
    <row r="2299" hidden="1" spans="1:14">
      <c r="A2299">
        <v>3378</v>
      </c>
      <c r="B2299">
        <v>0</v>
      </c>
      <c r="C2299" t="s">
        <v>555</v>
      </c>
      <c r="D2299">
        <v>0</v>
      </c>
      <c r="E2299">
        <v>45.1108</v>
      </c>
      <c r="F2299">
        <v>36.1564</v>
      </c>
      <c r="G2299">
        <v>8574.06</v>
      </c>
      <c r="H2299" s="1">
        <v>39701</v>
      </c>
      <c r="I2299" s="1">
        <v>39702</v>
      </c>
      <c r="J2299" t="s">
        <v>15</v>
      </c>
      <c r="K2299">
        <v>3</v>
      </c>
      <c r="L2299">
        <v>400</v>
      </c>
      <c r="M2299" t="s">
        <v>64</v>
      </c>
      <c r="N2299">
        <v>1.5</v>
      </c>
    </row>
    <row r="2300" hidden="1" spans="1:14">
      <c r="A2300">
        <v>4705</v>
      </c>
      <c r="C2300" t="s">
        <v>555</v>
      </c>
      <c r="D2300" t="s">
        <v>550</v>
      </c>
      <c r="E2300">
        <v>45.8229</v>
      </c>
      <c r="F2300">
        <v>33.0427</v>
      </c>
      <c r="G2300">
        <v>256782.99</v>
      </c>
      <c r="H2300" s="1">
        <v>43426</v>
      </c>
      <c r="I2300" s="1">
        <v>43431</v>
      </c>
      <c r="J2300" t="s">
        <v>56</v>
      </c>
      <c r="K2300">
        <v>22</v>
      </c>
      <c r="L2300">
        <v>3000</v>
      </c>
      <c r="M2300" t="s">
        <v>49</v>
      </c>
      <c r="N2300">
        <v>1.5</v>
      </c>
    </row>
    <row r="2301" hidden="1" spans="1:14">
      <c r="A2301">
        <v>1965</v>
      </c>
      <c r="B2301">
        <v>0</v>
      </c>
      <c r="C2301" t="s">
        <v>557</v>
      </c>
      <c r="D2301">
        <v>0</v>
      </c>
      <c r="E2301">
        <v>-6.1593</v>
      </c>
      <c r="F2301">
        <v>54.5643</v>
      </c>
      <c r="G2301">
        <v>2754.41</v>
      </c>
      <c r="H2301" s="1">
        <v>37429</v>
      </c>
      <c r="I2301" s="1">
        <v>37431</v>
      </c>
      <c r="J2301" t="s">
        <v>15</v>
      </c>
      <c r="K2301">
        <v>0</v>
      </c>
      <c r="L2301">
        <v>0</v>
      </c>
      <c r="M2301" t="s">
        <v>16</v>
      </c>
      <c r="N2301">
        <v>1</v>
      </c>
    </row>
    <row r="2302" hidden="1" spans="1:14">
      <c r="A2302">
        <v>2579</v>
      </c>
      <c r="B2302">
        <v>0</v>
      </c>
      <c r="C2302" t="s">
        <v>557</v>
      </c>
      <c r="D2302">
        <v>0</v>
      </c>
      <c r="E2302">
        <v>-7.82118</v>
      </c>
      <c r="F2302">
        <v>52.1548</v>
      </c>
      <c r="G2302">
        <v>6532.21</v>
      </c>
      <c r="H2302" s="1">
        <v>38287</v>
      </c>
      <c r="I2302" s="1">
        <v>38291</v>
      </c>
      <c r="J2302" t="s">
        <v>15</v>
      </c>
      <c r="K2302">
        <v>0</v>
      </c>
      <c r="L2302">
        <v>200</v>
      </c>
      <c r="M2302" t="s">
        <v>16</v>
      </c>
      <c r="N2302">
        <v>2</v>
      </c>
    </row>
    <row r="2303" hidden="1" spans="1:14">
      <c r="A2303">
        <v>4557</v>
      </c>
      <c r="C2303" t="s">
        <v>557</v>
      </c>
      <c r="D2303" t="s">
        <v>558</v>
      </c>
      <c r="E2303">
        <v>-1.18977</v>
      </c>
      <c r="F2303">
        <v>49.2312</v>
      </c>
      <c r="G2303">
        <v>103273.7</v>
      </c>
      <c r="H2303" s="1">
        <v>43102</v>
      </c>
      <c r="I2303" s="1">
        <v>43104</v>
      </c>
      <c r="J2303" t="s">
        <v>15</v>
      </c>
      <c r="K2303">
        <v>2</v>
      </c>
      <c r="L2303">
        <v>0</v>
      </c>
      <c r="M2303" t="s">
        <v>559</v>
      </c>
      <c r="N2303">
        <v>1.5</v>
      </c>
    </row>
    <row r="2304" hidden="1" spans="1:14">
      <c r="A2304">
        <v>501</v>
      </c>
      <c r="B2304">
        <v>0</v>
      </c>
      <c r="C2304" t="s">
        <v>347</v>
      </c>
      <c r="D2304">
        <v>0</v>
      </c>
      <c r="E2304">
        <v>34.9916</v>
      </c>
      <c r="F2304">
        <v>30.5876</v>
      </c>
      <c r="G2304">
        <v>12331.21</v>
      </c>
      <c r="H2304" s="1">
        <v>33321</v>
      </c>
      <c r="I2304" s="1">
        <v>33322</v>
      </c>
      <c r="J2304" t="s">
        <v>15</v>
      </c>
      <c r="K2304">
        <v>8</v>
      </c>
      <c r="L2304">
        <v>0</v>
      </c>
      <c r="M2304" t="s">
        <v>64</v>
      </c>
      <c r="N2304">
        <v>1</v>
      </c>
    </row>
    <row r="2305" hidden="1" spans="1:14">
      <c r="A2305">
        <v>611</v>
      </c>
      <c r="B2305">
        <v>0</v>
      </c>
      <c r="C2305" t="s">
        <v>347</v>
      </c>
      <c r="D2305" t="s">
        <v>560</v>
      </c>
      <c r="E2305">
        <v>34.5452</v>
      </c>
      <c r="F2305">
        <v>31.2653</v>
      </c>
      <c r="G2305">
        <v>23368.45</v>
      </c>
      <c r="H2305" s="1">
        <v>33603</v>
      </c>
      <c r="I2305" s="1">
        <v>33606</v>
      </c>
      <c r="J2305" t="s">
        <v>15</v>
      </c>
      <c r="K2305">
        <v>0</v>
      </c>
      <c r="L2305">
        <v>400</v>
      </c>
      <c r="M2305" t="s">
        <v>38</v>
      </c>
      <c r="N2305">
        <v>2</v>
      </c>
    </row>
    <row r="2306" hidden="1" spans="1:14">
      <c r="A2306">
        <v>621</v>
      </c>
      <c r="B2306">
        <v>0</v>
      </c>
      <c r="C2306" t="s">
        <v>347</v>
      </c>
      <c r="D2306" t="s">
        <v>561</v>
      </c>
      <c r="E2306">
        <v>35.8798</v>
      </c>
      <c r="F2306">
        <v>32.4291</v>
      </c>
      <c r="G2306">
        <v>26219.81</v>
      </c>
      <c r="H2306" s="1">
        <v>33635</v>
      </c>
      <c r="I2306" s="1">
        <v>33649</v>
      </c>
      <c r="J2306" t="s">
        <v>15</v>
      </c>
      <c r="K2306">
        <v>15</v>
      </c>
      <c r="L2306">
        <v>4200</v>
      </c>
      <c r="M2306" t="s">
        <v>38</v>
      </c>
      <c r="N2306">
        <v>2</v>
      </c>
    </row>
    <row r="2307" hidden="1" spans="1:14">
      <c r="A2307">
        <v>815</v>
      </c>
      <c r="B2307">
        <v>0</v>
      </c>
      <c r="C2307" t="s">
        <v>347</v>
      </c>
      <c r="D2307">
        <v>0</v>
      </c>
      <c r="E2307">
        <v>35.0229</v>
      </c>
      <c r="F2307">
        <v>30.2472</v>
      </c>
      <c r="G2307">
        <v>3180.52</v>
      </c>
      <c r="H2307" s="1">
        <v>34326</v>
      </c>
      <c r="I2307" s="1">
        <v>34326</v>
      </c>
      <c r="J2307" t="s">
        <v>15</v>
      </c>
      <c r="K2307">
        <v>2</v>
      </c>
      <c r="L2307">
        <v>0</v>
      </c>
      <c r="M2307" t="s">
        <v>16</v>
      </c>
      <c r="N2307">
        <v>2</v>
      </c>
    </row>
    <row r="2308" hidden="1" spans="1:14">
      <c r="A2308">
        <v>1279</v>
      </c>
      <c r="B2308">
        <v>0</v>
      </c>
      <c r="C2308" t="s">
        <v>347</v>
      </c>
      <c r="D2308">
        <v>0</v>
      </c>
      <c r="E2308">
        <v>34.8013</v>
      </c>
      <c r="F2308">
        <v>30.7803</v>
      </c>
      <c r="G2308">
        <v>23913.56</v>
      </c>
      <c r="H2308" s="1">
        <v>35720</v>
      </c>
      <c r="I2308" s="1">
        <v>35722</v>
      </c>
      <c r="J2308" t="s">
        <v>15</v>
      </c>
      <c r="K2308">
        <v>15</v>
      </c>
      <c r="L2308">
        <v>0</v>
      </c>
      <c r="M2308" t="s">
        <v>16</v>
      </c>
      <c r="N2308">
        <v>1</v>
      </c>
    </row>
    <row r="2309" hidden="1" spans="1:14">
      <c r="A2309">
        <v>2135</v>
      </c>
      <c r="B2309">
        <v>0</v>
      </c>
      <c r="C2309" t="s">
        <v>347</v>
      </c>
      <c r="D2309">
        <v>0</v>
      </c>
      <c r="E2309">
        <v>34.8066</v>
      </c>
      <c r="F2309">
        <v>32.0541</v>
      </c>
      <c r="G2309">
        <v>333.722</v>
      </c>
      <c r="H2309" s="1">
        <v>37642</v>
      </c>
      <c r="I2309" s="1">
        <v>37643</v>
      </c>
      <c r="J2309" t="s">
        <v>15</v>
      </c>
      <c r="K2309">
        <v>0</v>
      </c>
      <c r="L2309">
        <v>0</v>
      </c>
      <c r="M2309" t="s">
        <v>18</v>
      </c>
      <c r="N2309">
        <v>1</v>
      </c>
    </row>
    <row r="2310" hidden="1" spans="1:14">
      <c r="A2310">
        <v>2146</v>
      </c>
      <c r="B2310">
        <v>0</v>
      </c>
      <c r="C2310" t="s">
        <v>347</v>
      </c>
      <c r="D2310">
        <v>0</v>
      </c>
      <c r="E2310">
        <v>35.1782</v>
      </c>
      <c r="F2310">
        <v>33.057</v>
      </c>
      <c r="G2310">
        <v>276.318</v>
      </c>
      <c r="H2310" s="1">
        <v>37650</v>
      </c>
      <c r="I2310" s="1">
        <v>37651</v>
      </c>
      <c r="J2310" t="s">
        <v>15</v>
      </c>
      <c r="K2310">
        <v>0</v>
      </c>
      <c r="L2310">
        <v>150</v>
      </c>
      <c r="M2310" t="s">
        <v>16</v>
      </c>
      <c r="N2310">
        <v>1</v>
      </c>
    </row>
    <row r="2311" hidden="1" spans="1:14">
      <c r="A2311">
        <v>2830</v>
      </c>
      <c r="B2311">
        <v>0</v>
      </c>
      <c r="C2311" t="s">
        <v>347</v>
      </c>
      <c r="D2311">
        <v>0</v>
      </c>
      <c r="E2311">
        <v>35.0714</v>
      </c>
      <c r="F2311">
        <v>32.2355</v>
      </c>
      <c r="G2311">
        <v>11509.73</v>
      </c>
      <c r="H2311" s="1">
        <v>38809</v>
      </c>
      <c r="I2311" s="1">
        <v>38810</v>
      </c>
      <c r="J2311" t="s">
        <v>15</v>
      </c>
      <c r="K2311">
        <v>5</v>
      </c>
      <c r="L2311">
        <v>0</v>
      </c>
      <c r="M2311" t="s">
        <v>18</v>
      </c>
      <c r="N2311">
        <v>1</v>
      </c>
    </row>
    <row r="2312" hidden="1" spans="1:14">
      <c r="A2312">
        <v>2835</v>
      </c>
      <c r="B2312">
        <v>0</v>
      </c>
      <c r="C2312" t="s">
        <v>347</v>
      </c>
      <c r="D2312">
        <v>0</v>
      </c>
      <c r="E2312">
        <v>35.2306</v>
      </c>
      <c r="F2312">
        <v>32.4776</v>
      </c>
      <c r="G2312">
        <v>2497.52</v>
      </c>
      <c r="H2312" s="1">
        <v>38812</v>
      </c>
      <c r="I2312" s="1">
        <v>38814</v>
      </c>
      <c r="J2312" t="s">
        <v>15</v>
      </c>
      <c r="K2312">
        <v>0</v>
      </c>
      <c r="L2312">
        <v>0</v>
      </c>
      <c r="M2312" t="s">
        <v>18</v>
      </c>
      <c r="N2312">
        <v>2</v>
      </c>
    </row>
    <row r="2313" hidden="1" spans="1:14">
      <c r="A2313">
        <v>3074</v>
      </c>
      <c r="B2313">
        <v>0</v>
      </c>
      <c r="C2313" t="s">
        <v>347</v>
      </c>
      <c r="D2313">
        <v>0</v>
      </c>
      <c r="E2313">
        <v>35.4045</v>
      </c>
      <c r="F2313">
        <v>31.7119</v>
      </c>
      <c r="G2313">
        <v>319.734</v>
      </c>
      <c r="H2313" s="1">
        <v>39214</v>
      </c>
      <c r="I2313" s="1">
        <v>39215</v>
      </c>
      <c r="J2313" t="s">
        <v>15</v>
      </c>
      <c r="K2313">
        <v>4</v>
      </c>
      <c r="L2313">
        <v>21</v>
      </c>
      <c r="M2313" t="s">
        <v>16</v>
      </c>
      <c r="N2313">
        <v>1</v>
      </c>
    </row>
    <row r="2314" hidden="1" spans="1:14">
      <c r="A2314">
        <v>4608</v>
      </c>
      <c r="C2314" t="s">
        <v>347</v>
      </c>
      <c r="D2314" t="s">
        <v>382</v>
      </c>
      <c r="E2314">
        <v>34.8615</v>
      </c>
      <c r="F2314">
        <v>31.1639</v>
      </c>
      <c r="G2314">
        <v>17900.1</v>
      </c>
      <c r="H2314" s="1">
        <v>43214</v>
      </c>
      <c r="I2314" s="1">
        <v>43217</v>
      </c>
      <c r="J2314" t="s">
        <v>58</v>
      </c>
      <c r="K2314">
        <v>12</v>
      </c>
      <c r="L2314">
        <v>0</v>
      </c>
      <c r="M2314" t="s">
        <v>52</v>
      </c>
      <c r="N2314">
        <v>1.5</v>
      </c>
    </row>
    <row r="2315" hidden="1" spans="1:14">
      <c r="A2315">
        <v>4728</v>
      </c>
      <c r="C2315" t="s">
        <v>347</v>
      </c>
      <c r="D2315" t="s">
        <v>560</v>
      </c>
      <c r="E2315">
        <v>35.5791</v>
      </c>
      <c r="F2315">
        <v>32.5519</v>
      </c>
      <c r="G2315">
        <v>3420.54</v>
      </c>
      <c r="H2315" s="1">
        <v>43524</v>
      </c>
      <c r="I2315" s="1">
        <v>43525</v>
      </c>
      <c r="J2315" t="s">
        <v>56</v>
      </c>
      <c r="K2315">
        <v>0</v>
      </c>
      <c r="L2315">
        <v>0</v>
      </c>
      <c r="M2315" t="s">
        <v>52</v>
      </c>
      <c r="N2315">
        <v>1.5</v>
      </c>
    </row>
    <row r="2316" hidden="1" spans="1:14">
      <c r="A2316">
        <v>4836</v>
      </c>
      <c r="C2316" t="s">
        <v>347</v>
      </c>
      <c r="E2316">
        <v>35.3316</v>
      </c>
      <c r="F2316">
        <v>32.8622</v>
      </c>
      <c r="G2316">
        <v>2433.25</v>
      </c>
      <c r="H2316" s="1">
        <v>43834</v>
      </c>
      <c r="I2316" s="1">
        <v>43839</v>
      </c>
      <c r="J2316" t="s">
        <v>56</v>
      </c>
      <c r="K2316">
        <v>6</v>
      </c>
      <c r="L2316">
        <v>0</v>
      </c>
      <c r="M2316" t="s">
        <v>52</v>
      </c>
      <c r="N2316">
        <v>1</v>
      </c>
    </row>
    <row r="2317" hidden="1" spans="1:14">
      <c r="A2317">
        <v>1654</v>
      </c>
      <c r="B2317">
        <v>0</v>
      </c>
      <c r="C2317" t="s">
        <v>562</v>
      </c>
      <c r="D2317">
        <v>0</v>
      </c>
      <c r="E2317">
        <v>34.6702</v>
      </c>
      <c r="F2317">
        <v>31.8891</v>
      </c>
      <c r="G2317">
        <v>3171.9</v>
      </c>
      <c r="H2317" s="1">
        <v>36823</v>
      </c>
      <c r="I2317" s="1">
        <v>36825</v>
      </c>
      <c r="J2317" t="s">
        <v>15</v>
      </c>
      <c r="K2317">
        <v>1</v>
      </c>
      <c r="L2317">
        <v>600</v>
      </c>
      <c r="M2317" t="s">
        <v>16</v>
      </c>
      <c r="N2317">
        <v>1</v>
      </c>
    </row>
    <row r="2318" hidden="1" spans="1:14">
      <c r="A2318">
        <v>141</v>
      </c>
      <c r="B2318">
        <v>0</v>
      </c>
      <c r="C2318" t="s">
        <v>415</v>
      </c>
      <c r="D2318">
        <v>0</v>
      </c>
      <c r="E2318">
        <v>9.9383</v>
      </c>
      <c r="F2318">
        <v>45.7794</v>
      </c>
      <c r="G2318">
        <v>4687.42</v>
      </c>
      <c r="H2318" s="1">
        <v>31970</v>
      </c>
      <c r="I2318" s="1">
        <v>31979</v>
      </c>
      <c r="J2318" t="s">
        <v>15</v>
      </c>
      <c r="K2318">
        <v>20</v>
      </c>
      <c r="L2318">
        <v>300</v>
      </c>
      <c r="M2318" t="s">
        <v>16</v>
      </c>
      <c r="N2318">
        <v>1</v>
      </c>
    </row>
    <row r="2319" hidden="1" spans="1:14">
      <c r="A2319">
        <v>595</v>
      </c>
      <c r="B2319">
        <v>0</v>
      </c>
      <c r="C2319" t="s">
        <v>415</v>
      </c>
      <c r="D2319">
        <v>0</v>
      </c>
      <c r="E2319">
        <v>14.0174</v>
      </c>
      <c r="F2319">
        <v>37.4429</v>
      </c>
      <c r="G2319">
        <v>52843.96</v>
      </c>
      <c r="H2319" s="1">
        <v>33524</v>
      </c>
      <c r="I2319" s="1">
        <v>33526</v>
      </c>
      <c r="J2319" t="s">
        <v>15</v>
      </c>
      <c r="K2319">
        <v>17</v>
      </c>
      <c r="L2319">
        <v>0</v>
      </c>
      <c r="M2319" t="s">
        <v>16</v>
      </c>
      <c r="N2319">
        <v>1</v>
      </c>
    </row>
    <row r="2320" hidden="1" spans="1:14">
      <c r="A2320">
        <v>641</v>
      </c>
      <c r="B2320">
        <v>0</v>
      </c>
      <c r="C2320" t="s">
        <v>415</v>
      </c>
      <c r="D2320">
        <v>0</v>
      </c>
      <c r="E2320">
        <v>10.5657</v>
      </c>
      <c r="F2320">
        <v>45.3963</v>
      </c>
      <c r="G2320">
        <v>7026.51</v>
      </c>
      <c r="H2320" s="1">
        <v>33697</v>
      </c>
      <c r="I2320" s="1">
        <v>33699</v>
      </c>
      <c r="J2320" t="s">
        <v>15</v>
      </c>
      <c r="K2320">
        <v>32</v>
      </c>
      <c r="L2320">
        <v>0</v>
      </c>
      <c r="M2320" t="s">
        <v>16</v>
      </c>
      <c r="N2320">
        <v>1</v>
      </c>
    </row>
    <row r="2321" hidden="1" spans="1:14">
      <c r="A2321">
        <v>703</v>
      </c>
      <c r="B2321">
        <v>0</v>
      </c>
      <c r="C2321" t="s">
        <v>415</v>
      </c>
      <c r="D2321">
        <v>0</v>
      </c>
      <c r="E2321">
        <v>8.93857</v>
      </c>
      <c r="F2321">
        <v>44.5004</v>
      </c>
      <c r="G2321">
        <v>4076.56</v>
      </c>
      <c r="H2321" s="1">
        <v>33875</v>
      </c>
      <c r="I2321" s="1">
        <v>33875</v>
      </c>
      <c r="J2321" t="s">
        <v>15</v>
      </c>
      <c r="K2321">
        <v>2</v>
      </c>
      <c r="L2321">
        <v>0</v>
      </c>
      <c r="M2321" t="s">
        <v>16</v>
      </c>
      <c r="N2321">
        <v>1</v>
      </c>
    </row>
    <row r="2322" hidden="1" spans="1:14">
      <c r="A2322">
        <v>711</v>
      </c>
      <c r="B2322">
        <v>0</v>
      </c>
      <c r="C2322" t="s">
        <v>415</v>
      </c>
      <c r="D2322">
        <v>0</v>
      </c>
      <c r="E2322">
        <v>11.14</v>
      </c>
      <c r="F2322">
        <v>43.6735</v>
      </c>
      <c r="G2322">
        <v>3332.49</v>
      </c>
      <c r="H2322" s="1">
        <v>33908</v>
      </c>
      <c r="I2322" s="1">
        <v>33908</v>
      </c>
      <c r="J2322" t="s">
        <v>15</v>
      </c>
      <c r="K2322">
        <v>0</v>
      </c>
      <c r="L2322">
        <v>1000</v>
      </c>
      <c r="M2322" t="s">
        <v>16</v>
      </c>
      <c r="N2322">
        <v>1</v>
      </c>
    </row>
    <row r="2323" hidden="1" spans="1:14">
      <c r="A2323">
        <v>896</v>
      </c>
      <c r="B2323">
        <v>0</v>
      </c>
      <c r="C2323" t="s">
        <v>415</v>
      </c>
      <c r="D2323">
        <v>0</v>
      </c>
      <c r="E2323">
        <v>10.8528</v>
      </c>
      <c r="F2323">
        <v>43.7041</v>
      </c>
      <c r="G2323">
        <v>30590.88</v>
      </c>
      <c r="H2323" s="1">
        <v>34579</v>
      </c>
      <c r="I2323" s="1">
        <v>34580</v>
      </c>
      <c r="J2323" t="s">
        <v>15</v>
      </c>
      <c r="K2323">
        <v>3</v>
      </c>
      <c r="L2323">
        <v>0</v>
      </c>
      <c r="M2323" t="s">
        <v>64</v>
      </c>
      <c r="N2323">
        <v>1</v>
      </c>
    </row>
    <row r="2324" hidden="1" spans="1:14">
      <c r="A2324">
        <v>912</v>
      </c>
      <c r="B2324">
        <v>0</v>
      </c>
      <c r="C2324" t="s">
        <v>415</v>
      </c>
      <c r="D2324">
        <v>0</v>
      </c>
      <c r="E2324">
        <v>10.2403</v>
      </c>
      <c r="F2324">
        <v>45.2087</v>
      </c>
      <c r="G2324">
        <v>90174.15</v>
      </c>
      <c r="H2324" s="1">
        <v>34639</v>
      </c>
      <c r="I2324" s="1">
        <v>34648</v>
      </c>
      <c r="J2324" t="s">
        <v>15</v>
      </c>
      <c r="K2324">
        <v>83</v>
      </c>
      <c r="L2324">
        <v>10308</v>
      </c>
      <c r="M2324" t="s">
        <v>16</v>
      </c>
      <c r="N2324">
        <v>2</v>
      </c>
    </row>
    <row r="2325" hidden="1" spans="1:14">
      <c r="A2325">
        <v>946</v>
      </c>
      <c r="B2325">
        <v>0</v>
      </c>
      <c r="C2325" t="s">
        <v>415</v>
      </c>
      <c r="D2325">
        <v>0</v>
      </c>
      <c r="E2325">
        <v>7.32512</v>
      </c>
      <c r="F2325">
        <v>44.9518</v>
      </c>
      <c r="G2325">
        <v>24761.82</v>
      </c>
      <c r="H2325" s="1">
        <v>34813</v>
      </c>
      <c r="I2325" s="1">
        <v>34819</v>
      </c>
      <c r="J2325" t="s">
        <v>15</v>
      </c>
      <c r="K2325">
        <v>3</v>
      </c>
      <c r="L2325">
        <v>0</v>
      </c>
      <c r="M2325" t="s">
        <v>38</v>
      </c>
      <c r="N2325">
        <v>1</v>
      </c>
    </row>
    <row r="2326" hidden="1" spans="1:14">
      <c r="A2326">
        <v>1079</v>
      </c>
      <c r="B2326">
        <v>0</v>
      </c>
      <c r="C2326" t="s">
        <v>415</v>
      </c>
      <c r="D2326">
        <v>0</v>
      </c>
      <c r="E2326">
        <v>10.8096</v>
      </c>
      <c r="F2326">
        <v>44.2003</v>
      </c>
      <c r="G2326">
        <v>66764.81</v>
      </c>
      <c r="H2326" s="1">
        <v>35235</v>
      </c>
      <c r="I2326" s="1">
        <v>35239</v>
      </c>
      <c r="J2326" t="s">
        <v>15</v>
      </c>
      <c r="K2326">
        <v>17</v>
      </c>
      <c r="L2326">
        <v>300</v>
      </c>
      <c r="M2326" t="s">
        <v>16</v>
      </c>
      <c r="N2326">
        <v>1</v>
      </c>
    </row>
    <row r="2327" hidden="1" spans="1:14">
      <c r="A2327">
        <v>1231</v>
      </c>
      <c r="B2327">
        <v>0</v>
      </c>
      <c r="C2327" t="s">
        <v>415</v>
      </c>
      <c r="D2327">
        <v>0</v>
      </c>
      <c r="E2327">
        <v>10.0135</v>
      </c>
      <c r="F2327">
        <v>45.9922</v>
      </c>
      <c r="G2327">
        <v>17109.34</v>
      </c>
      <c r="H2327" s="1">
        <v>35607</v>
      </c>
      <c r="I2327" s="1">
        <v>35610</v>
      </c>
      <c r="J2327" t="s">
        <v>15</v>
      </c>
      <c r="K2327">
        <v>2</v>
      </c>
      <c r="L2327">
        <v>700</v>
      </c>
      <c r="M2327" t="s">
        <v>16</v>
      </c>
      <c r="N2327">
        <v>1</v>
      </c>
    </row>
    <row r="2328" hidden="1" spans="1:14">
      <c r="A2328">
        <v>1352</v>
      </c>
      <c r="B2328">
        <v>0</v>
      </c>
      <c r="C2328" t="s">
        <v>415</v>
      </c>
      <c r="D2328">
        <v>0</v>
      </c>
      <c r="E2328">
        <v>12.982</v>
      </c>
      <c r="F2328">
        <v>41.6911</v>
      </c>
      <c r="G2328">
        <v>17721.98</v>
      </c>
      <c r="H2328" s="1">
        <v>35916</v>
      </c>
      <c r="I2328" s="1">
        <v>35922</v>
      </c>
      <c r="J2328" t="s">
        <v>15</v>
      </c>
      <c r="K2328">
        <v>148</v>
      </c>
      <c r="L2328">
        <v>3463</v>
      </c>
      <c r="M2328" t="s">
        <v>16</v>
      </c>
      <c r="N2328">
        <v>1</v>
      </c>
    </row>
    <row r="2329" hidden="1" spans="1:14">
      <c r="A2329">
        <v>1577</v>
      </c>
      <c r="B2329">
        <v>0</v>
      </c>
      <c r="C2329" t="s">
        <v>415</v>
      </c>
      <c r="D2329">
        <v>0</v>
      </c>
      <c r="E2329">
        <v>14.1524</v>
      </c>
      <c r="F2329">
        <v>42.6196</v>
      </c>
      <c r="G2329">
        <v>30829.03</v>
      </c>
      <c r="H2329" s="1">
        <v>36509</v>
      </c>
      <c r="I2329" s="1">
        <v>36510</v>
      </c>
      <c r="J2329" t="s">
        <v>15</v>
      </c>
      <c r="K2329">
        <v>5</v>
      </c>
      <c r="L2329">
        <v>300</v>
      </c>
      <c r="M2329" t="s">
        <v>16</v>
      </c>
      <c r="N2329">
        <v>1</v>
      </c>
    </row>
    <row r="2330" hidden="1" spans="1:14">
      <c r="A2330">
        <v>1650</v>
      </c>
      <c r="B2330">
        <v>0</v>
      </c>
      <c r="C2330" t="s">
        <v>415</v>
      </c>
      <c r="D2330">
        <v>0</v>
      </c>
      <c r="E2330">
        <v>8.74789</v>
      </c>
      <c r="F2330">
        <v>45.5709</v>
      </c>
      <c r="G2330">
        <v>44552.5</v>
      </c>
      <c r="H2330" s="1">
        <v>36813</v>
      </c>
      <c r="I2330" s="1">
        <v>36821</v>
      </c>
      <c r="J2330" t="s">
        <v>15</v>
      </c>
      <c r="K2330">
        <v>37</v>
      </c>
      <c r="L2330">
        <v>43000</v>
      </c>
      <c r="M2330" t="s">
        <v>18</v>
      </c>
      <c r="N2330">
        <v>2</v>
      </c>
    </row>
    <row r="2331" hidden="1" spans="1:14">
      <c r="A2331">
        <v>1662</v>
      </c>
      <c r="B2331">
        <v>0</v>
      </c>
      <c r="C2331" t="s">
        <v>415</v>
      </c>
      <c r="D2331">
        <v>0</v>
      </c>
      <c r="E2331">
        <v>7.74033</v>
      </c>
      <c r="F2331">
        <v>44.8503</v>
      </c>
      <c r="G2331">
        <v>23851.47</v>
      </c>
      <c r="H2331" s="1">
        <v>36835</v>
      </c>
      <c r="I2331" s="1">
        <v>36837</v>
      </c>
      <c r="J2331" t="s">
        <v>15</v>
      </c>
      <c r="K2331">
        <v>3</v>
      </c>
      <c r="L2331">
        <v>30</v>
      </c>
      <c r="M2331" t="s">
        <v>16</v>
      </c>
      <c r="N2331">
        <v>1</v>
      </c>
    </row>
    <row r="2332" hidden="1" spans="1:14">
      <c r="A2332">
        <v>1794</v>
      </c>
      <c r="B2332">
        <v>0</v>
      </c>
      <c r="C2332" t="s">
        <v>415</v>
      </c>
      <c r="D2332">
        <v>0</v>
      </c>
      <c r="E2332">
        <v>14.2544</v>
      </c>
      <c r="F2332">
        <v>40.8829</v>
      </c>
      <c r="G2332">
        <v>69.4003</v>
      </c>
      <c r="H2332" s="1">
        <v>37148</v>
      </c>
      <c r="I2332" s="1">
        <v>37149</v>
      </c>
      <c r="J2332" t="s">
        <v>15</v>
      </c>
      <c r="K2332">
        <v>2</v>
      </c>
      <c r="L2332">
        <v>0</v>
      </c>
      <c r="M2332" t="s">
        <v>18</v>
      </c>
      <c r="N2332">
        <v>1</v>
      </c>
    </row>
    <row r="2333" hidden="1" spans="1:14">
      <c r="A2333">
        <v>2050</v>
      </c>
      <c r="B2333">
        <v>0</v>
      </c>
      <c r="C2333" t="s">
        <v>415</v>
      </c>
      <c r="D2333">
        <v>0</v>
      </c>
      <c r="E2333">
        <v>10.4002</v>
      </c>
      <c r="F2333">
        <v>42.8283</v>
      </c>
      <c r="G2333">
        <v>90.1132</v>
      </c>
      <c r="H2333" s="1">
        <v>37503</v>
      </c>
      <c r="I2333" s="1">
        <v>37505</v>
      </c>
      <c r="J2333" t="s">
        <v>15</v>
      </c>
      <c r="K2333">
        <v>0</v>
      </c>
      <c r="L2333">
        <v>1200</v>
      </c>
      <c r="M2333" t="s">
        <v>16</v>
      </c>
      <c r="N2333">
        <v>1</v>
      </c>
    </row>
    <row r="2334" hidden="1" spans="1:14">
      <c r="A2334">
        <v>2140</v>
      </c>
      <c r="B2334">
        <v>0</v>
      </c>
      <c r="C2334" t="s">
        <v>415</v>
      </c>
      <c r="D2334">
        <v>0</v>
      </c>
      <c r="E2334">
        <v>15.9205</v>
      </c>
      <c r="F2334">
        <v>41.3473</v>
      </c>
      <c r="G2334">
        <v>28756</v>
      </c>
      <c r="H2334" s="1">
        <v>37646</v>
      </c>
      <c r="I2334" s="1">
        <v>37648</v>
      </c>
      <c r="J2334" t="s">
        <v>15</v>
      </c>
      <c r="K2334">
        <v>1</v>
      </c>
      <c r="L2334">
        <v>1000</v>
      </c>
      <c r="M2334" t="s">
        <v>16</v>
      </c>
      <c r="N2334">
        <v>1</v>
      </c>
    </row>
    <row r="2335" hidden="1" spans="1:14">
      <c r="A2335">
        <v>2340</v>
      </c>
      <c r="B2335">
        <v>0</v>
      </c>
      <c r="C2335" t="s">
        <v>415</v>
      </c>
      <c r="D2335">
        <v>0</v>
      </c>
      <c r="E2335">
        <v>13.2272</v>
      </c>
      <c r="F2335">
        <v>46.0812</v>
      </c>
      <c r="G2335">
        <v>1114.78</v>
      </c>
      <c r="H2335" s="1">
        <v>37862</v>
      </c>
      <c r="I2335" s="1">
        <v>37863</v>
      </c>
      <c r="J2335" t="s">
        <v>15</v>
      </c>
      <c r="K2335">
        <v>2</v>
      </c>
      <c r="L2335">
        <v>300</v>
      </c>
      <c r="M2335" t="s">
        <v>16</v>
      </c>
      <c r="N2335">
        <v>1</v>
      </c>
    </row>
    <row r="2336" hidden="1" spans="1:14">
      <c r="A2336">
        <v>2360</v>
      </c>
      <c r="B2336">
        <v>0</v>
      </c>
      <c r="C2336" t="s">
        <v>415</v>
      </c>
      <c r="D2336">
        <v>0</v>
      </c>
      <c r="E2336">
        <v>10.3811</v>
      </c>
      <c r="F2336">
        <v>43.9155</v>
      </c>
      <c r="G2336">
        <v>1854.41</v>
      </c>
      <c r="H2336" s="1">
        <v>37887</v>
      </c>
      <c r="I2336" s="1">
        <v>37888</v>
      </c>
      <c r="J2336" t="s">
        <v>15</v>
      </c>
      <c r="K2336">
        <v>1</v>
      </c>
      <c r="L2336">
        <v>30</v>
      </c>
      <c r="M2336" t="s">
        <v>18</v>
      </c>
      <c r="N2336">
        <v>1</v>
      </c>
    </row>
    <row r="2337" hidden="1" spans="1:14">
      <c r="A2337">
        <v>2605</v>
      </c>
      <c r="B2337">
        <v>0</v>
      </c>
      <c r="C2337" t="s">
        <v>415</v>
      </c>
      <c r="D2337">
        <v>0</v>
      </c>
      <c r="E2337">
        <v>14.6179</v>
      </c>
      <c r="F2337">
        <v>40.776</v>
      </c>
      <c r="G2337">
        <v>215.291</v>
      </c>
      <c r="H2337" s="1">
        <v>38346</v>
      </c>
      <c r="I2337" s="1">
        <v>38349</v>
      </c>
      <c r="J2337" t="s">
        <v>15</v>
      </c>
      <c r="K2337">
        <v>0</v>
      </c>
      <c r="L2337">
        <v>0</v>
      </c>
      <c r="M2337" t="s">
        <v>16</v>
      </c>
      <c r="N2337">
        <v>1</v>
      </c>
    </row>
    <row r="2338" hidden="1" spans="1:14">
      <c r="A2338">
        <v>2755</v>
      </c>
      <c r="B2338">
        <v>0</v>
      </c>
      <c r="C2338" t="s">
        <v>415</v>
      </c>
      <c r="D2338">
        <v>0</v>
      </c>
      <c r="E2338">
        <v>16.8435</v>
      </c>
      <c r="F2338">
        <v>41.0532</v>
      </c>
      <c r="G2338">
        <v>1199.3</v>
      </c>
      <c r="H2338" s="1">
        <v>38648</v>
      </c>
      <c r="I2338" s="1">
        <v>38649</v>
      </c>
      <c r="J2338" t="s">
        <v>15</v>
      </c>
      <c r="K2338">
        <v>6</v>
      </c>
      <c r="L2338">
        <v>0</v>
      </c>
      <c r="M2338" t="s">
        <v>16</v>
      </c>
      <c r="N2338">
        <v>1</v>
      </c>
    </row>
    <row r="2339" hidden="1" spans="1:14">
      <c r="A2339">
        <v>3414</v>
      </c>
      <c r="B2339">
        <v>0</v>
      </c>
      <c r="C2339" t="s">
        <v>415</v>
      </c>
      <c r="E2339">
        <v>12.188</v>
      </c>
      <c r="F2339">
        <v>45.0242</v>
      </c>
      <c r="G2339">
        <v>2219.9</v>
      </c>
      <c r="H2339" s="1">
        <v>39778</v>
      </c>
      <c r="I2339" s="1">
        <v>39780</v>
      </c>
      <c r="J2339" t="s">
        <v>15</v>
      </c>
      <c r="K2339">
        <v>7</v>
      </c>
      <c r="L2339">
        <v>46000</v>
      </c>
      <c r="M2339" t="s">
        <v>49</v>
      </c>
      <c r="N2339">
        <v>2</v>
      </c>
    </row>
    <row r="2340" hidden="1" spans="1:14">
      <c r="A2340">
        <v>3418</v>
      </c>
      <c r="B2340">
        <v>0</v>
      </c>
      <c r="C2340" t="s">
        <v>415</v>
      </c>
      <c r="D2340">
        <v>0</v>
      </c>
      <c r="E2340">
        <v>13.1575</v>
      </c>
      <c r="F2340">
        <v>41.8299</v>
      </c>
      <c r="G2340">
        <v>5423.64</v>
      </c>
      <c r="H2340" s="1">
        <v>39783</v>
      </c>
      <c r="I2340" s="1">
        <v>39790</v>
      </c>
      <c r="J2340" t="s">
        <v>15</v>
      </c>
      <c r="K2340">
        <v>0</v>
      </c>
      <c r="L2340">
        <v>2000</v>
      </c>
      <c r="M2340" t="s">
        <v>49</v>
      </c>
      <c r="N2340">
        <v>1</v>
      </c>
    </row>
    <row r="2341" hidden="1" spans="1:14">
      <c r="A2341">
        <v>3550</v>
      </c>
      <c r="B2341" t="s">
        <v>563</v>
      </c>
      <c r="C2341" t="s">
        <v>415</v>
      </c>
      <c r="D2341">
        <v>0</v>
      </c>
      <c r="E2341">
        <v>15.733</v>
      </c>
      <c r="F2341">
        <v>38.114</v>
      </c>
      <c r="G2341">
        <v>1227.06</v>
      </c>
      <c r="H2341" s="1">
        <v>40087</v>
      </c>
      <c r="I2341" s="1">
        <v>40088</v>
      </c>
      <c r="J2341">
        <v>0</v>
      </c>
      <c r="K2341">
        <v>22</v>
      </c>
      <c r="L2341">
        <v>0</v>
      </c>
      <c r="M2341" t="s">
        <v>52</v>
      </c>
      <c r="N2341">
        <v>2</v>
      </c>
    </row>
    <row r="2342" hidden="1" spans="1:14">
      <c r="A2342">
        <v>3587</v>
      </c>
      <c r="B2342">
        <v>0</v>
      </c>
      <c r="C2342" t="s">
        <v>415</v>
      </c>
      <c r="D2342">
        <v>0</v>
      </c>
      <c r="E2342">
        <v>12.7554</v>
      </c>
      <c r="F2342">
        <v>42.7931</v>
      </c>
      <c r="G2342">
        <v>40932.75</v>
      </c>
      <c r="H2342" s="1">
        <v>40168</v>
      </c>
      <c r="I2342" s="1">
        <v>40174</v>
      </c>
      <c r="J2342">
        <v>0</v>
      </c>
      <c r="K2342">
        <v>0</v>
      </c>
      <c r="L2342">
        <v>500</v>
      </c>
      <c r="M2342" t="s">
        <v>52</v>
      </c>
      <c r="N2342">
        <v>1</v>
      </c>
    </row>
    <row r="2343" hidden="1" spans="1:14">
      <c r="A2343">
        <v>3746</v>
      </c>
      <c r="B2343">
        <v>0</v>
      </c>
      <c r="C2343" t="s">
        <v>415</v>
      </c>
      <c r="D2343">
        <v>0</v>
      </c>
      <c r="E2343">
        <v>11.1382</v>
      </c>
      <c r="F2343">
        <v>45.1256</v>
      </c>
      <c r="G2343">
        <v>18725.85</v>
      </c>
      <c r="H2343" s="1">
        <v>40490</v>
      </c>
      <c r="I2343" s="1">
        <v>40493</v>
      </c>
      <c r="J2343" t="s">
        <v>15</v>
      </c>
      <c r="K2343">
        <v>0</v>
      </c>
      <c r="L2343">
        <v>300</v>
      </c>
      <c r="M2343" t="s">
        <v>49</v>
      </c>
      <c r="N2343">
        <v>2</v>
      </c>
    </row>
    <row r="2344" hidden="1" spans="1:14">
      <c r="A2344">
        <v>3873</v>
      </c>
      <c r="C2344" t="s">
        <v>415</v>
      </c>
      <c r="E2344">
        <v>9.33422</v>
      </c>
      <c r="F2344">
        <v>44.4216</v>
      </c>
      <c r="G2344">
        <v>4696.07</v>
      </c>
      <c r="H2344" s="1">
        <v>40842</v>
      </c>
      <c r="I2344" s="1">
        <v>40848</v>
      </c>
      <c r="J2344" t="s">
        <v>15</v>
      </c>
      <c r="K2344">
        <v>7</v>
      </c>
      <c r="L2344">
        <v>0</v>
      </c>
      <c r="M2344" t="s">
        <v>52</v>
      </c>
      <c r="N2344">
        <v>2</v>
      </c>
    </row>
    <row r="2345" hidden="1" spans="1:14">
      <c r="A2345">
        <v>4004</v>
      </c>
      <c r="C2345" t="s">
        <v>415</v>
      </c>
      <c r="E2345">
        <v>12.4131</v>
      </c>
      <c r="F2345">
        <v>43.1605</v>
      </c>
      <c r="G2345">
        <v>66842.9</v>
      </c>
      <c r="H2345" s="1">
        <v>41224</v>
      </c>
      <c r="I2345" s="1">
        <v>41231</v>
      </c>
      <c r="J2345" t="s">
        <v>15</v>
      </c>
      <c r="K2345">
        <v>4</v>
      </c>
      <c r="L2345">
        <v>500</v>
      </c>
      <c r="M2345" t="s">
        <v>564</v>
      </c>
      <c r="N2345">
        <v>1.5</v>
      </c>
    </row>
    <row r="2346" hidden="1" spans="1:14">
      <c r="A2346">
        <v>4102</v>
      </c>
      <c r="C2346" t="s">
        <v>415</v>
      </c>
      <c r="E2346">
        <v>9.00455</v>
      </c>
      <c r="F2346">
        <v>40.3008</v>
      </c>
      <c r="G2346">
        <v>15699.75</v>
      </c>
      <c r="H2346" s="1">
        <v>41596</v>
      </c>
      <c r="I2346" s="1">
        <v>41597</v>
      </c>
      <c r="J2346" t="s">
        <v>15</v>
      </c>
      <c r="K2346">
        <v>18</v>
      </c>
      <c r="L2346">
        <v>2700</v>
      </c>
      <c r="M2346" t="s">
        <v>52</v>
      </c>
      <c r="N2346">
        <v>2</v>
      </c>
    </row>
    <row r="2347" hidden="1" spans="1:14">
      <c r="A2347">
        <v>4141</v>
      </c>
      <c r="C2347" t="s">
        <v>415</v>
      </c>
      <c r="E2347">
        <v>13.013</v>
      </c>
      <c r="F2347">
        <v>43.3979</v>
      </c>
      <c r="G2347">
        <v>11256.33</v>
      </c>
      <c r="H2347" s="1">
        <v>41761</v>
      </c>
      <c r="I2347" s="1">
        <v>41769</v>
      </c>
      <c r="J2347" t="s">
        <v>15</v>
      </c>
      <c r="K2347">
        <v>2</v>
      </c>
      <c r="L2347">
        <v>250</v>
      </c>
      <c r="M2347" t="s">
        <v>52</v>
      </c>
      <c r="N2347">
        <v>1.5</v>
      </c>
    </row>
    <row r="2348" hidden="1" spans="1:14">
      <c r="A2348">
        <v>4192</v>
      </c>
      <c r="C2348" t="s">
        <v>415</v>
      </c>
      <c r="E2348">
        <v>9.17775</v>
      </c>
      <c r="F2348">
        <v>44.6146</v>
      </c>
      <c r="G2348">
        <v>6229.19</v>
      </c>
      <c r="H2348" s="1">
        <v>41922</v>
      </c>
      <c r="I2348" s="1">
        <v>41923</v>
      </c>
      <c r="J2348" t="s">
        <v>15</v>
      </c>
      <c r="K2348">
        <v>1</v>
      </c>
      <c r="L2348">
        <v>0</v>
      </c>
      <c r="M2348" t="s">
        <v>52</v>
      </c>
      <c r="N2348">
        <v>1</v>
      </c>
    </row>
    <row r="2349" hidden="1" spans="1:14">
      <c r="A2349">
        <v>4205</v>
      </c>
      <c r="C2349" t="s">
        <v>415</v>
      </c>
      <c r="E2349">
        <v>10.6129</v>
      </c>
      <c r="F2349">
        <v>45.9281</v>
      </c>
      <c r="G2349">
        <v>36733.48</v>
      </c>
      <c r="H2349" s="1">
        <v>41955</v>
      </c>
      <c r="I2349" s="1">
        <v>41959</v>
      </c>
      <c r="J2349" t="s">
        <v>15</v>
      </c>
      <c r="K2349">
        <v>5</v>
      </c>
      <c r="L2349">
        <v>0</v>
      </c>
      <c r="M2349" t="s">
        <v>52</v>
      </c>
      <c r="N2349">
        <v>1.5</v>
      </c>
    </row>
    <row r="2350" hidden="1" spans="1:14">
      <c r="A2350">
        <v>4521</v>
      </c>
      <c r="C2350" t="s">
        <v>415</v>
      </c>
      <c r="E2350">
        <v>10.7366</v>
      </c>
      <c r="F2350">
        <v>43.0645</v>
      </c>
      <c r="G2350">
        <v>1332.63</v>
      </c>
      <c r="H2350" s="1">
        <v>42988</v>
      </c>
      <c r="I2350" s="1">
        <v>42992</v>
      </c>
      <c r="J2350" t="s">
        <v>15</v>
      </c>
      <c r="K2350">
        <v>6</v>
      </c>
      <c r="L2350">
        <v>0</v>
      </c>
      <c r="M2350" t="s">
        <v>52</v>
      </c>
      <c r="N2350">
        <v>1.5</v>
      </c>
    </row>
    <row r="2351" hidden="1" spans="1:14">
      <c r="A2351">
        <v>4551</v>
      </c>
      <c r="C2351" t="s">
        <v>415</v>
      </c>
      <c r="E2351">
        <v>10.5881</v>
      </c>
      <c r="F2351">
        <v>45.457</v>
      </c>
      <c r="G2351">
        <v>27560.36</v>
      </c>
      <c r="H2351" s="1">
        <v>43081</v>
      </c>
      <c r="I2351" s="1">
        <v>43082</v>
      </c>
      <c r="J2351" t="s">
        <v>15</v>
      </c>
      <c r="K2351">
        <v>0</v>
      </c>
      <c r="L2351">
        <v>1000</v>
      </c>
      <c r="M2351" t="s">
        <v>49</v>
      </c>
      <c r="N2351">
        <v>1.5</v>
      </c>
    </row>
    <row r="2352" hidden="1" spans="1:14">
      <c r="A2352">
        <v>4699</v>
      </c>
      <c r="C2352" t="s">
        <v>415</v>
      </c>
      <c r="D2352" t="s">
        <v>565</v>
      </c>
      <c r="E2352">
        <v>12.0233</v>
      </c>
      <c r="F2352">
        <v>45.5062</v>
      </c>
      <c r="G2352">
        <v>56625.41</v>
      </c>
      <c r="H2352" s="1">
        <v>43400</v>
      </c>
      <c r="I2352" s="1">
        <v>43409</v>
      </c>
      <c r="J2352" t="s">
        <v>56</v>
      </c>
      <c r="K2352">
        <v>11</v>
      </c>
      <c r="L2352">
        <v>0</v>
      </c>
      <c r="M2352" t="s">
        <v>49</v>
      </c>
      <c r="N2352">
        <v>1</v>
      </c>
    </row>
    <row r="2353" hidden="1" spans="1:14">
      <c r="A2353">
        <v>4701</v>
      </c>
      <c r="C2353" t="s">
        <v>415</v>
      </c>
      <c r="E2353">
        <v>14.0522</v>
      </c>
      <c r="F2353">
        <v>37.4589</v>
      </c>
      <c r="G2353">
        <v>21688.55</v>
      </c>
      <c r="H2353" s="1">
        <v>43407</v>
      </c>
      <c r="I2353" s="1">
        <v>43411</v>
      </c>
      <c r="J2353" t="s">
        <v>56</v>
      </c>
      <c r="K2353">
        <v>12</v>
      </c>
      <c r="L2353">
        <v>200</v>
      </c>
      <c r="M2353" t="s">
        <v>52</v>
      </c>
      <c r="N2353">
        <v>1.5</v>
      </c>
    </row>
    <row r="2354" hidden="1" spans="1:14">
      <c r="A2354">
        <v>4749</v>
      </c>
      <c r="C2354" t="s">
        <v>415</v>
      </c>
      <c r="E2354">
        <v>12.5429</v>
      </c>
      <c r="F2354">
        <v>43.7947</v>
      </c>
      <c r="G2354">
        <v>22050.47</v>
      </c>
      <c r="H2354" s="1">
        <v>43597</v>
      </c>
      <c r="I2354" s="1">
        <v>43599</v>
      </c>
      <c r="J2354" t="s">
        <v>56</v>
      </c>
      <c r="K2354">
        <v>0</v>
      </c>
      <c r="L2354">
        <v>20</v>
      </c>
      <c r="M2354" t="s">
        <v>49</v>
      </c>
      <c r="N2354">
        <v>1</v>
      </c>
    </row>
    <row r="2355" hidden="1" spans="1:14">
      <c r="A2355">
        <v>4780</v>
      </c>
      <c r="C2355" t="s">
        <v>415</v>
      </c>
      <c r="E2355">
        <v>10.118</v>
      </c>
      <c r="F2355">
        <v>45.9656</v>
      </c>
      <c r="G2355">
        <v>14811.34</v>
      </c>
      <c r="H2355" s="1">
        <v>43683</v>
      </c>
      <c r="I2355" s="1">
        <v>43686</v>
      </c>
      <c r="J2355" t="s">
        <v>56</v>
      </c>
      <c r="K2355">
        <v>0</v>
      </c>
      <c r="L2355">
        <v>146</v>
      </c>
      <c r="M2355" t="s">
        <v>52</v>
      </c>
      <c r="N2355">
        <v>1</v>
      </c>
    </row>
    <row r="2356" hidden="1" spans="1:14">
      <c r="A2356">
        <v>4944</v>
      </c>
      <c r="C2356" t="s">
        <v>415</v>
      </c>
      <c r="E2356">
        <v>13.7677</v>
      </c>
      <c r="F2356">
        <v>37.8936</v>
      </c>
      <c r="G2356">
        <v>3124.91</v>
      </c>
      <c r="H2356" s="1">
        <v>44026</v>
      </c>
      <c r="I2356" s="1">
        <v>44029</v>
      </c>
      <c r="J2356" t="s">
        <v>56</v>
      </c>
      <c r="K2356">
        <v>0</v>
      </c>
      <c r="L2356">
        <v>0</v>
      </c>
      <c r="M2356" t="s">
        <v>52</v>
      </c>
      <c r="N2356">
        <v>1.5</v>
      </c>
    </row>
    <row r="2357" hidden="1" spans="1:14">
      <c r="A2357">
        <v>4984</v>
      </c>
      <c r="C2357" t="s">
        <v>415</v>
      </c>
      <c r="E2357">
        <v>16.4523</v>
      </c>
      <c r="F2357">
        <v>38.8594</v>
      </c>
      <c r="G2357">
        <v>17347.39</v>
      </c>
      <c r="H2357" s="1">
        <v>44155</v>
      </c>
      <c r="I2357" s="1">
        <v>44158</v>
      </c>
      <c r="J2357" t="s">
        <v>56</v>
      </c>
      <c r="K2357">
        <v>0</v>
      </c>
      <c r="L2357">
        <v>200</v>
      </c>
      <c r="M2357" t="s">
        <v>52</v>
      </c>
      <c r="N2357">
        <v>1.5</v>
      </c>
    </row>
    <row r="2358" hidden="1" spans="1:14">
      <c r="A2358">
        <v>5131</v>
      </c>
      <c r="C2358" t="s">
        <v>415</v>
      </c>
      <c r="E2358">
        <v>9.3757</v>
      </c>
      <c r="F2358">
        <v>44.6393</v>
      </c>
      <c r="G2358">
        <v>10408.23</v>
      </c>
      <c r="H2358" s="1">
        <v>44473</v>
      </c>
      <c r="I2358" s="1">
        <v>44475</v>
      </c>
      <c r="J2358" t="s">
        <v>56</v>
      </c>
      <c r="K2358">
        <v>0</v>
      </c>
      <c r="L2358">
        <v>0</v>
      </c>
      <c r="M2358" t="s">
        <v>52</v>
      </c>
      <c r="N2358">
        <v>1.5</v>
      </c>
    </row>
    <row r="2359" hidden="1" spans="1:14">
      <c r="A2359">
        <v>3829</v>
      </c>
      <c r="C2359" t="s">
        <v>433</v>
      </c>
      <c r="E2359">
        <v>-3.23691</v>
      </c>
      <c r="F2359">
        <v>5.96536</v>
      </c>
      <c r="G2359">
        <v>14448.97</v>
      </c>
      <c r="H2359" s="1">
        <v>40709</v>
      </c>
      <c r="I2359" s="1">
        <v>40715</v>
      </c>
      <c r="J2359" t="s">
        <v>15</v>
      </c>
      <c r="K2359">
        <v>0</v>
      </c>
      <c r="L2359">
        <v>500</v>
      </c>
      <c r="M2359" t="s">
        <v>49</v>
      </c>
      <c r="N2359">
        <v>1</v>
      </c>
    </row>
    <row r="2360" hidden="1" spans="1:14">
      <c r="A2360">
        <v>4650</v>
      </c>
      <c r="C2360" t="s">
        <v>433</v>
      </c>
      <c r="E2360">
        <v>-4.23322</v>
      </c>
      <c r="F2360">
        <v>6.11834</v>
      </c>
      <c r="G2360">
        <v>58302.36</v>
      </c>
      <c r="H2360" s="1">
        <v>43294</v>
      </c>
      <c r="I2360" s="1">
        <v>43298</v>
      </c>
      <c r="J2360" t="s">
        <v>56</v>
      </c>
      <c r="K2360">
        <v>2</v>
      </c>
      <c r="L2360">
        <v>200</v>
      </c>
      <c r="M2360" t="s">
        <v>52</v>
      </c>
      <c r="N2360">
        <v>1.5</v>
      </c>
    </row>
    <row r="2361" hidden="1" spans="1:14">
      <c r="A2361">
        <v>4804</v>
      </c>
      <c r="C2361" t="s">
        <v>433</v>
      </c>
      <c r="E2361">
        <v>-4.01053</v>
      </c>
      <c r="F2361">
        <v>5.82018</v>
      </c>
      <c r="G2361">
        <v>34664.28</v>
      </c>
      <c r="H2361" s="1">
        <v>43742</v>
      </c>
      <c r="I2361" s="1">
        <v>43750</v>
      </c>
      <c r="J2361" t="s">
        <v>56</v>
      </c>
      <c r="K2361">
        <v>2</v>
      </c>
      <c r="L2361">
        <v>120</v>
      </c>
      <c r="M2361" t="s">
        <v>49</v>
      </c>
      <c r="N2361">
        <v>1.5</v>
      </c>
    </row>
    <row r="2362" hidden="1" spans="1:14">
      <c r="A2362">
        <v>1750</v>
      </c>
      <c r="B2362">
        <v>0</v>
      </c>
      <c r="C2362" t="s">
        <v>566</v>
      </c>
      <c r="D2362">
        <v>0</v>
      </c>
      <c r="E2362">
        <v>-4.04727</v>
      </c>
      <c r="F2362">
        <v>5.36056</v>
      </c>
      <c r="G2362">
        <v>1828.17</v>
      </c>
      <c r="H2362" s="1">
        <v>37083</v>
      </c>
      <c r="I2362" s="1">
        <v>37083</v>
      </c>
      <c r="J2362" t="s">
        <v>15</v>
      </c>
      <c r="K2362">
        <v>2</v>
      </c>
      <c r="L2362">
        <v>0</v>
      </c>
      <c r="M2362" t="s">
        <v>16</v>
      </c>
      <c r="N2362">
        <v>1</v>
      </c>
    </row>
    <row r="2363" hidden="1" spans="1:14">
      <c r="A2363">
        <v>66</v>
      </c>
      <c r="B2363">
        <v>0</v>
      </c>
      <c r="C2363" t="s">
        <v>567</v>
      </c>
      <c r="D2363">
        <v>0</v>
      </c>
      <c r="E2363">
        <v>-77.2692</v>
      </c>
      <c r="F2363">
        <v>17.9531</v>
      </c>
      <c r="G2363">
        <v>3961.15</v>
      </c>
      <c r="H2363" s="1">
        <v>31370</v>
      </c>
      <c r="I2363" s="1">
        <v>31373</v>
      </c>
      <c r="J2363" t="s">
        <v>15</v>
      </c>
      <c r="K2363">
        <v>7</v>
      </c>
      <c r="L2363">
        <v>0</v>
      </c>
      <c r="M2363" t="s">
        <v>86</v>
      </c>
      <c r="N2363">
        <v>1</v>
      </c>
    </row>
    <row r="2364" hidden="1" spans="1:14">
      <c r="A2364">
        <v>85</v>
      </c>
      <c r="B2364">
        <v>0</v>
      </c>
      <c r="C2364" t="s">
        <v>567</v>
      </c>
      <c r="E2364">
        <v>-76.2478</v>
      </c>
      <c r="F2364">
        <v>20.8066</v>
      </c>
      <c r="G2364">
        <v>81780.3</v>
      </c>
      <c r="H2364" s="1">
        <v>31567</v>
      </c>
      <c r="I2364" s="1">
        <v>31578</v>
      </c>
      <c r="J2364" t="s">
        <v>15</v>
      </c>
      <c r="K2364">
        <v>94</v>
      </c>
      <c r="L2364">
        <v>11860</v>
      </c>
      <c r="M2364" t="s">
        <v>16</v>
      </c>
      <c r="N2364">
        <v>1</v>
      </c>
    </row>
    <row r="2365" hidden="1" spans="1:14">
      <c r="A2365">
        <v>514</v>
      </c>
      <c r="B2365">
        <v>0</v>
      </c>
      <c r="C2365" t="s">
        <v>567</v>
      </c>
      <c r="D2365">
        <v>0</v>
      </c>
      <c r="E2365">
        <v>-77.2969</v>
      </c>
      <c r="F2365">
        <v>18.1334</v>
      </c>
      <c r="G2365">
        <v>7557.24</v>
      </c>
      <c r="H2365" s="1">
        <v>33379</v>
      </c>
      <c r="I2365" s="1">
        <v>33381</v>
      </c>
      <c r="J2365" t="s">
        <v>15</v>
      </c>
      <c r="K2365">
        <v>15</v>
      </c>
      <c r="L2365">
        <v>320000</v>
      </c>
      <c r="M2365" t="s">
        <v>64</v>
      </c>
      <c r="N2365">
        <v>1</v>
      </c>
    </row>
    <row r="2366" hidden="1" spans="1:14">
      <c r="A2366">
        <v>918</v>
      </c>
      <c r="B2366">
        <v>0</v>
      </c>
      <c r="C2366" t="s">
        <v>567</v>
      </c>
      <c r="D2366">
        <v>0</v>
      </c>
      <c r="E2366">
        <v>-77.272</v>
      </c>
      <c r="F2366">
        <v>18.12</v>
      </c>
      <c r="G2366">
        <v>11114.13</v>
      </c>
      <c r="H2366" s="1">
        <v>34644</v>
      </c>
      <c r="I2366" s="1">
        <v>34652</v>
      </c>
      <c r="J2366" t="s">
        <v>15</v>
      </c>
      <c r="K2366">
        <v>4</v>
      </c>
      <c r="L2366">
        <v>0</v>
      </c>
      <c r="M2366" t="s">
        <v>86</v>
      </c>
      <c r="N2366">
        <v>1</v>
      </c>
    </row>
    <row r="2367" hidden="1" spans="1:14">
      <c r="A2367">
        <v>1948</v>
      </c>
      <c r="B2367">
        <v>0</v>
      </c>
      <c r="C2367" t="s">
        <v>567</v>
      </c>
      <c r="D2367">
        <v>0</v>
      </c>
      <c r="E2367">
        <v>-77.2006</v>
      </c>
      <c r="F2367">
        <v>17.9643</v>
      </c>
      <c r="G2367">
        <v>3012.07</v>
      </c>
      <c r="H2367" s="1">
        <v>37419</v>
      </c>
      <c r="I2367" s="1">
        <v>37423</v>
      </c>
      <c r="J2367" t="s">
        <v>15</v>
      </c>
      <c r="K2367">
        <v>7</v>
      </c>
      <c r="L2367">
        <v>400</v>
      </c>
      <c r="M2367" t="s">
        <v>16</v>
      </c>
      <c r="N2367">
        <v>1</v>
      </c>
    </row>
    <row r="2368" hidden="1" spans="1:14">
      <c r="A2368">
        <v>2562</v>
      </c>
      <c r="B2368">
        <v>0</v>
      </c>
      <c r="C2368" t="s">
        <v>567</v>
      </c>
      <c r="D2368" t="s">
        <v>128</v>
      </c>
      <c r="E2368">
        <v>-83.2347</v>
      </c>
      <c r="F2368">
        <v>34.6172</v>
      </c>
      <c r="G2368">
        <v>363510.71</v>
      </c>
      <c r="H2368" s="1">
        <v>38238</v>
      </c>
      <c r="I2368" s="1">
        <v>38251</v>
      </c>
      <c r="J2368" t="s">
        <v>15</v>
      </c>
      <c r="K2368">
        <v>100</v>
      </c>
      <c r="L2368">
        <v>20000</v>
      </c>
      <c r="M2368" t="s">
        <v>86</v>
      </c>
      <c r="N2368">
        <v>2</v>
      </c>
    </row>
    <row r="2369" hidden="1" spans="1:14">
      <c r="A2369">
        <v>2753</v>
      </c>
      <c r="B2369">
        <v>0</v>
      </c>
      <c r="C2369" t="s">
        <v>567</v>
      </c>
      <c r="D2369" t="s">
        <v>364</v>
      </c>
      <c r="E2369">
        <v>-83.3284</v>
      </c>
      <c r="F2369">
        <v>22.4834</v>
      </c>
      <c r="G2369">
        <v>47853.29</v>
      </c>
      <c r="H2369" s="1">
        <v>38644</v>
      </c>
      <c r="I2369" s="1">
        <v>38650</v>
      </c>
      <c r="J2369" t="s">
        <v>15</v>
      </c>
      <c r="K2369">
        <v>24</v>
      </c>
      <c r="L2369">
        <v>100000</v>
      </c>
      <c r="M2369" t="s">
        <v>86</v>
      </c>
      <c r="N2369">
        <v>1</v>
      </c>
    </row>
    <row r="2370" hidden="1" spans="1:14">
      <c r="A2370">
        <v>2765</v>
      </c>
      <c r="B2370">
        <v>0</v>
      </c>
      <c r="C2370" t="s">
        <v>567</v>
      </c>
      <c r="D2370">
        <v>0</v>
      </c>
      <c r="E2370">
        <v>-76.937</v>
      </c>
      <c r="F2370">
        <v>18.1724</v>
      </c>
      <c r="G2370">
        <v>761.612</v>
      </c>
      <c r="H2370" s="1">
        <v>38671</v>
      </c>
      <c r="I2370" s="1">
        <v>38673</v>
      </c>
      <c r="J2370" t="s">
        <v>15</v>
      </c>
      <c r="K2370">
        <v>3</v>
      </c>
      <c r="L2370">
        <v>0</v>
      </c>
      <c r="M2370" t="s">
        <v>16</v>
      </c>
      <c r="N2370">
        <v>1</v>
      </c>
    </row>
    <row r="2371" hidden="1" spans="1:14">
      <c r="A2371">
        <v>3725</v>
      </c>
      <c r="B2371">
        <v>0</v>
      </c>
      <c r="C2371" t="s">
        <v>567</v>
      </c>
      <c r="D2371">
        <v>0</v>
      </c>
      <c r="E2371">
        <v>-77.2932</v>
      </c>
      <c r="F2371">
        <v>18.1978</v>
      </c>
      <c r="G2371">
        <v>6786.59</v>
      </c>
      <c r="H2371" s="1">
        <v>40441</v>
      </c>
      <c r="I2371" s="1">
        <v>40451</v>
      </c>
      <c r="J2371" t="s">
        <v>15</v>
      </c>
      <c r="K2371">
        <v>5</v>
      </c>
      <c r="L2371">
        <v>0</v>
      </c>
      <c r="M2371" t="s">
        <v>568</v>
      </c>
      <c r="N2371">
        <v>1.5</v>
      </c>
    </row>
    <row r="2372" hidden="1" spans="1:14">
      <c r="A2372">
        <v>158</v>
      </c>
      <c r="B2372">
        <v>0</v>
      </c>
      <c r="C2372" t="s">
        <v>569</v>
      </c>
      <c r="D2372">
        <v>0</v>
      </c>
      <c r="E2372">
        <v>-76.9826</v>
      </c>
      <c r="F2372">
        <v>18.0492</v>
      </c>
      <c r="G2372">
        <v>4628.65</v>
      </c>
      <c r="H2372" s="1">
        <v>32080</v>
      </c>
      <c r="I2372" s="1">
        <v>32082</v>
      </c>
      <c r="J2372" t="s">
        <v>15</v>
      </c>
      <c r="K2372">
        <v>4</v>
      </c>
      <c r="L2372">
        <v>1000</v>
      </c>
      <c r="M2372" t="s">
        <v>86</v>
      </c>
      <c r="N2372">
        <v>1</v>
      </c>
    </row>
    <row r="2373" hidden="1" spans="1:14">
      <c r="A2373">
        <v>741</v>
      </c>
      <c r="B2373">
        <v>0</v>
      </c>
      <c r="C2373" t="s">
        <v>569</v>
      </c>
      <c r="D2373">
        <v>0</v>
      </c>
      <c r="E2373">
        <v>-77.3418</v>
      </c>
      <c r="F2373">
        <v>18.0135</v>
      </c>
      <c r="G2373">
        <v>3211.86</v>
      </c>
      <c r="H2373" s="1">
        <v>34108</v>
      </c>
      <c r="I2373" s="1">
        <v>34121</v>
      </c>
      <c r="J2373" t="s">
        <v>15</v>
      </c>
      <c r="K2373">
        <v>8</v>
      </c>
      <c r="L2373">
        <v>1600</v>
      </c>
      <c r="M2373" t="s">
        <v>16</v>
      </c>
      <c r="N2373">
        <v>1</v>
      </c>
    </row>
    <row r="2374" hidden="1" spans="1:14">
      <c r="A2374">
        <v>47</v>
      </c>
      <c r="B2374">
        <v>0</v>
      </c>
      <c r="C2374" t="s">
        <v>570</v>
      </c>
      <c r="D2374">
        <v>0</v>
      </c>
      <c r="E2374">
        <v>142.796</v>
      </c>
      <c r="F2374">
        <v>43.4577</v>
      </c>
      <c r="G2374">
        <v>79043.09</v>
      </c>
      <c r="H2374" s="1">
        <v>31291</v>
      </c>
      <c r="I2374" s="1">
        <v>31292</v>
      </c>
      <c r="J2374" t="s">
        <v>15</v>
      </c>
      <c r="K2374">
        <v>11</v>
      </c>
      <c r="L2374">
        <v>1200</v>
      </c>
      <c r="M2374" t="s">
        <v>86</v>
      </c>
      <c r="N2374">
        <v>1</v>
      </c>
    </row>
    <row r="2375" hidden="1" spans="1:14">
      <c r="A2375">
        <v>96</v>
      </c>
      <c r="B2375">
        <v>0</v>
      </c>
      <c r="C2375" t="s">
        <v>570</v>
      </c>
      <c r="D2375">
        <v>0</v>
      </c>
      <c r="E2375">
        <v>140.195</v>
      </c>
      <c r="F2375">
        <v>35.9088</v>
      </c>
      <c r="G2375">
        <v>16928.71</v>
      </c>
      <c r="H2375" s="1">
        <v>31629</v>
      </c>
      <c r="I2375" s="1">
        <v>31632</v>
      </c>
      <c r="J2375" t="s">
        <v>15</v>
      </c>
      <c r="K2375">
        <v>17</v>
      </c>
      <c r="L2375">
        <v>3000</v>
      </c>
      <c r="M2375" t="s">
        <v>86</v>
      </c>
      <c r="N2375">
        <v>1</v>
      </c>
    </row>
    <row r="2376" hidden="1" spans="1:14">
      <c r="A2376">
        <v>155</v>
      </c>
      <c r="B2376">
        <v>0</v>
      </c>
      <c r="C2376" t="s">
        <v>570</v>
      </c>
      <c r="D2376">
        <v>0</v>
      </c>
      <c r="E2376">
        <v>133.687</v>
      </c>
      <c r="F2376">
        <v>34.973</v>
      </c>
      <c r="G2376">
        <v>49936.77</v>
      </c>
      <c r="H2376" s="1">
        <v>32066</v>
      </c>
      <c r="I2376" s="1">
        <v>32067</v>
      </c>
      <c r="J2376" t="s">
        <v>15</v>
      </c>
      <c r="K2376">
        <v>8</v>
      </c>
      <c r="L2376">
        <v>3000</v>
      </c>
      <c r="M2376" t="s">
        <v>86</v>
      </c>
      <c r="N2376">
        <v>1</v>
      </c>
    </row>
    <row r="2377" hidden="1" spans="1:14">
      <c r="A2377">
        <v>357</v>
      </c>
      <c r="B2377">
        <v>0</v>
      </c>
      <c r="C2377" t="s">
        <v>570</v>
      </c>
      <c r="D2377">
        <v>0</v>
      </c>
      <c r="E2377">
        <v>139.821</v>
      </c>
      <c r="F2377">
        <v>35.6705</v>
      </c>
      <c r="G2377">
        <v>31703.96</v>
      </c>
      <c r="H2377" s="1">
        <v>32745</v>
      </c>
      <c r="I2377" s="1">
        <v>32748</v>
      </c>
      <c r="J2377" t="s">
        <v>15</v>
      </c>
      <c r="K2377">
        <v>5</v>
      </c>
      <c r="L2377">
        <v>6400</v>
      </c>
      <c r="M2377" t="s">
        <v>16</v>
      </c>
      <c r="N2377">
        <v>1</v>
      </c>
    </row>
    <row r="2378" hidden="1" spans="1:14">
      <c r="A2378">
        <v>359</v>
      </c>
      <c r="B2378">
        <v>0</v>
      </c>
      <c r="C2378" t="s">
        <v>570</v>
      </c>
      <c r="D2378">
        <v>0</v>
      </c>
      <c r="E2378">
        <v>130.676</v>
      </c>
      <c r="F2378">
        <v>32.7453</v>
      </c>
      <c r="G2378">
        <v>10377.08</v>
      </c>
      <c r="H2378" s="1">
        <v>32753</v>
      </c>
      <c r="I2378" s="1">
        <v>32756</v>
      </c>
      <c r="J2378" t="s">
        <v>15</v>
      </c>
      <c r="K2378">
        <v>7</v>
      </c>
      <c r="L2378">
        <v>18000</v>
      </c>
      <c r="M2378" t="s">
        <v>16</v>
      </c>
      <c r="N2378">
        <v>1</v>
      </c>
    </row>
    <row r="2379" hidden="1" spans="1:14">
      <c r="A2379">
        <v>429</v>
      </c>
      <c r="B2379">
        <v>0</v>
      </c>
      <c r="C2379" t="s">
        <v>570</v>
      </c>
      <c r="D2379">
        <v>0</v>
      </c>
      <c r="E2379">
        <v>130.773</v>
      </c>
      <c r="F2379">
        <v>32.4559</v>
      </c>
      <c r="G2379">
        <v>37533.03</v>
      </c>
      <c r="H2379" s="1">
        <v>33053</v>
      </c>
      <c r="I2379" s="1">
        <v>33057</v>
      </c>
      <c r="J2379" t="s">
        <v>15</v>
      </c>
      <c r="K2379">
        <v>24</v>
      </c>
      <c r="L2379">
        <v>832</v>
      </c>
      <c r="M2379" t="s">
        <v>16</v>
      </c>
      <c r="N2379">
        <v>1</v>
      </c>
    </row>
    <row r="2380" hidden="1" spans="1:14">
      <c r="A2380">
        <v>446</v>
      </c>
      <c r="B2380">
        <v>0</v>
      </c>
      <c r="C2380" t="s">
        <v>570</v>
      </c>
      <c r="D2380">
        <v>0</v>
      </c>
      <c r="E2380">
        <v>139.907</v>
      </c>
      <c r="F2380">
        <v>36.8383</v>
      </c>
      <c r="G2380">
        <v>9575.42</v>
      </c>
      <c r="H2380" s="1">
        <v>33095</v>
      </c>
      <c r="I2380" s="1">
        <v>33096</v>
      </c>
      <c r="J2380" t="s">
        <v>15</v>
      </c>
      <c r="K2380">
        <v>0</v>
      </c>
      <c r="L2380">
        <v>0</v>
      </c>
      <c r="M2380" t="s">
        <v>104</v>
      </c>
      <c r="N2380">
        <v>1</v>
      </c>
    </row>
    <row r="2381" hidden="1" spans="1:14">
      <c r="A2381">
        <v>451</v>
      </c>
      <c r="B2381">
        <v>0</v>
      </c>
      <c r="C2381" t="s">
        <v>570</v>
      </c>
      <c r="D2381">
        <v>0</v>
      </c>
      <c r="E2381">
        <v>133.167</v>
      </c>
      <c r="F2381">
        <v>34.2143</v>
      </c>
      <c r="G2381">
        <v>57750.36</v>
      </c>
      <c r="H2381" s="1">
        <v>33107</v>
      </c>
      <c r="I2381" s="1">
        <v>33108</v>
      </c>
      <c r="J2381" t="s">
        <v>15</v>
      </c>
      <c r="K2381">
        <v>2</v>
      </c>
      <c r="L2381">
        <v>0</v>
      </c>
      <c r="M2381" t="s">
        <v>86</v>
      </c>
      <c r="N2381">
        <v>1</v>
      </c>
    </row>
    <row r="2382" hidden="1" spans="1:14">
      <c r="A2382">
        <v>461</v>
      </c>
      <c r="B2382">
        <v>0</v>
      </c>
      <c r="C2382" t="s">
        <v>570</v>
      </c>
      <c r="D2382">
        <v>0</v>
      </c>
      <c r="E2382">
        <v>138.568</v>
      </c>
      <c r="F2382">
        <v>37.1748</v>
      </c>
      <c r="G2382">
        <v>169564.31</v>
      </c>
      <c r="H2382" s="1">
        <v>33133</v>
      </c>
      <c r="I2382" s="1">
        <v>33136</v>
      </c>
      <c r="J2382" t="s">
        <v>15</v>
      </c>
      <c r="K2382">
        <v>38</v>
      </c>
      <c r="L2382">
        <v>60000</v>
      </c>
      <c r="M2382" t="s">
        <v>104</v>
      </c>
      <c r="N2382">
        <v>2</v>
      </c>
    </row>
    <row r="2383" hidden="1" spans="1:14">
      <c r="A2383">
        <v>479</v>
      </c>
      <c r="B2383">
        <v>0</v>
      </c>
      <c r="C2383" t="s">
        <v>570</v>
      </c>
      <c r="D2383">
        <v>0</v>
      </c>
      <c r="E2383">
        <v>140.54</v>
      </c>
      <c r="F2383">
        <v>39.3702</v>
      </c>
      <c r="G2383">
        <v>118232.02</v>
      </c>
      <c r="H2383" s="1">
        <v>33182</v>
      </c>
      <c r="I2383" s="1">
        <v>33183</v>
      </c>
      <c r="J2383" t="s">
        <v>15</v>
      </c>
      <c r="K2383">
        <v>11</v>
      </c>
      <c r="L2383">
        <v>0</v>
      </c>
      <c r="M2383" t="s">
        <v>16</v>
      </c>
      <c r="N2383">
        <v>1</v>
      </c>
    </row>
    <row r="2384" hidden="1" spans="1:14">
      <c r="A2384">
        <v>575</v>
      </c>
      <c r="B2384">
        <v>0</v>
      </c>
      <c r="C2384" t="s">
        <v>570</v>
      </c>
      <c r="D2384">
        <v>0</v>
      </c>
      <c r="E2384">
        <v>129.159</v>
      </c>
      <c r="F2384">
        <v>36.2232</v>
      </c>
      <c r="G2384">
        <v>29698.24</v>
      </c>
      <c r="H2384" s="1">
        <v>33470</v>
      </c>
      <c r="I2384" s="1">
        <v>33474</v>
      </c>
      <c r="J2384" t="s">
        <v>15</v>
      </c>
      <c r="K2384">
        <v>99</v>
      </c>
      <c r="L2384">
        <v>40000</v>
      </c>
      <c r="M2384" t="s">
        <v>104</v>
      </c>
      <c r="N2384">
        <v>1</v>
      </c>
    </row>
    <row r="2385" hidden="1" spans="1:14">
      <c r="A2385">
        <v>582</v>
      </c>
      <c r="B2385">
        <v>0</v>
      </c>
      <c r="C2385" t="s">
        <v>570</v>
      </c>
      <c r="D2385">
        <v>0</v>
      </c>
      <c r="E2385">
        <v>132.749</v>
      </c>
      <c r="F2385">
        <v>34.2247</v>
      </c>
      <c r="G2385">
        <v>152031.79</v>
      </c>
      <c r="H2385" s="1">
        <v>33491</v>
      </c>
      <c r="I2385" s="1">
        <v>33495</v>
      </c>
      <c r="J2385" t="s">
        <v>15</v>
      </c>
      <c r="K2385">
        <v>9</v>
      </c>
      <c r="L2385">
        <v>80</v>
      </c>
      <c r="M2385" t="s">
        <v>104</v>
      </c>
      <c r="N2385">
        <v>1</v>
      </c>
    </row>
    <row r="2386" hidden="1" spans="1:14">
      <c r="A2386">
        <v>587</v>
      </c>
      <c r="B2386">
        <v>0</v>
      </c>
      <c r="C2386" t="s">
        <v>570</v>
      </c>
      <c r="D2386">
        <v>0</v>
      </c>
      <c r="E2386">
        <v>138.423</v>
      </c>
      <c r="F2386">
        <v>35.1282</v>
      </c>
      <c r="G2386">
        <v>52826.71</v>
      </c>
      <c r="H2386" s="1">
        <v>33500</v>
      </c>
      <c r="I2386" s="1">
        <v>33503</v>
      </c>
      <c r="J2386" t="s">
        <v>15</v>
      </c>
      <c r="K2386">
        <v>8</v>
      </c>
      <c r="L2386">
        <v>200</v>
      </c>
      <c r="M2386" t="s">
        <v>104</v>
      </c>
      <c r="N2386">
        <v>1</v>
      </c>
    </row>
    <row r="2387" hidden="1" spans="1:14">
      <c r="A2387">
        <v>589</v>
      </c>
      <c r="B2387">
        <v>0</v>
      </c>
      <c r="C2387" t="s">
        <v>570</v>
      </c>
      <c r="D2387">
        <v>0</v>
      </c>
      <c r="E2387">
        <v>142.664</v>
      </c>
      <c r="F2387">
        <v>43.4418</v>
      </c>
      <c r="G2387">
        <v>141715.15</v>
      </c>
      <c r="H2387" s="1">
        <v>33508</v>
      </c>
      <c r="I2387" s="1">
        <v>33511</v>
      </c>
      <c r="J2387" t="s">
        <v>15</v>
      </c>
      <c r="K2387">
        <v>52</v>
      </c>
      <c r="L2387">
        <v>500</v>
      </c>
      <c r="M2387" t="s">
        <v>104</v>
      </c>
      <c r="N2387">
        <v>1</v>
      </c>
    </row>
    <row r="2388" hidden="1" spans="1:14">
      <c r="A2388">
        <v>594</v>
      </c>
      <c r="B2388">
        <v>0</v>
      </c>
      <c r="C2388" t="s">
        <v>570</v>
      </c>
      <c r="D2388">
        <v>0</v>
      </c>
      <c r="E2388">
        <v>140.229</v>
      </c>
      <c r="F2388">
        <v>35.3241</v>
      </c>
      <c r="G2388">
        <v>29059.21</v>
      </c>
      <c r="H2388" s="1">
        <v>33523</v>
      </c>
      <c r="I2388" s="1">
        <v>33524</v>
      </c>
      <c r="J2388" t="s">
        <v>15</v>
      </c>
      <c r="K2388">
        <v>0</v>
      </c>
      <c r="L2388">
        <v>100</v>
      </c>
      <c r="M2388" t="s">
        <v>104</v>
      </c>
      <c r="N2388">
        <v>1</v>
      </c>
    </row>
    <row r="2389" hidden="1" spans="1:14">
      <c r="A2389">
        <v>764</v>
      </c>
      <c r="B2389">
        <v>0</v>
      </c>
      <c r="C2389" t="s">
        <v>570</v>
      </c>
      <c r="D2389">
        <v>0</v>
      </c>
      <c r="E2389">
        <v>131.074</v>
      </c>
      <c r="F2389">
        <v>32.2114</v>
      </c>
      <c r="G2389">
        <v>20754.86</v>
      </c>
      <c r="H2389" s="1">
        <v>34178</v>
      </c>
      <c r="I2389" s="1">
        <v>34188</v>
      </c>
      <c r="J2389" t="s">
        <v>15</v>
      </c>
      <c r="K2389">
        <v>73</v>
      </c>
      <c r="L2389">
        <v>5000</v>
      </c>
      <c r="M2389" t="s">
        <v>16</v>
      </c>
      <c r="N2389">
        <v>1</v>
      </c>
    </row>
    <row r="2390" hidden="1" spans="1:14">
      <c r="A2390">
        <v>774</v>
      </c>
      <c r="B2390">
        <v>0</v>
      </c>
      <c r="C2390" t="s">
        <v>570</v>
      </c>
      <c r="D2390">
        <v>0</v>
      </c>
      <c r="E2390">
        <v>139.686</v>
      </c>
      <c r="F2390">
        <v>35.6512</v>
      </c>
      <c r="G2390">
        <v>2420.58</v>
      </c>
      <c r="H2390" s="1">
        <v>34208</v>
      </c>
      <c r="I2390" s="1">
        <v>34209</v>
      </c>
      <c r="J2390" t="s">
        <v>15</v>
      </c>
      <c r="K2390">
        <v>2</v>
      </c>
      <c r="L2390">
        <v>3000</v>
      </c>
      <c r="M2390" t="s">
        <v>16</v>
      </c>
      <c r="N2390">
        <v>1</v>
      </c>
    </row>
    <row r="2391" hidden="1" spans="1:14">
      <c r="A2391">
        <v>777</v>
      </c>
      <c r="B2391">
        <v>0</v>
      </c>
      <c r="C2391" t="s">
        <v>570</v>
      </c>
      <c r="D2391">
        <v>0</v>
      </c>
      <c r="E2391">
        <v>130.452</v>
      </c>
      <c r="F2391">
        <v>31.5053</v>
      </c>
      <c r="G2391">
        <v>882.229</v>
      </c>
      <c r="H2391" s="1">
        <v>34214</v>
      </c>
      <c r="I2391" s="1">
        <v>34216</v>
      </c>
      <c r="J2391" t="s">
        <v>15</v>
      </c>
      <c r="K2391">
        <v>35</v>
      </c>
      <c r="L2391">
        <v>5000</v>
      </c>
      <c r="M2391" t="s">
        <v>16</v>
      </c>
      <c r="N2391">
        <v>1</v>
      </c>
    </row>
    <row r="2392" hidden="1" spans="1:14">
      <c r="A2392">
        <v>995</v>
      </c>
      <c r="B2392">
        <v>0</v>
      </c>
      <c r="C2392" t="s">
        <v>570</v>
      </c>
      <c r="D2392">
        <v>0</v>
      </c>
      <c r="E2392">
        <v>139.905</v>
      </c>
      <c r="F2392">
        <v>35.2121</v>
      </c>
      <c r="G2392">
        <v>16375.35</v>
      </c>
      <c r="H2392" s="1">
        <v>34957</v>
      </c>
      <c r="I2392" s="1">
        <v>34960</v>
      </c>
      <c r="J2392" t="s">
        <v>15</v>
      </c>
      <c r="K2392">
        <v>3</v>
      </c>
      <c r="L2392">
        <v>500</v>
      </c>
      <c r="M2392" t="s">
        <v>86</v>
      </c>
      <c r="N2392">
        <v>2</v>
      </c>
    </row>
    <row r="2393" hidden="1" spans="1:14">
      <c r="A2393">
        <v>1005</v>
      </c>
      <c r="B2393">
        <v>0</v>
      </c>
      <c r="C2393" t="s">
        <v>570</v>
      </c>
      <c r="D2393">
        <v>0</v>
      </c>
      <c r="E2393">
        <v>134.158</v>
      </c>
      <c r="F2393">
        <v>33.3124</v>
      </c>
      <c r="G2393">
        <v>90343.29</v>
      </c>
      <c r="H2393" s="1">
        <v>34965</v>
      </c>
      <c r="I2393" s="1">
        <v>34966</v>
      </c>
      <c r="J2393" t="s">
        <v>15</v>
      </c>
      <c r="K2393">
        <v>3</v>
      </c>
      <c r="L2393">
        <v>3800</v>
      </c>
      <c r="M2393" t="s">
        <v>86</v>
      </c>
      <c r="N2393">
        <v>1</v>
      </c>
    </row>
    <row r="2394" hidden="1" spans="1:14">
      <c r="A2394">
        <v>1239</v>
      </c>
      <c r="B2394">
        <v>0</v>
      </c>
      <c r="C2394" t="s">
        <v>570</v>
      </c>
      <c r="D2394">
        <v>0</v>
      </c>
      <c r="E2394">
        <v>139.129</v>
      </c>
      <c r="F2394">
        <v>35.3672</v>
      </c>
      <c r="G2394">
        <v>18484.68</v>
      </c>
      <c r="H2394" s="1">
        <v>35599</v>
      </c>
      <c r="I2394" s="1">
        <v>35601</v>
      </c>
      <c r="J2394" t="s">
        <v>15</v>
      </c>
      <c r="K2394">
        <v>3</v>
      </c>
      <c r="L2394">
        <v>0</v>
      </c>
      <c r="M2394" t="s">
        <v>86</v>
      </c>
      <c r="N2394">
        <v>1</v>
      </c>
    </row>
    <row r="2395" hidden="1" spans="1:14">
      <c r="A2395">
        <v>1253</v>
      </c>
      <c r="B2395">
        <v>0</v>
      </c>
      <c r="C2395" t="s">
        <v>570</v>
      </c>
      <c r="D2395">
        <v>0</v>
      </c>
      <c r="E2395">
        <v>135.571</v>
      </c>
      <c r="F2395">
        <v>33.9474</v>
      </c>
      <c r="G2395">
        <v>5933.05</v>
      </c>
      <c r="H2395" s="1">
        <v>35635</v>
      </c>
      <c r="I2395" s="1">
        <v>35638</v>
      </c>
      <c r="J2395" t="s">
        <v>15</v>
      </c>
      <c r="K2395">
        <v>5</v>
      </c>
      <c r="L2395">
        <v>1200</v>
      </c>
      <c r="M2395" t="s">
        <v>86</v>
      </c>
      <c r="N2395">
        <v>1</v>
      </c>
    </row>
    <row r="2396" hidden="1" spans="1:14">
      <c r="A2396">
        <v>1259</v>
      </c>
      <c r="B2396">
        <v>0</v>
      </c>
      <c r="C2396" t="s">
        <v>570</v>
      </c>
      <c r="D2396">
        <v>0</v>
      </c>
      <c r="E2396">
        <v>132.779</v>
      </c>
      <c r="F2396">
        <v>33.2972</v>
      </c>
      <c r="G2396">
        <v>95826.62</v>
      </c>
      <c r="H2396" s="1">
        <v>35619</v>
      </c>
      <c r="I2396" s="1">
        <v>35624</v>
      </c>
      <c r="J2396" t="s">
        <v>15</v>
      </c>
      <c r="K2396">
        <v>26</v>
      </c>
      <c r="L2396">
        <v>200</v>
      </c>
      <c r="M2396" t="s">
        <v>16</v>
      </c>
      <c r="N2396">
        <v>1</v>
      </c>
    </row>
    <row r="2397" hidden="1" spans="1:14">
      <c r="A2397">
        <v>1274</v>
      </c>
      <c r="B2397">
        <v>0</v>
      </c>
      <c r="C2397" t="s">
        <v>570</v>
      </c>
      <c r="D2397">
        <v>0</v>
      </c>
      <c r="E2397">
        <v>130.992</v>
      </c>
      <c r="F2397">
        <v>31.8054</v>
      </c>
      <c r="G2397">
        <v>15277.8</v>
      </c>
      <c r="H2397" s="1">
        <v>35682</v>
      </c>
      <c r="I2397" s="1">
        <v>35687</v>
      </c>
      <c r="J2397" t="s">
        <v>15</v>
      </c>
      <c r="K2397">
        <v>17</v>
      </c>
      <c r="L2397">
        <v>30000</v>
      </c>
      <c r="M2397" t="s">
        <v>86</v>
      </c>
      <c r="N2397">
        <v>1</v>
      </c>
    </row>
    <row r="2398" hidden="1" spans="1:14">
      <c r="A2398">
        <v>1434</v>
      </c>
      <c r="B2398">
        <v>0</v>
      </c>
      <c r="C2398" t="s">
        <v>570</v>
      </c>
      <c r="D2398">
        <v>0</v>
      </c>
      <c r="E2398">
        <v>140.77</v>
      </c>
      <c r="F2398">
        <v>38.6122</v>
      </c>
      <c r="G2398">
        <v>73841.41</v>
      </c>
      <c r="H2398" s="1">
        <v>36035</v>
      </c>
      <c r="I2398" s="1">
        <v>36040</v>
      </c>
      <c r="J2398" t="s">
        <v>15</v>
      </c>
      <c r="K2398">
        <v>21</v>
      </c>
      <c r="L2398">
        <v>2000</v>
      </c>
      <c r="M2398" t="s">
        <v>18</v>
      </c>
      <c r="N2398">
        <v>1</v>
      </c>
    </row>
    <row r="2399" hidden="1" spans="1:14">
      <c r="A2399">
        <v>1451</v>
      </c>
      <c r="B2399">
        <v>0</v>
      </c>
      <c r="C2399" t="s">
        <v>570</v>
      </c>
      <c r="D2399">
        <v>0</v>
      </c>
      <c r="E2399">
        <v>134.163</v>
      </c>
      <c r="F2399">
        <v>33.3288</v>
      </c>
      <c r="G2399">
        <v>9471.48</v>
      </c>
      <c r="H2399" s="1">
        <v>36068</v>
      </c>
      <c r="I2399" s="1">
        <v>36070</v>
      </c>
      <c r="J2399" t="s">
        <v>15</v>
      </c>
      <c r="K2399">
        <v>6</v>
      </c>
      <c r="L2399">
        <v>2200</v>
      </c>
      <c r="M2399" t="s">
        <v>18</v>
      </c>
      <c r="N2399">
        <v>2</v>
      </c>
    </row>
    <row r="2400" hidden="1" spans="1:14">
      <c r="A2400">
        <v>1519</v>
      </c>
      <c r="B2400">
        <v>0</v>
      </c>
      <c r="C2400" t="s">
        <v>570</v>
      </c>
      <c r="D2400">
        <v>0</v>
      </c>
      <c r="E2400">
        <v>133.427</v>
      </c>
      <c r="F2400">
        <v>34.8414</v>
      </c>
      <c r="G2400">
        <v>50659.28</v>
      </c>
      <c r="H2400" s="1">
        <v>36339</v>
      </c>
      <c r="I2400" s="1">
        <v>36341</v>
      </c>
      <c r="J2400" t="s">
        <v>15</v>
      </c>
      <c r="K2400">
        <v>29</v>
      </c>
      <c r="L2400">
        <v>14000</v>
      </c>
      <c r="M2400" t="s">
        <v>16</v>
      </c>
      <c r="N2400">
        <v>1</v>
      </c>
    </row>
    <row r="2401" hidden="1" spans="1:14">
      <c r="A2401">
        <v>1635</v>
      </c>
      <c r="B2401">
        <v>0</v>
      </c>
      <c r="C2401" t="s">
        <v>570</v>
      </c>
      <c r="D2401" t="s">
        <v>571</v>
      </c>
      <c r="E2401">
        <v>137.306</v>
      </c>
      <c r="F2401">
        <v>34.9498</v>
      </c>
      <c r="G2401">
        <v>42969.27</v>
      </c>
      <c r="H2401" s="1">
        <v>36780</v>
      </c>
      <c r="I2401" s="1">
        <v>36786</v>
      </c>
      <c r="J2401" t="s">
        <v>15</v>
      </c>
      <c r="K2401">
        <v>13</v>
      </c>
      <c r="L2401">
        <v>100000</v>
      </c>
      <c r="M2401" t="s">
        <v>86</v>
      </c>
      <c r="N2401">
        <v>1</v>
      </c>
    </row>
    <row r="2402" hidden="1" spans="1:14">
      <c r="A2402">
        <v>1983</v>
      </c>
      <c r="B2402">
        <v>0</v>
      </c>
      <c r="C2402" t="s">
        <v>570</v>
      </c>
      <c r="D2402">
        <v>0</v>
      </c>
      <c r="E2402">
        <v>136.714</v>
      </c>
      <c r="F2402">
        <v>35.3059</v>
      </c>
      <c r="G2402">
        <v>1417.53</v>
      </c>
      <c r="H2402" s="1">
        <v>37446</v>
      </c>
      <c r="I2402" s="1">
        <v>37448</v>
      </c>
      <c r="J2402" t="s">
        <v>15</v>
      </c>
      <c r="K2402">
        <v>1</v>
      </c>
      <c r="L2402">
        <v>10000</v>
      </c>
      <c r="M2402" t="s">
        <v>16</v>
      </c>
      <c r="N2402">
        <v>1</v>
      </c>
    </row>
    <row r="2403" hidden="1" spans="1:14">
      <c r="A2403">
        <v>2283</v>
      </c>
      <c r="B2403">
        <v>0</v>
      </c>
      <c r="C2403" t="s">
        <v>570</v>
      </c>
      <c r="D2403">
        <v>0</v>
      </c>
      <c r="E2403">
        <v>130.746</v>
      </c>
      <c r="F2403">
        <v>32.4792</v>
      </c>
      <c r="G2403">
        <v>8078.29</v>
      </c>
      <c r="H2403" s="1">
        <v>37821</v>
      </c>
      <c r="I2403" s="1">
        <v>37823</v>
      </c>
      <c r="J2403" t="s">
        <v>15</v>
      </c>
      <c r="K2403">
        <v>19</v>
      </c>
      <c r="L2403">
        <v>800</v>
      </c>
      <c r="M2403" t="s">
        <v>16</v>
      </c>
      <c r="N2403">
        <v>1</v>
      </c>
    </row>
    <row r="2404" hidden="1" spans="1:14">
      <c r="A2404">
        <v>2313</v>
      </c>
      <c r="B2404">
        <v>0</v>
      </c>
      <c r="C2404" t="s">
        <v>570</v>
      </c>
      <c r="D2404" t="s">
        <v>275</v>
      </c>
      <c r="E2404">
        <v>143.444</v>
      </c>
      <c r="F2404">
        <v>42.8258</v>
      </c>
      <c r="G2404">
        <v>14325.51</v>
      </c>
      <c r="H2404" s="1">
        <v>37841</v>
      </c>
      <c r="I2404" s="1">
        <v>37844</v>
      </c>
      <c r="J2404" t="s">
        <v>15</v>
      </c>
      <c r="K2404">
        <v>11</v>
      </c>
      <c r="L2404">
        <v>1600</v>
      </c>
      <c r="M2404" t="s">
        <v>103</v>
      </c>
      <c r="N2404">
        <v>1</v>
      </c>
    </row>
    <row r="2405" hidden="1" spans="1:14">
      <c r="A2405">
        <v>2521</v>
      </c>
      <c r="B2405">
        <v>0</v>
      </c>
      <c r="C2405" t="s">
        <v>570</v>
      </c>
      <c r="D2405">
        <v>0</v>
      </c>
      <c r="E2405">
        <v>139.188</v>
      </c>
      <c r="F2405">
        <v>37.6258</v>
      </c>
      <c r="G2405">
        <v>25357.78</v>
      </c>
      <c r="H2405" s="1">
        <v>38181</v>
      </c>
      <c r="I2405" s="1">
        <v>38186</v>
      </c>
      <c r="J2405" t="s">
        <v>15</v>
      </c>
      <c r="K2405">
        <v>18</v>
      </c>
      <c r="L2405">
        <v>5800</v>
      </c>
      <c r="M2405" t="s">
        <v>16</v>
      </c>
      <c r="N2405">
        <v>1</v>
      </c>
    </row>
    <row r="2406" hidden="1" spans="1:14">
      <c r="A2406">
        <v>2538</v>
      </c>
      <c r="B2406">
        <v>0</v>
      </c>
      <c r="C2406" t="s">
        <v>570</v>
      </c>
      <c r="D2406">
        <v>0</v>
      </c>
      <c r="E2406">
        <v>133.5</v>
      </c>
      <c r="F2406">
        <v>33.6343</v>
      </c>
      <c r="G2406">
        <v>13375.18</v>
      </c>
      <c r="H2406" s="1">
        <v>38200</v>
      </c>
      <c r="I2406" s="1">
        <v>38201</v>
      </c>
      <c r="J2406" t="s">
        <v>15</v>
      </c>
      <c r="K2406">
        <v>1</v>
      </c>
      <c r="L2406">
        <v>0</v>
      </c>
      <c r="M2406" t="s">
        <v>16</v>
      </c>
      <c r="N2406">
        <v>1</v>
      </c>
    </row>
    <row r="2407" hidden="1" spans="1:14">
      <c r="A2407">
        <v>2551</v>
      </c>
      <c r="B2407">
        <v>0</v>
      </c>
      <c r="C2407" t="s">
        <v>570</v>
      </c>
      <c r="D2407" t="s">
        <v>571</v>
      </c>
      <c r="E2407">
        <v>133.488</v>
      </c>
      <c r="F2407">
        <v>33.8068</v>
      </c>
      <c r="G2407">
        <v>16535.64</v>
      </c>
      <c r="H2407" s="1">
        <v>38215</v>
      </c>
      <c r="I2407" s="1">
        <v>38218</v>
      </c>
      <c r="J2407" t="s">
        <v>15</v>
      </c>
      <c r="K2407">
        <v>15</v>
      </c>
      <c r="L2407">
        <v>2400</v>
      </c>
      <c r="M2407" t="s">
        <v>86</v>
      </c>
      <c r="N2407">
        <v>1</v>
      </c>
    </row>
    <row r="2408" hidden="1" spans="1:14">
      <c r="A2408">
        <v>2556</v>
      </c>
      <c r="B2408">
        <v>0</v>
      </c>
      <c r="C2408" t="s">
        <v>570</v>
      </c>
      <c r="D2408">
        <v>0</v>
      </c>
      <c r="E2408">
        <v>132.606</v>
      </c>
      <c r="F2408">
        <v>34.7127</v>
      </c>
      <c r="G2408">
        <v>42655.12</v>
      </c>
      <c r="H2408" s="1">
        <v>38229</v>
      </c>
      <c r="I2408" s="1">
        <v>38230</v>
      </c>
      <c r="J2408" t="s">
        <v>15</v>
      </c>
      <c r="K2408">
        <v>13</v>
      </c>
      <c r="L2408">
        <v>5900</v>
      </c>
      <c r="M2408" t="s">
        <v>86</v>
      </c>
      <c r="N2408">
        <v>1</v>
      </c>
    </row>
    <row r="2409" hidden="1" spans="1:14">
      <c r="A2409">
        <v>2569</v>
      </c>
      <c r="B2409">
        <v>0</v>
      </c>
      <c r="C2409" t="s">
        <v>570</v>
      </c>
      <c r="D2409">
        <v>0</v>
      </c>
      <c r="E2409">
        <v>136.368</v>
      </c>
      <c r="F2409">
        <v>34.3146</v>
      </c>
      <c r="G2409">
        <v>3022.27</v>
      </c>
      <c r="H2409" s="1">
        <v>38256</v>
      </c>
      <c r="I2409" s="1">
        <v>38260</v>
      </c>
      <c r="J2409" t="s">
        <v>15</v>
      </c>
      <c r="K2409">
        <v>19</v>
      </c>
      <c r="L2409">
        <v>10000</v>
      </c>
      <c r="M2409" t="s">
        <v>86</v>
      </c>
      <c r="N2409">
        <v>1</v>
      </c>
    </row>
    <row r="2410" hidden="1" spans="1:14">
      <c r="A2410">
        <v>2572</v>
      </c>
      <c r="B2410">
        <v>0</v>
      </c>
      <c r="C2410" t="s">
        <v>570</v>
      </c>
      <c r="D2410">
        <v>0</v>
      </c>
      <c r="E2410">
        <v>135.516</v>
      </c>
      <c r="F2410">
        <v>35.0456</v>
      </c>
      <c r="G2410">
        <v>31214.58</v>
      </c>
      <c r="H2410" s="1">
        <v>38280</v>
      </c>
      <c r="I2410" s="1">
        <v>38284</v>
      </c>
      <c r="J2410" t="s">
        <v>15</v>
      </c>
      <c r="K2410">
        <v>83</v>
      </c>
      <c r="L2410">
        <v>42000</v>
      </c>
      <c r="M2410" t="s">
        <v>86</v>
      </c>
      <c r="N2410">
        <v>1</v>
      </c>
    </row>
    <row r="2411" hidden="1" spans="1:14">
      <c r="A2411">
        <v>2691</v>
      </c>
      <c r="B2411">
        <v>0</v>
      </c>
      <c r="C2411" t="s">
        <v>570</v>
      </c>
      <c r="D2411">
        <v>0</v>
      </c>
      <c r="E2411">
        <v>130.955</v>
      </c>
      <c r="F2411">
        <v>32.9554</v>
      </c>
      <c r="G2411">
        <v>23384.41</v>
      </c>
      <c r="H2411" s="1">
        <v>38543</v>
      </c>
      <c r="I2411" s="1">
        <v>38544</v>
      </c>
      <c r="J2411" t="s">
        <v>15</v>
      </c>
      <c r="K2411">
        <v>4</v>
      </c>
      <c r="L2411">
        <v>600</v>
      </c>
      <c r="M2411" t="s">
        <v>16</v>
      </c>
      <c r="N2411">
        <v>1</v>
      </c>
    </row>
    <row r="2412" hidden="1" spans="1:14">
      <c r="A2412">
        <v>2723</v>
      </c>
      <c r="B2412">
        <v>0</v>
      </c>
      <c r="C2412" t="s">
        <v>570</v>
      </c>
      <c r="D2412" t="s">
        <v>571</v>
      </c>
      <c r="E2412">
        <v>131.316</v>
      </c>
      <c r="F2412">
        <v>32.3519</v>
      </c>
      <c r="G2412">
        <v>36825.48</v>
      </c>
      <c r="H2412" s="1">
        <v>38599</v>
      </c>
      <c r="I2412" s="1">
        <v>38604</v>
      </c>
      <c r="J2412" t="s">
        <v>15</v>
      </c>
      <c r="K2412">
        <v>22</v>
      </c>
      <c r="L2412">
        <v>301000</v>
      </c>
      <c r="M2412" t="s">
        <v>86</v>
      </c>
      <c r="N2412">
        <v>1</v>
      </c>
    </row>
    <row r="2413" hidden="1" spans="1:14">
      <c r="A2413">
        <v>2926</v>
      </c>
      <c r="B2413" t="s">
        <v>572</v>
      </c>
      <c r="C2413" t="s">
        <v>570</v>
      </c>
      <c r="D2413">
        <v>0</v>
      </c>
      <c r="E2413">
        <v>136.218</v>
      </c>
      <c r="F2413">
        <v>35.3403</v>
      </c>
      <c r="G2413">
        <v>47887.9</v>
      </c>
      <c r="H2413" s="1">
        <v>38917</v>
      </c>
      <c r="I2413" s="1">
        <v>38918</v>
      </c>
      <c r="J2413" t="s">
        <v>15</v>
      </c>
      <c r="K2413">
        <v>24</v>
      </c>
      <c r="L2413">
        <v>6200</v>
      </c>
      <c r="M2413" t="s">
        <v>16</v>
      </c>
      <c r="N2413">
        <v>1</v>
      </c>
    </row>
    <row r="2414" hidden="1" spans="1:14">
      <c r="A2414">
        <v>2930</v>
      </c>
      <c r="B2414">
        <v>0</v>
      </c>
      <c r="C2414" t="s">
        <v>570</v>
      </c>
      <c r="D2414">
        <v>0</v>
      </c>
      <c r="E2414">
        <v>130.989</v>
      </c>
      <c r="F2414">
        <v>31.539</v>
      </c>
      <c r="G2414">
        <v>6128.86</v>
      </c>
      <c r="H2414" s="1">
        <v>38920</v>
      </c>
      <c r="I2414" s="1">
        <v>38924</v>
      </c>
      <c r="J2414" t="s">
        <v>15</v>
      </c>
      <c r="K2414">
        <v>4</v>
      </c>
      <c r="L2414">
        <v>4300</v>
      </c>
      <c r="M2414" t="s">
        <v>16</v>
      </c>
      <c r="N2414">
        <v>1</v>
      </c>
    </row>
    <row r="2415" hidden="1" spans="1:14">
      <c r="A2415">
        <v>3124</v>
      </c>
      <c r="B2415" t="s">
        <v>573</v>
      </c>
      <c r="C2415" t="s">
        <v>570</v>
      </c>
      <c r="D2415">
        <v>0</v>
      </c>
      <c r="E2415">
        <v>130.729</v>
      </c>
      <c r="F2415">
        <v>32.8583</v>
      </c>
      <c r="G2415">
        <v>2673.23</v>
      </c>
      <c r="H2415" s="1">
        <v>39267</v>
      </c>
      <c r="I2415" s="1">
        <v>39275</v>
      </c>
      <c r="J2415" t="s">
        <v>15</v>
      </c>
      <c r="K2415">
        <v>2</v>
      </c>
      <c r="L2415">
        <v>10000</v>
      </c>
      <c r="M2415" t="s">
        <v>16</v>
      </c>
      <c r="N2415">
        <v>1</v>
      </c>
    </row>
    <row r="2416" hidden="1" spans="1:14">
      <c r="A2416">
        <v>3129</v>
      </c>
      <c r="B2416">
        <v>0</v>
      </c>
      <c r="C2416" t="s">
        <v>570</v>
      </c>
      <c r="D2416">
        <v>0</v>
      </c>
      <c r="E2416">
        <v>130.895</v>
      </c>
      <c r="F2416">
        <v>31.6866</v>
      </c>
      <c r="G2416">
        <v>37729.72</v>
      </c>
      <c r="H2416" s="1">
        <v>39276</v>
      </c>
      <c r="I2416" s="1">
        <v>39279</v>
      </c>
      <c r="J2416" t="s">
        <v>15</v>
      </c>
      <c r="K2416">
        <v>5</v>
      </c>
      <c r="L2416">
        <v>40000</v>
      </c>
      <c r="M2416" t="s">
        <v>86</v>
      </c>
      <c r="N2416">
        <v>1</v>
      </c>
    </row>
    <row r="2417" hidden="1" spans="1:14">
      <c r="A2417">
        <v>3192</v>
      </c>
      <c r="B2417">
        <v>0</v>
      </c>
      <c r="C2417" t="s">
        <v>570</v>
      </c>
      <c r="E2417">
        <v>125.835</v>
      </c>
      <c r="F2417">
        <v>38.5657</v>
      </c>
      <c r="G2417">
        <v>37903.17</v>
      </c>
      <c r="H2417" s="1">
        <v>39342</v>
      </c>
      <c r="I2417" s="1">
        <v>39350</v>
      </c>
      <c r="J2417" t="s">
        <v>15</v>
      </c>
      <c r="K2417">
        <v>4</v>
      </c>
      <c r="L2417">
        <v>24000</v>
      </c>
      <c r="M2417" t="s">
        <v>86</v>
      </c>
      <c r="N2417">
        <v>1</v>
      </c>
    </row>
    <row r="2418" hidden="1" spans="1:14">
      <c r="A2418">
        <v>3326</v>
      </c>
      <c r="B2418" t="s">
        <v>574</v>
      </c>
      <c r="C2418" t="s">
        <v>570</v>
      </c>
      <c r="D2418">
        <v>0</v>
      </c>
      <c r="E2418">
        <v>137.194</v>
      </c>
      <c r="F2418">
        <v>35.4621</v>
      </c>
      <c r="G2418">
        <v>147151.67</v>
      </c>
      <c r="H2418" s="1">
        <v>39626</v>
      </c>
      <c r="I2418" s="1">
        <v>39629</v>
      </c>
      <c r="J2418" t="s">
        <v>15</v>
      </c>
      <c r="K2418">
        <v>0</v>
      </c>
      <c r="L2418">
        <v>128</v>
      </c>
      <c r="M2418" t="s">
        <v>49</v>
      </c>
      <c r="N2418">
        <v>1</v>
      </c>
    </row>
    <row r="2419" hidden="1" spans="1:14">
      <c r="A2419">
        <v>3344</v>
      </c>
      <c r="B2419">
        <v>0</v>
      </c>
      <c r="C2419" t="s">
        <v>570</v>
      </c>
      <c r="D2419">
        <v>0</v>
      </c>
      <c r="E2419">
        <v>136.382</v>
      </c>
      <c r="F2419">
        <v>35.8813</v>
      </c>
      <c r="G2419">
        <v>52423.34</v>
      </c>
      <c r="H2419" s="1">
        <v>39657</v>
      </c>
      <c r="I2419" s="1">
        <v>39658</v>
      </c>
      <c r="J2419" t="s">
        <v>15</v>
      </c>
      <c r="K2419">
        <v>5</v>
      </c>
      <c r="L2419">
        <v>50000</v>
      </c>
      <c r="M2419" t="s">
        <v>64</v>
      </c>
      <c r="N2419">
        <v>2</v>
      </c>
    </row>
    <row r="2420" hidden="1" spans="1:14">
      <c r="A2420">
        <v>3512</v>
      </c>
      <c r="B2420">
        <v>0</v>
      </c>
      <c r="C2420" t="s">
        <v>570</v>
      </c>
      <c r="D2420">
        <v>0</v>
      </c>
      <c r="E2420">
        <v>131.888</v>
      </c>
      <c r="F2420">
        <v>34.5636</v>
      </c>
      <c r="G2420">
        <v>11850.39</v>
      </c>
      <c r="H2420" s="1">
        <v>40014</v>
      </c>
      <c r="I2420" s="1">
        <v>40016</v>
      </c>
      <c r="J2420" t="s">
        <v>15</v>
      </c>
      <c r="K2420">
        <v>16</v>
      </c>
      <c r="L2420">
        <v>400</v>
      </c>
      <c r="M2420" t="s">
        <v>52</v>
      </c>
      <c r="N2420">
        <v>1.5</v>
      </c>
    </row>
    <row r="2421" hidden="1" spans="1:14">
      <c r="A2421">
        <v>3515</v>
      </c>
      <c r="B2421">
        <v>0</v>
      </c>
      <c r="C2421" t="s">
        <v>570</v>
      </c>
      <c r="D2421">
        <v>0</v>
      </c>
      <c r="E2421">
        <v>130.571</v>
      </c>
      <c r="F2421">
        <v>33.2981</v>
      </c>
      <c r="G2421">
        <v>9646.51</v>
      </c>
      <c r="H2421" s="1">
        <v>40020</v>
      </c>
      <c r="I2421" s="1">
        <v>40021</v>
      </c>
      <c r="J2421" t="s">
        <v>15</v>
      </c>
      <c r="K2421">
        <v>28</v>
      </c>
      <c r="L2421">
        <v>0</v>
      </c>
      <c r="M2421" t="s">
        <v>52</v>
      </c>
      <c r="N2421">
        <v>1</v>
      </c>
    </row>
    <row r="2422" hidden="1" spans="1:14">
      <c r="A2422">
        <v>3523</v>
      </c>
      <c r="B2422">
        <v>0</v>
      </c>
      <c r="C2422" t="s">
        <v>570</v>
      </c>
      <c r="D2422">
        <v>0</v>
      </c>
      <c r="E2422">
        <v>136.225</v>
      </c>
      <c r="F2422">
        <v>35.1555</v>
      </c>
      <c r="G2422">
        <v>18366.88</v>
      </c>
      <c r="H2422" s="1">
        <v>40034</v>
      </c>
      <c r="I2422" s="1">
        <v>40035</v>
      </c>
      <c r="J2422">
        <v>0</v>
      </c>
      <c r="K2422">
        <v>12</v>
      </c>
      <c r="L2422">
        <v>2000</v>
      </c>
      <c r="M2422" t="s">
        <v>575</v>
      </c>
      <c r="N2422">
        <v>1.5</v>
      </c>
    </row>
    <row r="2423" hidden="1" spans="1:14">
      <c r="A2423">
        <v>3554</v>
      </c>
      <c r="B2423" t="s">
        <v>576</v>
      </c>
      <c r="C2423" t="s">
        <v>570</v>
      </c>
      <c r="D2423">
        <v>0</v>
      </c>
      <c r="E2423">
        <v>138.2</v>
      </c>
      <c r="F2423">
        <v>36.425</v>
      </c>
      <c r="G2423">
        <v>106325.83</v>
      </c>
      <c r="H2423" s="1">
        <v>40093</v>
      </c>
      <c r="I2423" s="1">
        <v>40095</v>
      </c>
      <c r="J2423">
        <v>0</v>
      </c>
      <c r="K2423">
        <v>0</v>
      </c>
      <c r="L2423">
        <v>5000</v>
      </c>
      <c r="M2423" t="s">
        <v>577</v>
      </c>
      <c r="N2423">
        <v>1</v>
      </c>
    </row>
    <row r="2424" hidden="1" spans="1:14">
      <c r="A2424">
        <v>3680</v>
      </c>
      <c r="B2424">
        <v>0</v>
      </c>
      <c r="C2424" t="s">
        <v>570</v>
      </c>
      <c r="D2424">
        <v>0</v>
      </c>
      <c r="E2424">
        <v>133.643</v>
      </c>
      <c r="F2424">
        <v>34.6901</v>
      </c>
      <c r="G2424">
        <v>78651.79</v>
      </c>
      <c r="H2424" s="1">
        <v>40371</v>
      </c>
      <c r="I2424" s="1">
        <v>40372</v>
      </c>
      <c r="J2424">
        <v>0</v>
      </c>
      <c r="K2424">
        <v>0</v>
      </c>
      <c r="L2424">
        <v>0</v>
      </c>
      <c r="M2424" t="s">
        <v>52</v>
      </c>
      <c r="N2424">
        <v>1</v>
      </c>
    </row>
    <row r="2425" hidden="1" spans="1:14">
      <c r="A2425">
        <v>3787</v>
      </c>
      <c r="C2425" t="s">
        <v>570</v>
      </c>
      <c r="E2425">
        <v>140.823</v>
      </c>
      <c r="F2425">
        <v>37.8022</v>
      </c>
      <c r="G2425">
        <v>4766.62</v>
      </c>
      <c r="H2425" s="1">
        <v>40613</v>
      </c>
      <c r="I2425" s="1">
        <v>40613</v>
      </c>
      <c r="J2425" t="s">
        <v>15</v>
      </c>
      <c r="K2425">
        <v>10000</v>
      </c>
      <c r="L2425">
        <v>200000</v>
      </c>
      <c r="M2425" t="s">
        <v>78</v>
      </c>
      <c r="N2425">
        <v>2</v>
      </c>
    </row>
    <row r="2426" hidden="1" spans="1:14">
      <c r="A2426">
        <v>3947</v>
      </c>
      <c r="B2426" t="s">
        <v>578</v>
      </c>
      <c r="C2426" t="s">
        <v>570</v>
      </c>
      <c r="E2426">
        <v>130.566</v>
      </c>
      <c r="F2426">
        <v>33.424</v>
      </c>
      <c r="G2426">
        <v>7922.95</v>
      </c>
      <c r="H2426" s="1">
        <v>41094</v>
      </c>
      <c r="I2426" s="1">
        <v>41106</v>
      </c>
      <c r="J2426" t="s">
        <v>15</v>
      </c>
      <c r="K2426">
        <v>28</v>
      </c>
      <c r="L2426">
        <v>3000</v>
      </c>
      <c r="M2426" t="s">
        <v>49</v>
      </c>
      <c r="N2426">
        <v>2</v>
      </c>
    </row>
    <row r="2427" hidden="1" spans="1:14">
      <c r="A2427">
        <v>3969</v>
      </c>
      <c r="B2427" t="s">
        <v>579</v>
      </c>
      <c r="C2427" t="s">
        <v>570</v>
      </c>
      <c r="E2427">
        <v>135.556</v>
      </c>
      <c r="F2427">
        <v>34.6167</v>
      </c>
      <c r="G2427">
        <v>10669.97</v>
      </c>
      <c r="H2427" s="1">
        <v>41133</v>
      </c>
      <c r="I2427" s="1">
        <v>41141</v>
      </c>
      <c r="J2427" t="s">
        <v>15</v>
      </c>
      <c r="K2427">
        <v>3</v>
      </c>
      <c r="L2427">
        <v>1000</v>
      </c>
      <c r="M2427" t="s">
        <v>52</v>
      </c>
      <c r="N2427">
        <v>1.5</v>
      </c>
    </row>
    <row r="2428" hidden="1" spans="1:14">
      <c r="A2428">
        <v>4169</v>
      </c>
      <c r="C2428" t="s">
        <v>570</v>
      </c>
      <c r="E2428">
        <v>136.31</v>
      </c>
      <c r="F2428">
        <v>35.7986</v>
      </c>
      <c r="G2428">
        <v>76116.81</v>
      </c>
      <c r="H2428" s="1">
        <v>41867</v>
      </c>
      <c r="I2428" s="1">
        <v>41870</v>
      </c>
      <c r="J2428" t="s">
        <v>15</v>
      </c>
      <c r="K2428">
        <v>3</v>
      </c>
      <c r="L2428">
        <v>12000</v>
      </c>
      <c r="M2428" t="s">
        <v>52</v>
      </c>
      <c r="N2428">
        <v>2</v>
      </c>
    </row>
    <row r="2429" hidden="1" spans="1:14">
      <c r="A2429">
        <v>4292</v>
      </c>
      <c r="B2429" t="s">
        <v>580</v>
      </c>
      <c r="C2429" t="s">
        <v>570</v>
      </c>
      <c r="E2429">
        <v>140.046</v>
      </c>
      <c r="F2429">
        <v>36.9375</v>
      </c>
      <c r="G2429">
        <v>52859.22</v>
      </c>
      <c r="H2429" s="1">
        <v>42256</v>
      </c>
      <c r="I2429" s="1">
        <v>42258</v>
      </c>
      <c r="J2429" t="s">
        <v>15</v>
      </c>
      <c r="K2429">
        <v>3</v>
      </c>
      <c r="L2429">
        <v>100000</v>
      </c>
      <c r="M2429" t="s">
        <v>581</v>
      </c>
      <c r="N2429">
        <v>2</v>
      </c>
    </row>
    <row r="2430" hidden="1" spans="1:14">
      <c r="A2430">
        <v>4363</v>
      </c>
      <c r="C2430" t="s">
        <v>570</v>
      </c>
      <c r="E2430">
        <v>130.99</v>
      </c>
      <c r="F2430">
        <v>32.6031</v>
      </c>
      <c r="G2430">
        <v>18480.56</v>
      </c>
      <c r="H2430" s="1">
        <v>42541</v>
      </c>
      <c r="I2430" s="1">
        <v>42542</v>
      </c>
      <c r="J2430" t="s">
        <v>15</v>
      </c>
      <c r="K2430">
        <v>5</v>
      </c>
      <c r="L2430">
        <v>0</v>
      </c>
      <c r="M2430" t="s">
        <v>52</v>
      </c>
      <c r="N2430">
        <v>1.5</v>
      </c>
    </row>
    <row r="2431" hidden="1" spans="1:14">
      <c r="A2431">
        <v>4395</v>
      </c>
      <c r="C2431" t="s">
        <v>570</v>
      </c>
      <c r="E2431">
        <v>137.374</v>
      </c>
      <c r="F2431">
        <v>36.2072</v>
      </c>
      <c r="G2431">
        <v>139834.53</v>
      </c>
      <c r="H2431" s="1">
        <v>42633</v>
      </c>
      <c r="I2431" s="1">
        <v>42635</v>
      </c>
      <c r="J2431" t="s">
        <v>15</v>
      </c>
      <c r="K2431">
        <v>0</v>
      </c>
      <c r="L2431">
        <v>600000</v>
      </c>
      <c r="M2431" t="s">
        <v>582</v>
      </c>
      <c r="N2431">
        <v>1.5</v>
      </c>
    </row>
    <row r="2432" hidden="1" spans="1:14">
      <c r="A2432">
        <v>4497</v>
      </c>
      <c r="C2432" t="s">
        <v>570</v>
      </c>
      <c r="E2432">
        <v>140.417</v>
      </c>
      <c r="F2432">
        <v>39.0201</v>
      </c>
      <c r="G2432">
        <v>10724.25</v>
      </c>
      <c r="H2432" s="1">
        <v>42938</v>
      </c>
      <c r="I2432" s="1">
        <v>42948</v>
      </c>
      <c r="J2432" t="s">
        <v>15</v>
      </c>
      <c r="K2432">
        <v>0</v>
      </c>
      <c r="L2432">
        <v>20000</v>
      </c>
      <c r="M2432" t="s">
        <v>49</v>
      </c>
      <c r="N2432">
        <v>1.5</v>
      </c>
    </row>
    <row r="2433" hidden="1" spans="1:14">
      <c r="A2433">
        <v>4520</v>
      </c>
      <c r="C2433" t="s">
        <v>570</v>
      </c>
      <c r="E2433">
        <v>139.808</v>
      </c>
      <c r="F2433">
        <v>37.0621</v>
      </c>
      <c r="G2433">
        <v>175093.97</v>
      </c>
      <c r="H2433" s="1">
        <v>42995</v>
      </c>
      <c r="I2433" s="1">
        <v>42997</v>
      </c>
      <c r="J2433" t="s">
        <v>15</v>
      </c>
      <c r="K2433">
        <v>2</v>
      </c>
      <c r="L2433">
        <v>4000</v>
      </c>
      <c r="M2433" t="s">
        <v>583</v>
      </c>
      <c r="N2433">
        <v>1.5</v>
      </c>
    </row>
    <row r="2434" hidden="1" spans="1:14">
      <c r="A2434">
        <v>4643</v>
      </c>
      <c r="C2434" t="s">
        <v>570</v>
      </c>
      <c r="E2434">
        <v>137.895</v>
      </c>
      <c r="F2434">
        <v>35.6504</v>
      </c>
      <c r="G2434">
        <v>109672.31</v>
      </c>
      <c r="H2434" s="1">
        <v>43286</v>
      </c>
      <c r="I2434" s="1">
        <v>43292</v>
      </c>
      <c r="J2434" t="s">
        <v>56</v>
      </c>
      <c r="K2434">
        <v>80</v>
      </c>
      <c r="L2434">
        <v>1500000</v>
      </c>
      <c r="M2434" t="s">
        <v>584</v>
      </c>
      <c r="N2434">
        <v>2</v>
      </c>
    </row>
    <row r="2435" hidden="1" spans="1:14">
      <c r="A2435">
        <v>4776</v>
      </c>
      <c r="C2435" t="s">
        <v>570</v>
      </c>
      <c r="E2435">
        <v>130.866</v>
      </c>
      <c r="F2435">
        <v>32.591</v>
      </c>
      <c r="G2435">
        <v>32382.22</v>
      </c>
      <c r="H2435" s="1">
        <v>43644</v>
      </c>
      <c r="I2435" s="1">
        <v>43656</v>
      </c>
      <c r="J2435" t="s">
        <v>56</v>
      </c>
      <c r="K2435">
        <v>0</v>
      </c>
      <c r="L2435">
        <v>1000000</v>
      </c>
      <c r="M2435" t="s">
        <v>49</v>
      </c>
      <c r="N2435">
        <v>2</v>
      </c>
    </row>
    <row r="2436" hidden="1" spans="1:14">
      <c r="A2436">
        <v>4789</v>
      </c>
      <c r="C2436" t="s">
        <v>570</v>
      </c>
      <c r="E2436">
        <v>130.545</v>
      </c>
      <c r="F2436">
        <v>32.9506</v>
      </c>
      <c r="G2436">
        <v>10883.12</v>
      </c>
      <c r="H2436" s="1">
        <v>43705</v>
      </c>
      <c r="I2436" s="1">
        <v>43706</v>
      </c>
      <c r="J2436" t="s">
        <v>56</v>
      </c>
      <c r="K2436">
        <v>2</v>
      </c>
      <c r="L2436">
        <v>800000</v>
      </c>
      <c r="M2436" t="s">
        <v>49</v>
      </c>
      <c r="N2436">
        <v>1.5</v>
      </c>
    </row>
    <row r="2437" hidden="1" spans="1:14">
      <c r="A2437">
        <v>4800</v>
      </c>
      <c r="C2437" t="s">
        <v>570</v>
      </c>
      <c r="E2437">
        <v>138.636</v>
      </c>
      <c r="F2437">
        <v>36.3432</v>
      </c>
      <c r="G2437">
        <v>122626</v>
      </c>
      <c r="H2437" s="1">
        <v>43750</v>
      </c>
      <c r="I2437" s="1">
        <v>43753</v>
      </c>
      <c r="J2437" t="s">
        <v>56</v>
      </c>
      <c r="K2437">
        <v>73</v>
      </c>
      <c r="L2437">
        <v>230000</v>
      </c>
      <c r="M2437" t="s">
        <v>585</v>
      </c>
      <c r="N2437">
        <v>2</v>
      </c>
    </row>
    <row r="2438" hidden="1" spans="1:14">
      <c r="A2438">
        <v>4823</v>
      </c>
      <c r="C2438" t="s">
        <v>570</v>
      </c>
      <c r="E2438">
        <v>140.269</v>
      </c>
      <c r="F2438">
        <v>36.7389</v>
      </c>
      <c r="G2438">
        <v>23763.91</v>
      </c>
      <c r="H2438" s="1">
        <v>43763</v>
      </c>
      <c r="I2438" s="1">
        <v>43769</v>
      </c>
      <c r="J2438" t="s">
        <v>58</v>
      </c>
      <c r="K2438">
        <v>10</v>
      </c>
      <c r="L2438">
        <v>0</v>
      </c>
      <c r="M2438" t="s">
        <v>586</v>
      </c>
      <c r="N2438">
        <v>1.5</v>
      </c>
    </row>
    <row r="2439" hidden="1" spans="1:14">
      <c r="A2439">
        <v>4942</v>
      </c>
      <c r="C2439" t="s">
        <v>570</v>
      </c>
      <c r="E2439">
        <v>131.039</v>
      </c>
      <c r="F2439">
        <v>32.6655</v>
      </c>
      <c r="G2439">
        <v>28547.82</v>
      </c>
      <c r="H2439" s="1">
        <v>44011</v>
      </c>
      <c r="I2439" s="1">
        <v>44017</v>
      </c>
      <c r="J2439" t="s">
        <v>56</v>
      </c>
      <c r="K2439">
        <v>34</v>
      </c>
      <c r="L2439">
        <v>0</v>
      </c>
      <c r="M2439" t="s">
        <v>49</v>
      </c>
      <c r="N2439">
        <v>2</v>
      </c>
    </row>
    <row r="2440" hidden="1" spans="1:14">
      <c r="A2440">
        <v>4950</v>
      </c>
      <c r="C2440" t="s">
        <v>570</v>
      </c>
      <c r="E2440">
        <v>140.467</v>
      </c>
      <c r="F2440">
        <v>38.4991</v>
      </c>
      <c r="G2440">
        <v>32493.26</v>
      </c>
      <c r="H2440" s="1">
        <v>44039</v>
      </c>
      <c r="I2440" s="1">
        <v>44042</v>
      </c>
      <c r="J2440" t="s">
        <v>58</v>
      </c>
      <c r="K2440">
        <v>0</v>
      </c>
      <c r="L2440">
        <v>2500</v>
      </c>
      <c r="M2440" t="s">
        <v>52</v>
      </c>
      <c r="N2440">
        <v>1.5</v>
      </c>
    </row>
    <row r="2441" hidden="1" spans="1:14">
      <c r="A2441">
        <v>5111</v>
      </c>
      <c r="C2441" t="s">
        <v>570</v>
      </c>
      <c r="E2441">
        <v>130.248</v>
      </c>
      <c r="F2441">
        <v>32.777</v>
      </c>
      <c r="G2441">
        <v>2470.63</v>
      </c>
      <c r="H2441" s="1">
        <v>44420</v>
      </c>
      <c r="I2441" s="1">
        <v>44425</v>
      </c>
      <c r="J2441" t="s">
        <v>56</v>
      </c>
      <c r="K2441">
        <v>3</v>
      </c>
      <c r="L2441">
        <v>50</v>
      </c>
      <c r="M2441" t="s">
        <v>49</v>
      </c>
      <c r="N2441">
        <v>1.5</v>
      </c>
    </row>
    <row r="2442" hidden="1" spans="1:14">
      <c r="A2442">
        <v>177</v>
      </c>
      <c r="B2442">
        <v>0</v>
      </c>
      <c r="C2442" t="s">
        <v>587</v>
      </c>
      <c r="D2442">
        <v>0</v>
      </c>
      <c r="E2442">
        <v>130.88</v>
      </c>
      <c r="F2442">
        <v>32.5616</v>
      </c>
      <c r="G2442">
        <v>8184.5</v>
      </c>
      <c r="H2442" s="1">
        <v>32266</v>
      </c>
      <c r="I2442" s="1">
        <v>32267</v>
      </c>
      <c r="J2442" t="s">
        <v>15</v>
      </c>
      <c r="K2442">
        <v>3</v>
      </c>
      <c r="L2442">
        <v>10000</v>
      </c>
      <c r="M2442" t="s">
        <v>16</v>
      </c>
      <c r="N2442">
        <v>1</v>
      </c>
    </row>
    <row r="2443" hidden="1" spans="1:14">
      <c r="A2443">
        <v>202</v>
      </c>
      <c r="B2443">
        <v>0</v>
      </c>
      <c r="C2443" t="s">
        <v>587</v>
      </c>
      <c r="D2443">
        <v>0</v>
      </c>
      <c r="E2443">
        <v>133.882</v>
      </c>
      <c r="F2443">
        <v>35.3673</v>
      </c>
      <c r="G2443">
        <v>3681.84</v>
      </c>
      <c r="H2443" s="1">
        <v>32339</v>
      </c>
      <c r="I2443" s="1">
        <v>32339</v>
      </c>
      <c r="J2443" t="s">
        <v>15</v>
      </c>
      <c r="K2443">
        <v>4</v>
      </c>
      <c r="L2443">
        <v>0</v>
      </c>
      <c r="M2443" t="s">
        <v>16</v>
      </c>
      <c r="N2443">
        <v>1</v>
      </c>
    </row>
    <row r="2444" hidden="1" spans="1:14">
      <c r="A2444">
        <v>208</v>
      </c>
      <c r="B2444">
        <v>0</v>
      </c>
      <c r="C2444" t="s">
        <v>587</v>
      </c>
      <c r="D2444">
        <v>0</v>
      </c>
      <c r="E2444">
        <v>132.171</v>
      </c>
      <c r="F2444">
        <v>34.6244</v>
      </c>
      <c r="G2444">
        <v>4324.25</v>
      </c>
      <c r="H2444" s="1">
        <v>32344</v>
      </c>
      <c r="I2444" s="1">
        <v>32345</v>
      </c>
      <c r="J2444" t="s">
        <v>15</v>
      </c>
      <c r="K2444">
        <v>12</v>
      </c>
      <c r="L2444">
        <v>1633</v>
      </c>
      <c r="M2444" t="s">
        <v>16</v>
      </c>
      <c r="N2444">
        <v>1</v>
      </c>
    </row>
    <row r="2445" hidden="1" spans="1:14">
      <c r="A2445">
        <v>1556</v>
      </c>
      <c r="B2445">
        <v>0</v>
      </c>
      <c r="C2445" t="s">
        <v>587</v>
      </c>
      <c r="D2445">
        <v>0</v>
      </c>
      <c r="E2445">
        <v>135.664</v>
      </c>
      <c r="F2445">
        <v>34.5922</v>
      </c>
      <c r="G2445">
        <v>2621.54</v>
      </c>
      <c r="H2445" s="1">
        <v>36418</v>
      </c>
      <c r="I2445" s="1">
        <v>36419</v>
      </c>
      <c r="J2445" t="s">
        <v>15</v>
      </c>
      <c r="K2445">
        <v>4</v>
      </c>
      <c r="L2445">
        <v>14521</v>
      </c>
      <c r="M2445" t="s">
        <v>16</v>
      </c>
      <c r="N2445">
        <v>1</v>
      </c>
    </row>
    <row r="2446" hidden="1" spans="1:14">
      <c r="A2446">
        <v>500</v>
      </c>
      <c r="B2446">
        <v>0</v>
      </c>
      <c r="C2446" t="s">
        <v>560</v>
      </c>
      <c r="D2446">
        <v>0</v>
      </c>
      <c r="E2446">
        <v>35.9526</v>
      </c>
      <c r="F2446">
        <v>31.9084</v>
      </c>
      <c r="G2446">
        <v>3678.32</v>
      </c>
      <c r="H2446" s="1">
        <v>33321</v>
      </c>
      <c r="I2446" s="1">
        <v>33322</v>
      </c>
      <c r="J2446" t="s">
        <v>15</v>
      </c>
      <c r="K2446">
        <v>5</v>
      </c>
      <c r="L2446">
        <v>0</v>
      </c>
      <c r="M2446" t="s">
        <v>64</v>
      </c>
      <c r="N2446">
        <v>1</v>
      </c>
    </row>
    <row r="2447" hidden="1" spans="1:14">
      <c r="A2447">
        <v>837</v>
      </c>
      <c r="B2447">
        <v>0</v>
      </c>
      <c r="C2447" t="s">
        <v>560</v>
      </c>
      <c r="D2447">
        <v>0</v>
      </c>
      <c r="E2447">
        <v>35.9181</v>
      </c>
      <c r="F2447">
        <v>32.4176</v>
      </c>
      <c r="G2447">
        <v>3809.42</v>
      </c>
      <c r="H2447" s="1">
        <v>34417</v>
      </c>
      <c r="I2447" s="1">
        <v>34419</v>
      </c>
      <c r="J2447" t="s">
        <v>15</v>
      </c>
      <c r="K2447">
        <v>9</v>
      </c>
      <c r="L2447">
        <v>300</v>
      </c>
      <c r="M2447" t="s">
        <v>16</v>
      </c>
      <c r="N2447">
        <v>1</v>
      </c>
    </row>
    <row r="2448" hidden="1" spans="1:14">
      <c r="A2448">
        <v>913</v>
      </c>
      <c r="B2448">
        <v>0</v>
      </c>
      <c r="C2448" t="s">
        <v>560</v>
      </c>
      <c r="D2448">
        <v>0</v>
      </c>
      <c r="E2448">
        <v>36.4848</v>
      </c>
      <c r="F2448">
        <v>30.9819</v>
      </c>
      <c r="G2448">
        <v>68725.08</v>
      </c>
      <c r="H2448" s="1">
        <v>34639</v>
      </c>
      <c r="I2448" s="1">
        <v>34642</v>
      </c>
      <c r="J2448" t="s">
        <v>15</v>
      </c>
      <c r="K2448">
        <v>21</v>
      </c>
      <c r="L2448">
        <v>0</v>
      </c>
      <c r="M2448" t="s">
        <v>16</v>
      </c>
      <c r="N2448">
        <v>1</v>
      </c>
    </row>
    <row r="2449" hidden="1" spans="1:14">
      <c r="A2449">
        <v>1211</v>
      </c>
      <c r="B2449">
        <v>0</v>
      </c>
      <c r="C2449" t="s">
        <v>560</v>
      </c>
      <c r="D2449">
        <v>0</v>
      </c>
      <c r="E2449">
        <v>35.9814</v>
      </c>
      <c r="F2449">
        <v>31.9335</v>
      </c>
      <c r="G2449">
        <v>1208.77</v>
      </c>
      <c r="H2449" s="1">
        <v>35483</v>
      </c>
      <c r="I2449" s="1">
        <v>35487</v>
      </c>
      <c r="J2449" t="s">
        <v>15</v>
      </c>
      <c r="K2449">
        <v>4</v>
      </c>
      <c r="L2449">
        <v>0</v>
      </c>
      <c r="M2449" t="s">
        <v>16</v>
      </c>
      <c r="N2449">
        <v>1</v>
      </c>
    </row>
    <row r="2450" hidden="1" spans="1:14">
      <c r="A2450">
        <v>1280</v>
      </c>
      <c r="B2450">
        <v>0</v>
      </c>
      <c r="C2450" t="s">
        <v>560</v>
      </c>
      <c r="D2450">
        <v>0</v>
      </c>
      <c r="E2450">
        <v>35.7269</v>
      </c>
      <c r="F2450">
        <v>31.1246</v>
      </c>
      <c r="G2450">
        <v>24511.25</v>
      </c>
      <c r="H2450" s="1">
        <v>35720</v>
      </c>
      <c r="I2450" s="1">
        <v>35722</v>
      </c>
      <c r="J2450" t="s">
        <v>15</v>
      </c>
      <c r="K2450">
        <v>2</v>
      </c>
      <c r="L2450">
        <v>0</v>
      </c>
      <c r="M2450" t="s">
        <v>16</v>
      </c>
      <c r="N2450">
        <v>1</v>
      </c>
    </row>
    <row r="2451" hidden="1" spans="1:14">
      <c r="A2451">
        <v>4242</v>
      </c>
      <c r="C2451" t="s">
        <v>588</v>
      </c>
      <c r="E2451">
        <v>65.5929</v>
      </c>
      <c r="F2451">
        <v>48.4049</v>
      </c>
      <c r="G2451">
        <v>213897.13</v>
      </c>
      <c r="H2451" s="1">
        <v>42086</v>
      </c>
      <c r="I2451" s="1">
        <v>42109</v>
      </c>
      <c r="J2451" t="s">
        <v>15</v>
      </c>
      <c r="K2451">
        <v>0</v>
      </c>
      <c r="L2451">
        <v>5600</v>
      </c>
      <c r="M2451" t="s">
        <v>39</v>
      </c>
      <c r="N2451">
        <v>1</v>
      </c>
    </row>
    <row r="2452" hidden="1" spans="1:14">
      <c r="A2452">
        <v>742</v>
      </c>
      <c r="B2452">
        <v>0</v>
      </c>
      <c r="C2452" t="s">
        <v>589</v>
      </c>
      <c r="D2452">
        <v>0</v>
      </c>
      <c r="E2452">
        <v>51.2978</v>
      </c>
      <c r="F2452">
        <v>47.9479</v>
      </c>
      <c r="G2452">
        <v>213193.78</v>
      </c>
      <c r="H2452" s="1">
        <v>34115</v>
      </c>
      <c r="I2452" s="1">
        <v>34124</v>
      </c>
      <c r="J2452" t="s">
        <v>15</v>
      </c>
      <c r="K2452">
        <v>10</v>
      </c>
      <c r="L2452">
        <v>30000</v>
      </c>
      <c r="M2452" t="s">
        <v>39</v>
      </c>
      <c r="N2452">
        <v>1</v>
      </c>
    </row>
    <row r="2453" hidden="1" spans="1:14">
      <c r="A2453">
        <v>2426</v>
      </c>
      <c r="B2453">
        <v>0</v>
      </c>
      <c r="C2453" t="s">
        <v>589</v>
      </c>
      <c r="D2453">
        <v>0</v>
      </c>
      <c r="E2453">
        <v>63.7561</v>
      </c>
      <c r="F2453">
        <v>45.1809</v>
      </c>
      <c r="G2453">
        <v>64571.92</v>
      </c>
      <c r="H2453" s="1">
        <v>38016</v>
      </c>
      <c r="I2453" s="1">
        <v>38048</v>
      </c>
      <c r="J2453" t="s">
        <v>15</v>
      </c>
      <c r="K2453">
        <v>0</v>
      </c>
      <c r="L2453">
        <v>2000</v>
      </c>
      <c r="M2453" t="s">
        <v>25</v>
      </c>
      <c r="N2453">
        <v>1</v>
      </c>
    </row>
    <row r="2454" hidden="1" spans="1:14">
      <c r="A2454">
        <v>2629</v>
      </c>
      <c r="B2454">
        <v>0</v>
      </c>
      <c r="C2454" t="s">
        <v>589</v>
      </c>
      <c r="D2454" t="s">
        <v>590</v>
      </c>
      <c r="E2454">
        <v>66.9818</v>
      </c>
      <c r="F2454">
        <v>43.5954</v>
      </c>
      <c r="G2454">
        <v>135417.73</v>
      </c>
      <c r="H2454" s="1">
        <v>38407</v>
      </c>
      <c r="I2454" s="1">
        <v>38434</v>
      </c>
      <c r="J2454" t="s">
        <v>15</v>
      </c>
      <c r="K2454">
        <v>0</v>
      </c>
      <c r="L2454">
        <v>30000</v>
      </c>
      <c r="M2454" t="s">
        <v>25</v>
      </c>
      <c r="N2454">
        <v>1</v>
      </c>
    </row>
    <row r="2455" hidden="1" spans="1:14">
      <c r="A2455">
        <v>3277</v>
      </c>
      <c r="B2455" t="s">
        <v>591</v>
      </c>
      <c r="C2455" t="s">
        <v>589</v>
      </c>
      <c r="D2455">
        <v>0</v>
      </c>
      <c r="E2455">
        <v>68.5547</v>
      </c>
      <c r="F2455">
        <v>42.2954</v>
      </c>
      <c r="G2455">
        <v>51582.18</v>
      </c>
      <c r="H2455" s="1">
        <v>39498</v>
      </c>
      <c r="I2455" s="1">
        <v>39520</v>
      </c>
      <c r="J2455" t="s">
        <v>15</v>
      </c>
      <c r="K2455">
        <v>1</v>
      </c>
      <c r="L2455">
        <v>13000</v>
      </c>
      <c r="M2455" t="s">
        <v>38</v>
      </c>
      <c r="N2455">
        <v>1</v>
      </c>
    </row>
    <row r="2456" hidden="1" spans="1:14">
      <c r="A2456">
        <v>3624</v>
      </c>
      <c r="B2456" t="s">
        <v>592</v>
      </c>
      <c r="C2456" t="s">
        <v>589</v>
      </c>
      <c r="D2456">
        <v>0</v>
      </c>
      <c r="E2456">
        <v>79.2127</v>
      </c>
      <c r="F2456">
        <v>45.0791</v>
      </c>
      <c r="G2456">
        <v>323846.84</v>
      </c>
      <c r="H2456" s="1">
        <v>40248</v>
      </c>
      <c r="I2456" s="1">
        <v>40263</v>
      </c>
      <c r="J2456">
        <v>0</v>
      </c>
      <c r="K2456">
        <v>43</v>
      </c>
      <c r="L2456">
        <v>5000</v>
      </c>
      <c r="M2456" t="s">
        <v>593</v>
      </c>
      <c r="N2456">
        <v>2</v>
      </c>
    </row>
    <row r="2457" hidden="1" spans="1:14">
      <c r="A2457">
        <v>3801</v>
      </c>
      <c r="C2457" t="s">
        <v>589</v>
      </c>
      <c r="D2457" t="s">
        <v>275</v>
      </c>
      <c r="E2457">
        <v>53.6734</v>
      </c>
      <c r="F2457">
        <v>51.448</v>
      </c>
      <c r="G2457">
        <v>213195.15</v>
      </c>
      <c r="H2457" s="1">
        <v>40634</v>
      </c>
      <c r="I2457" s="1">
        <v>40652</v>
      </c>
      <c r="J2457" t="s">
        <v>15</v>
      </c>
      <c r="K2457">
        <v>0</v>
      </c>
      <c r="L2457">
        <v>9000</v>
      </c>
      <c r="M2457" t="s">
        <v>67</v>
      </c>
      <c r="N2457">
        <v>1.5</v>
      </c>
    </row>
    <row r="2458" hidden="1" spans="1:14">
      <c r="A2458">
        <v>4465</v>
      </c>
      <c r="B2458" t="s">
        <v>594</v>
      </c>
      <c r="C2458" t="s">
        <v>589</v>
      </c>
      <c r="E2458">
        <v>70.0468</v>
      </c>
      <c r="F2458">
        <v>51.2542</v>
      </c>
      <c r="G2458">
        <v>397487.68</v>
      </c>
      <c r="H2458" s="1">
        <v>42839</v>
      </c>
      <c r="I2458" s="1">
        <v>42846</v>
      </c>
      <c r="J2458" t="s">
        <v>15</v>
      </c>
      <c r="K2458">
        <v>0</v>
      </c>
      <c r="L2458">
        <v>7000</v>
      </c>
      <c r="M2458" t="s">
        <v>39</v>
      </c>
      <c r="N2458">
        <v>1.5</v>
      </c>
    </row>
    <row r="2459" hidden="1" spans="1:14">
      <c r="A2459">
        <v>4578</v>
      </c>
      <c r="C2459" t="s">
        <v>589</v>
      </c>
      <c r="E2459">
        <v>81.4783</v>
      </c>
      <c r="F2459">
        <v>47.3808</v>
      </c>
      <c r="G2459">
        <v>331425.24</v>
      </c>
      <c r="H2459" s="1">
        <v>43168</v>
      </c>
      <c r="I2459" s="1">
        <v>43173</v>
      </c>
      <c r="J2459" t="s">
        <v>56</v>
      </c>
      <c r="K2459">
        <v>0</v>
      </c>
      <c r="L2459">
        <v>400</v>
      </c>
      <c r="M2459" t="s">
        <v>67</v>
      </c>
      <c r="N2459">
        <v>1</v>
      </c>
    </row>
    <row r="2460" hidden="1" spans="1:14">
      <c r="A2460">
        <v>1064</v>
      </c>
      <c r="B2460">
        <v>0</v>
      </c>
      <c r="C2460" t="s">
        <v>595</v>
      </c>
      <c r="D2460">
        <v>0</v>
      </c>
      <c r="E2460">
        <v>34.6474</v>
      </c>
      <c r="F2460">
        <v>-0.478939</v>
      </c>
      <c r="G2460">
        <v>12428.48</v>
      </c>
      <c r="H2460" s="1">
        <v>35163</v>
      </c>
      <c r="I2460" s="1">
        <v>35166</v>
      </c>
      <c r="J2460" t="s">
        <v>15</v>
      </c>
      <c r="K2460">
        <v>0</v>
      </c>
      <c r="L2460">
        <v>1000</v>
      </c>
      <c r="M2460" t="s">
        <v>16</v>
      </c>
      <c r="N2460">
        <v>1</v>
      </c>
    </row>
    <row r="2461" hidden="1" spans="1:14">
      <c r="A2461">
        <v>1277</v>
      </c>
      <c r="B2461">
        <v>0</v>
      </c>
      <c r="C2461" t="s">
        <v>595</v>
      </c>
      <c r="D2461">
        <v>0</v>
      </c>
      <c r="E2461">
        <v>39.7108</v>
      </c>
      <c r="F2461">
        <v>-3.00967</v>
      </c>
      <c r="G2461">
        <v>34475.16</v>
      </c>
      <c r="H2461" s="1">
        <v>35718</v>
      </c>
      <c r="I2461" s="1">
        <v>35726</v>
      </c>
      <c r="J2461" t="s">
        <v>15</v>
      </c>
      <c r="K2461">
        <v>23</v>
      </c>
      <c r="L2461">
        <v>0</v>
      </c>
      <c r="M2461" t="s">
        <v>16</v>
      </c>
      <c r="N2461">
        <v>1</v>
      </c>
    </row>
    <row r="2462" hidden="1" spans="1:14">
      <c r="A2462">
        <v>1284</v>
      </c>
      <c r="B2462">
        <v>0</v>
      </c>
      <c r="C2462" t="s">
        <v>595</v>
      </c>
      <c r="D2462">
        <v>0</v>
      </c>
      <c r="E2462">
        <v>39.8117</v>
      </c>
      <c r="F2462">
        <v>-0.852182</v>
      </c>
      <c r="G2462">
        <v>8840.19</v>
      </c>
      <c r="H2462" s="1">
        <v>35764</v>
      </c>
      <c r="I2462" s="1">
        <v>35767</v>
      </c>
      <c r="J2462" t="s">
        <v>15</v>
      </c>
      <c r="K2462">
        <v>11</v>
      </c>
      <c r="L2462">
        <v>10000</v>
      </c>
      <c r="M2462" t="s">
        <v>16</v>
      </c>
      <c r="N2462">
        <v>1</v>
      </c>
    </row>
    <row r="2463" hidden="1" spans="1:14">
      <c r="A2463">
        <v>1298</v>
      </c>
      <c r="B2463">
        <v>0</v>
      </c>
      <c r="C2463" t="s">
        <v>595</v>
      </c>
      <c r="D2463" t="s">
        <v>395</v>
      </c>
      <c r="E2463">
        <v>36.7352</v>
      </c>
      <c r="F2463">
        <v>-2.3061</v>
      </c>
      <c r="G2463">
        <v>386426.39</v>
      </c>
      <c r="H2463" s="1">
        <v>35796</v>
      </c>
      <c r="I2463" s="1">
        <v>35815</v>
      </c>
      <c r="J2463" t="s">
        <v>15</v>
      </c>
      <c r="K2463">
        <v>86</v>
      </c>
      <c r="L2463">
        <v>346000</v>
      </c>
      <c r="M2463" t="s">
        <v>86</v>
      </c>
      <c r="N2463">
        <v>2</v>
      </c>
    </row>
    <row r="2464" hidden="1" spans="1:14">
      <c r="A2464">
        <v>1374</v>
      </c>
      <c r="B2464">
        <v>0</v>
      </c>
      <c r="C2464" t="s">
        <v>595</v>
      </c>
      <c r="D2464">
        <v>0</v>
      </c>
      <c r="E2464">
        <v>37.167</v>
      </c>
      <c r="F2464">
        <v>-0.955933</v>
      </c>
      <c r="G2464">
        <v>106206.57</v>
      </c>
      <c r="H2464" s="1">
        <v>35942</v>
      </c>
      <c r="I2464" s="1">
        <v>35946</v>
      </c>
      <c r="J2464" t="s">
        <v>15</v>
      </c>
      <c r="K2464">
        <v>19</v>
      </c>
      <c r="L2464">
        <v>800</v>
      </c>
      <c r="M2464" t="s">
        <v>16</v>
      </c>
      <c r="N2464">
        <v>1</v>
      </c>
    </row>
    <row r="2465" hidden="1" spans="1:14">
      <c r="A2465">
        <v>1915</v>
      </c>
      <c r="B2465">
        <v>0</v>
      </c>
      <c r="C2465" t="s">
        <v>595</v>
      </c>
      <c r="D2465">
        <v>0</v>
      </c>
      <c r="E2465">
        <v>36.9101</v>
      </c>
      <c r="F2465">
        <v>-1.21807</v>
      </c>
      <c r="G2465">
        <v>3838.09</v>
      </c>
      <c r="H2465" s="1">
        <v>37375</v>
      </c>
      <c r="I2465" s="1">
        <v>37378</v>
      </c>
      <c r="J2465" t="s">
        <v>15</v>
      </c>
      <c r="K2465">
        <v>2</v>
      </c>
      <c r="L2465">
        <v>0</v>
      </c>
      <c r="M2465" t="s">
        <v>16</v>
      </c>
      <c r="N2465">
        <v>1</v>
      </c>
    </row>
    <row r="2466" hidden="1" spans="1:14">
      <c r="A2466">
        <v>2055</v>
      </c>
      <c r="B2466">
        <v>0</v>
      </c>
      <c r="C2466" t="s">
        <v>595</v>
      </c>
      <c r="D2466">
        <v>0</v>
      </c>
      <c r="E2466">
        <v>38.8525</v>
      </c>
      <c r="F2466">
        <v>-3.08984</v>
      </c>
      <c r="G2466">
        <v>63445.93</v>
      </c>
      <c r="H2466" s="1">
        <v>37515</v>
      </c>
      <c r="I2466" s="1">
        <v>37518</v>
      </c>
      <c r="J2466" t="s">
        <v>15</v>
      </c>
      <c r="K2466">
        <v>0</v>
      </c>
      <c r="L2466">
        <v>0</v>
      </c>
      <c r="M2466" t="s">
        <v>16</v>
      </c>
      <c r="N2466">
        <v>1</v>
      </c>
    </row>
    <row r="2467" hidden="1" spans="1:14">
      <c r="A2467">
        <v>2078</v>
      </c>
      <c r="B2467">
        <v>0</v>
      </c>
      <c r="C2467" t="s">
        <v>595</v>
      </c>
      <c r="D2467">
        <v>0</v>
      </c>
      <c r="E2467">
        <v>40.0925</v>
      </c>
      <c r="F2467">
        <v>-1.41562</v>
      </c>
      <c r="G2467">
        <v>77910.06</v>
      </c>
      <c r="H2467" s="1">
        <v>37558</v>
      </c>
      <c r="I2467" s="1">
        <v>37564</v>
      </c>
      <c r="J2467" t="s">
        <v>15</v>
      </c>
      <c r="K2467">
        <v>14</v>
      </c>
      <c r="L2467">
        <v>20000</v>
      </c>
      <c r="M2467" t="s">
        <v>16</v>
      </c>
      <c r="N2467">
        <v>1</v>
      </c>
    </row>
    <row r="2468" hidden="1" spans="1:14">
      <c r="A2468">
        <v>2088</v>
      </c>
      <c r="B2468">
        <v>0</v>
      </c>
      <c r="C2468" t="s">
        <v>595</v>
      </c>
      <c r="D2468">
        <v>0</v>
      </c>
      <c r="E2468">
        <v>36.9154</v>
      </c>
      <c r="F2468">
        <v>-1.21267</v>
      </c>
      <c r="G2468">
        <v>924.671</v>
      </c>
      <c r="H2468" s="1">
        <v>37577</v>
      </c>
      <c r="I2468" s="1">
        <v>37580</v>
      </c>
      <c r="J2468" t="s">
        <v>15</v>
      </c>
      <c r="K2468">
        <v>12</v>
      </c>
      <c r="L2468">
        <v>2000</v>
      </c>
      <c r="M2468" t="s">
        <v>25</v>
      </c>
      <c r="N2468">
        <v>1</v>
      </c>
    </row>
    <row r="2469" hidden="1" spans="1:14">
      <c r="A2469">
        <v>2108</v>
      </c>
      <c r="B2469">
        <v>0</v>
      </c>
      <c r="C2469" t="s">
        <v>595</v>
      </c>
      <c r="D2469">
        <v>0</v>
      </c>
      <c r="E2469">
        <v>35.9643</v>
      </c>
      <c r="F2469">
        <v>0.498246</v>
      </c>
      <c r="G2469">
        <v>751.122</v>
      </c>
      <c r="H2469" s="1">
        <v>37611</v>
      </c>
      <c r="I2469" s="1">
        <v>37613</v>
      </c>
      <c r="J2469" t="s">
        <v>15</v>
      </c>
      <c r="K2469">
        <v>6</v>
      </c>
      <c r="L2469">
        <v>3000</v>
      </c>
      <c r="M2469" t="s">
        <v>16</v>
      </c>
      <c r="N2469">
        <v>1</v>
      </c>
    </row>
    <row r="2470" hidden="1" spans="1:14">
      <c r="A2470">
        <v>2118</v>
      </c>
      <c r="B2470">
        <v>0</v>
      </c>
      <c r="C2470" t="s">
        <v>595</v>
      </c>
      <c r="D2470">
        <v>0</v>
      </c>
      <c r="E2470">
        <v>34.8513</v>
      </c>
      <c r="F2470">
        <v>-0.10174</v>
      </c>
      <c r="G2470">
        <v>396.349</v>
      </c>
      <c r="H2470" s="1">
        <v>37625</v>
      </c>
      <c r="I2470" s="1">
        <v>37627</v>
      </c>
      <c r="J2470" t="s">
        <v>15</v>
      </c>
      <c r="K2470">
        <v>0</v>
      </c>
      <c r="L2470">
        <v>300</v>
      </c>
      <c r="M2470" t="s">
        <v>16</v>
      </c>
      <c r="N2470">
        <v>1</v>
      </c>
    </row>
    <row r="2471" hidden="1" spans="1:14">
      <c r="A2471">
        <v>2213</v>
      </c>
      <c r="B2471">
        <v>0</v>
      </c>
      <c r="C2471" t="s">
        <v>595</v>
      </c>
      <c r="D2471" t="s">
        <v>596</v>
      </c>
      <c r="E2471">
        <v>35.1979</v>
      </c>
      <c r="F2471">
        <v>-0.139191</v>
      </c>
      <c r="G2471">
        <v>466914.56</v>
      </c>
      <c r="H2471" s="1">
        <v>37732</v>
      </c>
      <c r="I2471" s="1">
        <v>37776</v>
      </c>
      <c r="J2471" t="s">
        <v>15</v>
      </c>
      <c r="K2471">
        <v>77</v>
      </c>
      <c r="L2471">
        <v>1000000</v>
      </c>
      <c r="M2471" t="s">
        <v>16</v>
      </c>
      <c r="N2471">
        <v>1</v>
      </c>
    </row>
    <row r="2472" hidden="1" spans="1:14">
      <c r="A2472">
        <v>2334</v>
      </c>
      <c r="B2472">
        <v>0</v>
      </c>
      <c r="C2472" t="s">
        <v>595</v>
      </c>
      <c r="D2472">
        <v>0</v>
      </c>
      <c r="E2472">
        <v>34.2442</v>
      </c>
      <c r="F2472">
        <v>0.22722</v>
      </c>
      <c r="G2472">
        <v>2470.75</v>
      </c>
      <c r="H2472" s="1">
        <v>37859</v>
      </c>
      <c r="I2472" s="1">
        <v>37876</v>
      </c>
      <c r="J2472" t="s">
        <v>15</v>
      </c>
      <c r="K2472">
        <v>1</v>
      </c>
      <c r="L2472">
        <v>2100</v>
      </c>
      <c r="M2472" t="s">
        <v>16</v>
      </c>
      <c r="N2472">
        <v>1</v>
      </c>
    </row>
    <row r="2473" hidden="1" spans="1:14">
      <c r="A2473">
        <v>2331</v>
      </c>
      <c r="B2473">
        <v>0</v>
      </c>
      <c r="C2473" t="s">
        <v>595</v>
      </c>
      <c r="D2473">
        <v>0</v>
      </c>
      <c r="E2473">
        <v>35.6894</v>
      </c>
      <c r="F2473">
        <v>0.98718</v>
      </c>
      <c r="G2473">
        <v>2922.85</v>
      </c>
      <c r="H2473" s="1">
        <v>37857</v>
      </c>
      <c r="I2473" s="1">
        <v>37857</v>
      </c>
      <c r="J2473" t="s">
        <v>15</v>
      </c>
      <c r="K2473">
        <v>0</v>
      </c>
      <c r="L2473">
        <v>400</v>
      </c>
      <c r="M2473" t="s">
        <v>18</v>
      </c>
      <c r="N2473">
        <v>1</v>
      </c>
    </row>
    <row r="2474" hidden="1" spans="1:14">
      <c r="A2474">
        <v>2467</v>
      </c>
      <c r="B2474">
        <v>0</v>
      </c>
      <c r="C2474" t="s">
        <v>595</v>
      </c>
      <c r="D2474">
        <v>0</v>
      </c>
      <c r="E2474">
        <v>35.2972</v>
      </c>
      <c r="F2474">
        <v>0.087035</v>
      </c>
      <c r="G2474">
        <v>268299.25</v>
      </c>
      <c r="H2474" s="1">
        <v>38086</v>
      </c>
      <c r="I2474" s="1">
        <v>38118</v>
      </c>
      <c r="J2474" t="s">
        <v>15</v>
      </c>
      <c r="K2474">
        <v>50</v>
      </c>
      <c r="L2474">
        <v>15000</v>
      </c>
      <c r="M2474" t="s">
        <v>16</v>
      </c>
      <c r="N2474">
        <v>1</v>
      </c>
    </row>
    <row r="2475" hidden="1" spans="1:14">
      <c r="A2475">
        <v>2652</v>
      </c>
      <c r="B2475">
        <v>0</v>
      </c>
      <c r="C2475" t="s">
        <v>595</v>
      </c>
      <c r="D2475" t="s">
        <v>596</v>
      </c>
      <c r="E2475">
        <v>37.2384</v>
      </c>
      <c r="F2475">
        <v>0.795883</v>
      </c>
      <c r="G2475">
        <v>443212.08</v>
      </c>
      <c r="H2475" s="1">
        <v>38475</v>
      </c>
      <c r="I2475" s="1">
        <v>38506</v>
      </c>
      <c r="J2475" t="s">
        <v>15</v>
      </c>
      <c r="K2475">
        <v>4</v>
      </c>
      <c r="L2475">
        <v>40000</v>
      </c>
      <c r="M2475" t="s">
        <v>16</v>
      </c>
      <c r="N2475">
        <v>2</v>
      </c>
    </row>
    <row r="2476" hidden="1" spans="1:14">
      <c r="A2476">
        <v>2672</v>
      </c>
      <c r="B2476">
        <v>0</v>
      </c>
      <c r="C2476" t="s">
        <v>595</v>
      </c>
      <c r="D2476">
        <v>0</v>
      </c>
      <c r="E2476">
        <v>34.2361</v>
      </c>
      <c r="F2476">
        <v>0.542042</v>
      </c>
      <c r="G2476">
        <v>3517.31</v>
      </c>
      <c r="H2476" s="1">
        <v>38520</v>
      </c>
      <c r="I2476" s="1">
        <v>38523</v>
      </c>
      <c r="J2476" t="s">
        <v>15</v>
      </c>
      <c r="K2476">
        <v>20</v>
      </c>
      <c r="L2476">
        <v>1200</v>
      </c>
      <c r="M2476" t="s">
        <v>16</v>
      </c>
      <c r="N2476">
        <v>1</v>
      </c>
    </row>
    <row r="2477" hidden="1" spans="1:14">
      <c r="A2477">
        <v>2837</v>
      </c>
      <c r="B2477" t="s">
        <v>597</v>
      </c>
      <c r="C2477" t="s">
        <v>595</v>
      </c>
      <c r="D2477">
        <v>0</v>
      </c>
      <c r="E2477">
        <v>37.5348</v>
      </c>
      <c r="F2477">
        <v>2.25351</v>
      </c>
      <c r="G2477">
        <v>538045.66</v>
      </c>
      <c r="H2477" s="1">
        <v>38811</v>
      </c>
      <c r="I2477" s="1">
        <v>38859</v>
      </c>
      <c r="J2477" t="s">
        <v>15</v>
      </c>
      <c r="K2477">
        <v>60</v>
      </c>
      <c r="L2477">
        <v>17300</v>
      </c>
      <c r="M2477" t="s">
        <v>16</v>
      </c>
      <c r="N2477">
        <v>1</v>
      </c>
    </row>
    <row r="2478" hidden="1" spans="1:14">
      <c r="A2478">
        <v>2976</v>
      </c>
      <c r="B2478" t="s">
        <v>598</v>
      </c>
      <c r="C2478" t="s">
        <v>595</v>
      </c>
      <c r="D2478">
        <v>0</v>
      </c>
      <c r="E2478">
        <v>40.005</v>
      </c>
      <c r="F2478">
        <v>-3.23915</v>
      </c>
      <c r="G2478">
        <v>12731.58</v>
      </c>
      <c r="H2478" s="1">
        <v>39005</v>
      </c>
      <c r="I2478" s="1">
        <v>39016</v>
      </c>
      <c r="J2478" t="s">
        <v>15</v>
      </c>
      <c r="K2478">
        <v>6</v>
      </c>
      <c r="L2478">
        <v>2000</v>
      </c>
      <c r="M2478" t="s">
        <v>16</v>
      </c>
      <c r="N2478">
        <v>1</v>
      </c>
    </row>
    <row r="2479" hidden="1" spans="1:14">
      <c r="A2479">
        <v>2979</v>
      </c>
      <c r="B2479" t="s">
        <v>599</v>
      </c>
      <c r="C2479" t="s">
        <v>595</v>
      </c>
      <c r="D2479" t="s">
        <v>395</v>
      </c>
      <c r="E2479">
        <v>39.7224</v>
      </c>
      <c r="F2479">
        <v>0.781782</v>
      </c>
      <c r="G2479">
        <v>950041.45</v>
      </c>
      <c r="H2479" s="1">
        <v>39013</v>
      </c>
      <c r="I2479" s="1">
        <v>39086</v>
      </c>
      <c r="J2479" t="s">
        <v>15</v>
      </c>
      <c r="K2479">
        <v>150</v>
      </c>
      <c r="L2479">
        <v>700000</v>
      </c>
      <c r="M2479" t="s">
        <v>16</v>
      </c>
      <c r="N2479">
        <v>1</v>
      </c>
    </row>
    <row r="2480" hidden="1" spans="1:14">
      <c r="A2480">
        <v>3059</v>
      </c>
      <c r="B2480">
        <v>0</v>
      </c>
      <c r="C2480" t="s">
        <v>595</v>
      </c>
      <c r="D2480">
        <v>0</v>
      </c>
      <c r="E2480">
        <v>34.1741</v>
      </c>
      <c r="F2480">
        <v>0.424911</v>
      </c>
      <c r="G2480">
        <v>1102.54</v>
      </c>
      <c r="H2480" s="1">
        <v>39193</v>
      </c>
      <c r="I2480" s="1">
        <v>39202</v>
      </c>
      <c r="J2480" t="s">
        <v>15</v>
      </c>
      <c r="K2480">
        <v>0</v>
      </c>
      <c r="L2480">
        <v>2460</v>
      </c>
      <c r="M2480" t="s">
        <v>16</v>
      </c>
      <c r="N2480">
        <v>1</v>
      </c>
    </row>
    <row r="2481" hidden="1" spans="1:14">
      <c r="A2481">
        <v>3078</v>
      </c>
      <c r="B2481" t="s">
        <v>600</v>
      </c>
      <c r="C2481" t="s">
        <v>595</v>
      </c>
      <c r="D2481">
        <v>0</v>
      </c>
      <c r="E2481">
        <v>39.7621</v>
      </c>
      <c r="F2481">
        <v>-3.59393</v>
      </c>
      <c r="G2481">
        <v>13866.05</v>
      </c>
      <c r="H2481" s="1">
        <v>39217</v>
      </c>
      <c r="I2481" s="1">
        <v>39247</v>
      </c>
      <c r="J2481" t="s">
        <v>15</v>
      </c>
      <c r="K2481">
        <v>5</v>
      </c>
      <c r="L2481">
        <v>8500</v>
      </c>
      <c r="M2481" t="s">
        <v>16</v>
      </c>
      <c r="N2481">
        <v>1</v>
      </c>
    </row>
    <row r="2482" hidden="1" spans="1:14">
      <c r="A2482">
        <v>3235</v>
      </c>
      <c r="B2482" t="s">
        <v>601</v>
      </c>
      <c r="C2482" t="s">
        <v>595</v>
      </c>
      <c r="D2482">
        <v>0</v>
      </c>
      <c r="E2482">
        <v>40.2492</v>
      </c>
      <c r="F2482">
        <v>-2.15393</v>
      </c>
      <c r="G2482">
        <v>6077.69</v>
      </c>
      <c r="H2482" s="1">
        <v>39407</v>
      </c>
      <c r="I2482" s="1">
        <v>39432</v>
      </c>
      <c r="J2482" t="s">
        <v>15</v>
      </c>
      <c r="K2482">
        <v>0</v>
      </c>
      <c r="L2482">
        <v>6000</v>
      </c>
      <c r="M2482" t="s">
        <v>16</v>
      </c>
      <c r="N2482">
        <v>1</v>
      </c>
    </row>
    <row r="2483" hidden="1" spans="1:14">
      <c r="A2483">
        <v>3240</v>
      </c>
      <c r="B2483">
        <v>0</v>
      </c>
      <c r="C2483" t="s">
        <v>595</v>
      </c>
      <c r="D2483">
        <v>0</v>
      </c>
      <c r="E2483">
        <v>38.6883</v>
      </c>
      <c r="F2483">
        <v>-3.61463</v>
      </c>
      <c r="G2483">
        <v>6215.98</v>
      </c>
      <c r="H2483" s="1">
        <v>39428</v>
      </c>
      <c r="I2483" s="1">
        <v>39431</v>
      </c>
      <c r="J2483" t="s">
        <v>15</v>
      </c>
      <c r="K2483">
        <v>4</v>
      </c>
      <c r="L2483">
        <v>2000</v>
      </c>
      <c r="M2483" t="s">
        <v>16</v>
      </c>
      <c r="N2483">
        <v>1</v>
      </c>
    </row>
    <row r="2484" hidden="1" spans="1:14">
      <c r="A2484">
        <v>3287</v>
      </c>
      <c r="B2484">
        <v>0</v>
      </c>
      <c r="C2484" t="s">
        <v>595</v>
      </c>
      <c r="D2484">
        <v>0</v>
      </c>
      <c r="E2484">
        <v>37.6723</v>
      </c>
      <c r="F2484">
        <v>2.82691</v>
      </c>
      <c r="G2484">
        <v>21278.67</v>
      </c>
      <c r="H2484" s="1">
        <v>39527</v>
      </c>
      <c r="I2484" s="1">
        <v>39540</v>
      </c>
      <c r="J2484" t="s">
        <v>15</v>
      </c>
      <c r="K2484">
        <v>2</v>
      </c>
      <c r="L2484">
        <v>10000</v>
      </c>
      <c r="M2484" t="s">
        <v>16</v>
      </c>
      <c r="N2484">
        <v>1</v>
      </c>
    </row>
    <row r="2485" hidden="1" spans="1:14">
      <c r="A2485">
        <v>3289</v>
      </c>
      <c r="B2485" t="s">
        <v>602</v>
      </c>
      <c r="C2485" t="s">
        <v>595</v>
      </c>
      <c r="E2485">
        <v>38.1658</v>
      </c>
      <c r="F2485">
        <v>-3.38095</v>
      </c>
      <c r="G2485">
        <v>50222.63</v>
      </c>
      <c r="H2485" s="1">
        <v>39524</v>
      </c>
      <c r="I2485" s="1">
        <v>39543</v>
      </c>
      <c r="J2485" t="s">
        <v>15</v>
      </c>
      <c r="K2485">
        <v>1</v>
      </c>
      <c r="L2485">
        <v>9600</v>
      </c>
      <c r="M2485" t="s">
        <v>16</v>
      </c>
      <c r="N2485">
        <v>1</v>
      </c>
    </row>
    <row r="2486" hidden="1" spans="1:14">
      <c r="A2486">
        <v>3290</v>
      </c>
      <c r="B2486">
        <v>0</v>
      </c>
      <c r="C2486" t="s">
        <v>595</v>
      </c>
      <c r="D2486">
        <v>0</v>
      </c>
      <c r="E2486">
        <v>35.2215</v>
      </c>
      <c r="F2486">
        <v>-0.178031</v>
      </c>
      <c r="G2486">
        <v>3971.84</v>
      </c>
      <c r="H2486" s="1">
        <v>39535</v>
      </c>
      <c r="I2486" s="1">
        <v>39540</v>
      </c>
      <c r="J2486" t="s">
        <v>15</v>
      </c>
      <c r="K2486">
        <v>3</v>
      </c>
      <c r="L2486">
        <v>160</v>
      </c>
      <c r="M2486" t="s">
        <v>16</v>
      </c>
      <c r="N2486">
        <v>1</v>
      </c>
    </row>
    <row r="2487" hidden="1" spans="1:14">
      <c r="A2487">
        <v>3293</v>
      </c>
      <c r="B2487">
        <v>0</v>
      </c>
      <c r="C2487" t="s">
        <v>595</v>
      </c>
      <c r="D2487">
        <v>0</v>
      </c>
      <c r="E2487">
        <v>34.4898</v>
      </c>
      <c r="F2487">
        <v>-0.560615</v>
      </c>
      <c r="G2487">
        <v>236.539</v>
      </c>
      <c r="H2487" s="1">
        <v>39558</v>
      </c>
      <c r="I2487" s="1">
        <v>39560</v>
      </c>
      <c r="J2487" t="s">
        <v>15</v>
      </c>
      <c r="K2487">
        <v>0</v>
      </c>
      <c r="L2487">
        <v>2000</v>
      </c>
      <c r="M2487" t="s">
        <v>16</v>
      </c>
      <c r="N2487">
        <v>1.5</v>
      </c>
    </row>
    <row r="2488" hidden="1" spans="1:14">
      <c r="A2488">
        <v>3321</v>
      </c>
      <c r="B2488" t="s">
        <v>603</v>
      </c>
      <c r="C2488" t="s">
        <v>595</v>
      </c>
      <c r="D2488">
        <v>0</v>
      </c>
      <c r="E2488">
        <v>40.7104</v>
      </c>
      <c r="F2488">
        <v>-2.13589</v>
      </c>
      <c r="G2488">
        <v>40027.65</v>
      </c>
      <c r="H2488" s="1">
        <v>39612</v>
      </c>
      <c r="I2488" s="1">
        <v>39619</v>
      </c>
      <c r="J2488" t="s">
        <v>15</v>
      </c>
      <c r="K2488">
        <v>16</v>
      </c>
      <c r="L2488">
        <v>8658</v>
      </c>
      <c r="M2488" t="s">
        <v>49</v>
      </c>
      <c r="N2488">
        <v>1.5</v>
      </c>
    </row>
    <row r="2489" hidden="1" spans="1:14">
      <c r="A2489">
        <v>3394</v>
      </c>
      <c r="B2489" t="s">
        <v>604</v>
      </c>
      <c r="C2489" t="s">
        <v>595</v>
      </c>
      <c r="E2489">
        <v>41.9</v>
      </c>
      <c r="F2489">
        <v>4</v>
      </c>
      <c r="G2489">
        <v>45128.33</v>
      </c>
      <c r="H2489" s="1">
        <v>39735</v>
      </c>
      <c r="I2489" s="1">
        <v>39737</v>
      </c>
      <c r="J2489" t="s">
        <v>15</v>
      </c>
      <c r="K2489">
        <v>3</v>
      </c>
      <c r="L2489">
        <v>10000</v>
      </c>
      <c r="M2489" t="s">
        <v>49</v>
      </c>
      <c r="N2489">
        <v>1</v>
      </c>
    </row>
    <row r="2490" hidden="1" spans="1:14">
      <c r="A2490">
        <v>3402</v>
      </c>
      <c r="B2490">
        <v>0</v>
      </c>
      <c r="C2490" t="s">
        <v>595</v>
      </c>
      <c r="E2490">
        <v>35.1248</v>
      </c>
      <c r="F2490">
        <v>0.048733</v>
      </c>
      <c r="G2490">
        <v>37962.69</v>
      </c>
      <c r="H2490" s="1">
        <v>39762</v>
      </c>
      <c r="I2490" s="1">
        <v>39764</v>
      </c>
      <c r="J2490" t="s">
        <v>15</v>
      </c>
      <c r="K2490">
        <v>0</v>
      </c>
      <c r="L2490">
        <v>28000</v>
      </c>
      <c r="M2490" t="s">
        <v>49</v>
      </c>
      <c r="N2490">
        <v>1.5</v>
      </c>
    </row>
    <row r="2491" hidden="1" spans="1:14">
      <c r="A2491">
        <v>3557</v>
      </c>
      <c r="B2491" t="s">
        <v>605</v>
      </c>
      <c r="C2491" t="s">
        <v>595</v>
      </c>
      <c r="E2491">
        <v>40.6773</v>
      </c>
      <c r="F2491">
        <v>2.99222</v>
      </c>
      <c r="G2491">
        <v>197665.04</v>
      </c>
      <c r="H2491" s="1">
        <v>40106</v>
      </c>
      <c r="I2491" s="1">
        <v>40114</v>
      </c>
      <c r="J2491">
        <v>0</v>
      </c>
      <c r="K2491">
        <v>0</v>
      </c>
      <c r="L2491">
        <v>2000</v>
      </c>
      <c r="M2491" t="s">
        <v>49</v>
      </c>
      <c r="N2491">
        <v>1</v>
      </c>
    </row>
    <row r="2492" hidden="1" spans="1:14">
      <c r="A2492">
        <v>3589</v>
      </c>
      <c r="B2492" t="s">
        <v>606</v>
      </c>
      <c r="C2492" t="s">
        <v>595</v>
      </c>
      <c r="D2492">
        <v>0</v>
      </c>
      <c r="E2492">
        <v>36.5237</v>
      </c>
      <c r="F2492">
        <v>1.16546</v>
      </c>
      <c r="G2492">
        <v>176698.68</v>
      </c>
      <c r="H2492" s="1">
        <v>40168</v>
      </c>
      <c r="I2492" s="1">
        <v>40191</v>
      </c>
      <c r="J2492">
        <v>0</v>
      </c>
      <c r="K2492">
        <v>21</v>
      </c>
      <c r="L2492">
        <v>30000</v>
      </c>
      <c r="M2492" t="s">
        <v>49</v>
      </c>
      <c r="N2492">
        <v>1</v>
      </c>
    </row>
    <row r="2493" hidden="1" spans="1:14">
      <c r="A2493">
        <v>3621</v>
      </c>
      <c r="B2493">
        <v>0</v>
      </c>
      <c r="C2493" t="s">
        <v>595</v>
      </c>
      <c r="D2493">
        <v>0</v>
      </c>
      <c r="E2493">
        <v>34.9929</v>
      </c>
      <c r="F2493">
        <v>0.012257</v>
      </c>
      <c r="G2493">
        <v>40320.05</v>
      </c>
      <c r="H2493" s="1">
        <v>40244</v>
      </c>
      <c r="I2493" s="1">
        <v>40301</v>
      </c>
      <c r="J2493">
        <v>0</v>
      </c>
      <c r="K2493">
        <v>26</v>
      </c>
      <c r="L2493">
        <v>2500</v>
      </c>
      <c r="M2493" t="s">
        <v>52</v>
      </c>
      <c r="N2493">
        <v>1.5</v>
      </c>
    </row>
    <row r="2494" hidden="1" spans="1:14">
      <c r="A2494">
        <v>3646</v>
      </c>
      <c r="B2494">
        <v>0</v>
      </c>
      <c r="C2494" t="s">
        <v>595</v>
      </c>
      <c r="D2494">
        <v>0</v>
      </c>
      <c r="E2494">
        <v>36.0032</v>
      </c>
      <c r="F2494">
        <v>1.50224</v>
      </c>
      <c r="G2494">
        <v>196057.68</v>
      </c>
      <c r="H2494" s="1">
        <v>40306</v>
      </c>
      <c r="I2494" s="1">
        <v>40322</v>
      </c>
      <c r="J2494">
        <v>0</v>
      </c>
      <c r="K2494">
        <v>100</v>
      </c>
      <c r="L2494">
        <v>70000</v>
      </c>
      <c r="M2494" t="s">
        <v>49</v>
      </c>
      <c r="N2494">
        <v>1.5</v>
      </c>
    </row>
    <row r="2495" hidden="1" spans="1:14">
      <c r="A2495">
        <v>3855</v>
      </c>
      <c r="C2495" t="s">
        <v>595</v>
      </c>
      <c r="E2495">
        <v>35.5731</v>
      </c>
      <c r="F2495">
        <v>0.125662</v>
      </c>
      <c r="G2495">
        <v>20554.78</v>
      </c>
      <c r="H2495" s="1">
        <v>40770</v>
      </c>
      <c r="I2495" s="1">
        <v>40794</v>
      </c>
      <c r="J2495" t="s">
        <v>15</v>
      </c>
      <c r="K2495">
        <v>8</v>
      </c>
      <c r="L2495">
        <v>4000</v>
      </c>
      <c r="M2495" t="s">
        <v>49</v>
      </c>
      <c r="N2495">
        <v>1.5</v>
      </c>
    </row>
    <row r="2496" hidden="1" spans="1:14">
      <c r="A2496">
        <v>3874</v>
      </c>
      <c r="C2496" t="s">
        <v>595</v>
      </c>
      <c r="D2496" t="s">
        <v>395</v>
      </c>
      <c r="E2496">
        <v>40.1672</v>
      </c>
      <c r="F2496">
        <v>2.18085</v>
      </c>
      <c r="G2496">
        <v>41010.11</v>
      </c>
      <c r="H2496" s="1">
        <v>40856</v>
      </c>
      <c r="I2496" s="1">
        <v>40862</v>
      </c>
      <c r="J2496" t="s">
        <v>15</v>
      </c>
      <c r="K2496">
        <v>4</v>
      </c>
      <c r="L2496">
        <v>10000</v>
      </c>
      <c r="M2496" t="s">
        <v>52</v>
      </c>
      <c r="N2496">
        <v>1.5</v>
      </c>
    </row>
    <row r="2497" hidden="1" spans="1:14">
      <c r="A2497">
        <v>3881</v>
      </c>
      <c r="C2497" t="s">
        <v>595</v>
      </c>
      <c r="E2497">
        <v>36.1168</v>
      </c>
      <c r="F2497">
        <v>0.385821</v>
      </c>
      <c r="G2497">
        <v>9789.33</v>
      </c>
      <c r="H2497" s="1">
        <v>40876</v>
      </c>
      <c r="I2497" s="1">
        <v>40899</v>
      </c>
      <c r="J2497" t="s">
        <v>15</v>
      </c>
      <c r="K2497">
        <v>24</v>
      </c>
      <c r="L2497">
        <v>98000</v>
      </c>
      <c r="M2497" t="s">
        <v>49</v>
      </c>
      <c r="N2497">
        <v>1.5</v>
      </c>
    </row>
    <row r="2498" hidden="1" spans="1:14">
      <c r="A2498">
        <v>3917</v>
      </c>
      <c r="C2498" t="s">
        <v>595</v>
      </c>
      <c r="E2498">
        <v>36.2141</v>
      </c>
      <c r="F2498">
        <v>-2.44123</v>
      </c>
      <c r="G2498">
        <v>117773.22</v>
      </c>
      <c r="H2498" s="1">
        <v>41008</v>
      </c>
      <c r="I2498" s="1">
        <v>41025</v>
      </c>
      <c r="J2498" t="s">
        <v>15</v>
      </c>
      <c r="K2498">
        <v>0</v>
      </c>
      <c r="L2498">
        <v>50</v>
      </c>
      <c r="M2498" t="s">
        <v>49</v>
      </c>
      <c r="N2498">
        <v>1</v>
      </c>
    </row>
    <row r="2499" hidden="1" spans="1:14">
      <c r="A2499">
        <v>3921</v>
      </c>
      <c r="C2499" t="s">
        <v>595</v>
      </c>
      <c r="E2499">
        <v>35.0189</v>
      </c>
      <c r="F2499">
        <v>-0.191962</v>
      </c>
      <c r="G2499">
        <v>12660.17</v>
      </c>
      <c r="H2499" s="1">
        <v>41019</v>
      </c>
      <c r="I2499" s="1">
        <v>41045</v>
      </c>
      <c r="J2499" t="s">
        <v>15</v>
      </c>
      <c r="K2499">
        <v>56</v>
      </c>
      <c r="L2499">
        <v>0</v>
      </c>
      <c r="M2499" t="s">
        <v>52</v>
      </c>
      <c r="N2499">
        <v>1.5</v>
      </c>
    </row>
    <row r="2500" hidden="1" spans="1:14">
      <c r="A2500">
        <v>3981</v>
      </c>
      <c r="C2500" t="s">
        <v>595</v>
      </c>
      <c r="E2500">
        <v>35.8295</v>
      </c>
      <c r="F2500">
        <v>1.36637</v>
      </c>
      <c r="G2500">
        <v>18459.66</v>
      </c>
      <c r="H2500" s="1">
        <v>41136</v>
      </c>
      <c r="I2500" s="1">
        <v>41159</v>
      </c>
      <c r="J2500" t="s">
        <v>15</v>
      </c>
      <c r="K2500">
        <v>0</v>
      </c>
      <c r="L2500">
        <v>3000</v>
      </c>
      <c r="M2500" t="s">
        <v>49</v>
      </c>
      <c r="N2500">
        <v>1</v>
      </c>
    </row>
    <row r="2501" hidden="1" spans="1:14">
      <c r="A2501">
        <v>4022</v>
      </c>
      <c r="C2501" t="s">
        <v>595</v>
      </c>
      <c r="E2501">
        <v>36.5172</v>
      </c>
      <c r="F2501">
        <v>0.058024</v>
      </c>
      <c r="G2501">
        <v>71113.05</v>
      </c>
      <c r="H2501" s="1">
        <v>41287</v>
      </c>
      <c r="I2501" s="1">
        <v>41291</v>
      </c>
      <c r="J2501" t="s">
        <v>15</v>
      </c>
      <c r="K2501">
        <v>20</v>
      </c>
      <c r="L2501">
        <v>400</v>
      </c>
      <c r="M2501" t="s">
        <v>49</v>
      </c>
      <c r="N2501">
        <v>1</v>
      </c>
    </row>
    <row r="2502" hidden="1" spans="1:14">
      <c r="A2502">
        <v>4043</v>
      </c>
      <c r="C2502" t="s">
        <v>595</v>
      </c>
      <c r="D2502" t="s">
        <v>596</v>
      </c>
      <c r="E2502">
        <v>36.718</v>
      </c>
      <c r="F2502">
        <v>2.46174</v>
      </c>
      <c r="G2502">
        <v>73170.41</v>
      </c>
      <c r="H2502" s="1">
        <v>41361</v>
      </c>
      <c r="I2502" s="1">
        <v>41393</v>
      </c>
      <c r="J2502" t="s">
        <v>15</v>
      </c>
      <c r="K2502">
        <v>63</v>
      </c>
      <c r="L2502">
        <v>18633</v>
      </c>
      <c r="M2502" t="s">
        <v>49</v>
      </c>
      <c r="N2502">
        <v>1.5</v>
      </c>
    </row>
    <row r="2503" hidden="1" spans="1:14">
      <c r="A2503">
        <v>4076</v>
      </c>
      <c r="C2503" t="s">
        <v>595</v>
      </c>
      <c r="E2503">
        <v>35.2088</v>
      </c>
      <c r="F2503">
        <v>1.66076</v>
      </c>
      <c r="G2503">
        <v>9047.26</v>
      </c>
      <c r="H2503" s="1">
        <v>41491</v>
      </c>
      <c r="I2503" s="1">
        <v>41493</v>
      </c>
      <c r="J2503" t="s">
        <v>15</v>
      </c>
      <c r="K2503">
        <v>0</v>
      </c>
      <c r="L2503">
        <v>5000</v>
      </c>
      <c r="M2503" t="s">
        <v>49</v>
      </c>
      <c r="N2503">
        <v>1</v>
      </c>
    </row>
    <row r="2504" hidden="1" spans="1:14">
      <c r="A2504">
        <v>4236</v>
      </c>
      <c r="C2504" t="s">
        <v>595</v>
      </c>
      <c r="D2504" t="s">
        <v>607</v>
      </c>
      <c r="E2504">
        <v>35.1089</v>
      </c>
      <c r="F2504">
        <v>0.04848</v>
      </c>
      <c r="G2504">
        <v>32934.83</v>
      </c>
      <c r="H2504" s="1">
        <v>42099</v>
      </c>
      <c r="I2504" s="1">
        <v>42109</v>
      </c>
      <c r="J2504" t="s">
        <v>15</v>
      </c>
      <c r="K2504">
        <v>13</v>
      </c>
      <c r="L2504">
        <v>6500</v>
      </c>
      <c r="M2504" t="s">
        <v>49</v>
      </c>
      <c r="N2504">
        <v>1.5</v>
      </c>
    </row>
    <row r="2505" hidden="1" spans="1:14">
      <c r="A2505">
        <v>4248</v>
      </c>
      <c r="B2505" t="s">
        <v>608</v>
      </c>
      <c r="C2505" t="s">
        <v>595</v>
      </c>
      <c r="E2505">
        <v>36.2471</v>
      </c>
      <c r="F2505">
        <v>-0.795186</v>
      </c>
      <c r="G2505">
        <v>20432.58</v>
      </c>
      <c r="H2505" s="1">
        <v>42121</v>
      </c>
      <c r="I2505" s="1">
        <v>42126</v>
      </c>
      <c r="J2505" t="s">
        <v>15</v>
      </c>
      <c r="K2505">
        <v>13</v>
      </c>
      <c r="L2505">
        <v>3000</v>
      </c>
      <c r="M2505" t="s">
        <v>49</v>
      </c>
      <c r="N2505">
        <v>1.5</v>
      </c>
    </row>
    <row r="2506" hidden="1" spans="1:14">
      <c r="A2506">
        <v>4317</v>
      </c>
      <c r="C2506" t="s">
        <v>595</v>
      </c>
      <c r="E2506">
        <v>39.5133</v>
      </c>
      <c r="F2506">
        <v>-2.03643</v>
      </c>
      <c r="G2506">
        <v>103769.52</v>
      </c>
      <c r="H2506" s="1">
        <v>42339</v>
      </c>
      <c r="I2506" s="1">
        <v>42375</v>
      </c>
      <c r="J2506" t="s">
        <v>15</v>
      </c>
      <c r="K2506">
        <v>112</v>
      </c>
      <c r="L2506">
        <v>100000</v>
      </c>
      <c r="M2506" t="s">
        <v>49</v>
      </c>
      <c r="N2506">
        <v>1.5</v>
      </c>
    </row>
    <row r="2507" hidden="1" spans="1:14">
      <c r="A2507">
        <v>4352</v>
      </c>
      <c r="C2507" t="s">
        <v>595</v>
      </c>
      <c r="D2507" t="s">
        <v>607</v>
      </c>
      <c r="E2507">
        <v>38.3442</v>
      </c>
      <c r="F2507">
        <v>-4.71451</v>
      </c>
      <c r="G2507">
        <v>117235.21</v>
      </c>
      <c r="H2507" s="1">
        <v>42473</v>
      </c>
      <c r="I2507" s="1">
        <v>42482</v>
      </c>
      <c r="J2507" t="s">
        <v>15</v>
      </c>
      <c r="K2507">
        <v>0</v>
      </c>
      <c r="L2507">
        <v>0</v>
      </c>
      <c r="M2507" t="s">
        <v>609</v>
      </c>
      <c r="N2507">
        <v>1</v>
      </c>
    </row>
    <row r="2508" hidden="1" spans="1:14">
      <c r="A2508">
        <v>4472</v>
      </c>
      <c r="C2508" t="s">
        <v>595</v>
      </c>
      <c r="E2508">
        <v>37.8802</v>
      </c>
      <c r="F2508">
        <v>-2.87879</v>
      </c>
      <c r="G2508">
        <v>55027.86</v>
      </c>
      <c r="H2508" s="1">
        <v>42863</v>
      </c>
      <c r="I2508" s="1">
        <v>42870</v>
      </c>
      <c r="J2508" t="s">
        <v>15</v>
      </c>
      <c r="K2508">
        <v>13</v>
      </c>
      <c r="L2508">
        <v>6000</v>
      </c>
      <c r="M2508" t="s">
        <v>49</v>
      </c>
      <c r="N2508">
        <v>1</v>
      </c>
    </row>
    <row r="2509" hidden="1" spans="1:14">
      <c r="A2509">
        <v>4605</v>
      </c>
      <c r="C2509" t="s">
        <v>595</v>
      </c>
      <c r="E2509">
        <v>38.0287</v>
      </c>
      <c r="F2509">
        <v>1.8322</v>
      </c>
      <c r="G2509">
        <v>265957.28</v>
      </c>
      <c r="H2509" s="1">
        <v>43205</v>
      </c>
      <c r="I2509" s="1">
        <v>43222</v>
      </c>
      <c r="J2509" t="s">
        <v>56</v>
      </c>
      <c r="K2509">
        <v>72</v>
      </c>
      <c r="L2509">
        <v>211000</v>
      </c>
      <c r="M2509" t="s">
        <v>49</v>
      </c>
      <c r="N2509">
        <v>1.5</v>
      </c>
    </row>
    <row r="2510" hidden="1" spans="1:14">
      <c r="A2510">
        <v>4806</v>
      </c>
      <c r="C2510" t="s">
        <v>595</v>
      </c>
      <c r="E2510">
        <v>39.9339</v>
      </c>
      <c r="F2510">
        <v>3.34308</v>
      </c>
      <c r="G2510">
        <v>35197.09</v>
      </c>
      <c r="H2510" s="1">
        <v>43743</v>
      </c>
      <c r="I2510" s="1">
        <v>43753</v>
      </c>
      <c r="J2510" t="s">
        <v>56</v>
      </c>
      <c r="K2510">
        <v>0</v>
      </c>
      <c r="L2510">
        <v>1000</v>
      </c>
      <c r="M2510" t="s">
        <v>49</v>
      </c>
      <c r="N2510">
        <v>1</v>
      </c>
    </row>
    <row r="2511" hidden="1" spans="1:14">
      <c r="A2511">
        <v>4818</v>
      </c>
      <c r="C2511" t="s">
        <v>595</v>
      </c>
      <c r="E2511">
        <v>39.4143</v>
      </c>
      <c r="F2511">
        <v>0.728006</v>
      </c>
      <c r="G2511">
        <v>232028.01</v>
      </c>
      <c r="H2511" s="1">
        <v>43748</v>
      </c>
      <c r="I2511" s="1">
        <v>43805</v>
      </c>
      <c r="J2511" t="s">
        <v>56</v>
      </c>
      <c r="K2511">
        <v>100</v>
      </c>
      <c r="L2511">
        <v>18000</v>
      </c>
      <c r="M2511" t="s">
        <v>49</v>
      </c>
      <c r="N2511">
        <v>1.5</v>
      </c>
    </row>
    <row r="2512" hidden="1" spans="1:14">
      <c r="A2512">
        <v>4897</v>
      </c>
      <c r="C2512" t="s">
        <v>595</v>
      </c>
      <c r="E2512">
        <v>36.5935</v>
      </c>
      <c r="F2512">
        <v>1.16343</v>
      </c>
      <c r="G2512">
        <v>154389.9</v>
      </c>
      <c r="H2512" s="1">
        <v>43917</v>
      </c>
      <c r="I2512" s="1">
        <v>43948</v>
      </c>
      <c r="J2512" t="s">
        <v>56</v>
      </c>
      <c r="K2512">
        <v>1</v>
      </c>
      <c r="L2512">
        <v>3000</v>
      </c>
      <c r="M2512" t="s">
        <v>49</v>
      </c>
      <c r="N2512">
        <v>1.5</v>
      </c>
    </row>
    <row r="2513" hidden="1" spans="1:14">
      <c r="A2513">
        <v>4955</v>
      </c>
      <c r="C2513" t="s">
        <v>595</v>
      </c>
      <c r="E2513">
        <v>37.2021</v>
      </c>
      <c r="F2513">
        <v>2.75012</v>
      </c>
      <c r="G2513">
        <v>36805.21</v>
      </c>
      <c r="H2513" s="1">
        <v>44063</v>
      </c>
      <c r="I2513" s="1">
        <v>44070</v>
      </c>
      <c r="J2513" t="s">
        <v>56</v>
      </c>
      <c r="K2513">
        <v>0</v>
      </c>
      <c r="L2513">
        <v>5000</v>
      </c>
      <c r="M2513" t="s">
        <v>610</v>
      </c>
      <c r="N2513">
        <v>1.5</v>
      </c>
    </row>
    <row r="2514" hidden="1" spans="1:14">
      <c r="A2514">
        <v>5058</v>
      </c>
      <c r="C2514" t="s">
        <v>595</v>
      </c>
      <c r="E2514">
        <v>35.4059</v>
      </c>
      <c r="F2514">
        <v>-0.422939</v>
      </c>
      <c r="G2514">
        <v>23483.27</v>
      </c>
      <c r="H2514" s="1">
        <v>44309</v>
      </c>
      <c r="I2514" s="1">
        <v>44340</v>
      </c>
      <c r="J2514" t="s">
        <v>56</v>
      </c>
      <c r="K2514">
        <v>6</v>
      </c>
      <c r="L2514">
        <v>39054</v>
      </c>
      <c r="M2514" t="s">
        <v>49</v>
      </c>
      <c r="N2514">
        <v>1.5</v>
      </c>
    </row>
    <row r="2515" hidden="1" spans="1:14">
      <c r="A2515">
        <v>176</v>
      </c>
      <c r="B2515">
        <v>0</v>
      </c>
      <c r="C2515" t="s">
        <v>611</v>
      </c>
      <c r="D2515">
        <v>0</v>
      </c>
      <c r="E2515">
        <v>36.3806</v>
      </c>
      <c r="F2515">
        <v>-0.996029</v>
      </c>
      <c r="G2515">
        <v>89591.05</v>
      </c>
      <c r="H2515" s="1">
        <v>32243</v>
      </c>
      <c r="I2515" s="1">
        <v>32273</v>
      </c>
      <c r="J2515" t="s">
        <v>15</v>
      </c>
      <c r="K2515">
        <v>60</v>
      </c>
      <c r="L2515">
        <v>10000</v>
      </c>
      <c r="M2515" t="s">
        <v>16</v>
      </c>
      <c r="N2515">
        <v>1</v>
      </c>
    </row>
    <row r="2516" hidden="1" spans="1:14">
      <c r="A2516">
        <v>1686</v>
      </c>
      <c r="B2516">
        <v>0</v>
      </c>
      <c r="C2516" t="s">
        <v>611</v>
      </c>
      <c r="D2516">
        <v>0</v>
      </c>
      <c r="E2516">
        <v>36.9363</v>
      </c>
      <c r="F2516">
        <v>-1.25302</v>
      </c>
      <c r="G2516">
        <v>4356.18</v>
      </c>
      <c r="H2516" s="1">
        <v>36904</v>
      </c>
      <c r="I2516" s="1">
        <v>36905</v>
      </c>
      <c r="J2516" t="s">
        <v>15</v>
      </c>
      <c r="K2516">
        <v>4</v>
      </c>
      <c r="L2516">
        <v>0</v>
      </c>
      <c r="M2516" t="s">
        <v>16</v>
      </c>
      <c r="N2516">
        <v>1</v>
      </c>
    </row>
    <row r="2517" hidden="1" spans="1:14">
      <c r="A2517">
        <v>647</v>
      </c>
      <c r="B2517">
        <v>0</v>
      </c>
      <c r="C2517" t="s">
        <v>612</v>
      </c>
      <c r="D2517">
        <v>0</v>
      </c>
      <c r="E2517">
        <v>74.5088</v>
      </c>
      <c r="F2517">
        <v>40.6323</v>
      </c>
      <c r="G2517">
        <v>83095.54</v>
      </c>
      <c r="H2517" s="1">
        <v>33740</v>
      </c>
      <c r="I2517" s="1">
        <v>33741</v>
      </c>
      <c r="J2517" t="s">
        <v>15</v>
      </c>
      <c r="K2517">
        <v>4</v>
      </c>
      <c r="L2517">
        <v>22336</v>
      </c>
      <c r="M2517" t="s">
        <v>16</v>
      </c>
      <c r="N2517">
        <v>1</v>
      </c>
    </row>
    <row r="2518" hidden="1" spans="1:14">
      <c r="A2518">
        <v>1372</v>
      </c>
      <c r="B2518">
        <v>0</v>
      </c>
      <c r="C2518" t="s">
        <v>612</v>
      </c>
      <c r="D2518">
        <v>0</v>
      </c>
      <c r="E2518">
        <v>70.3738</v>
      </c>
      <c r="F2518">
        <v>41.7768</v>
      </c>
      <c r="G2518">
        <v>45397</v>
      </c>
      <c r="H2518" s="1">
        <v>35933</v>
      </c>
      <c r="I2518" s="1">
        <v>35937</v>
      </c>
      <c r="J2518" t="s">
        <v>15</v>
      </c>
      <c r="K2518">
        <v>1</v>
      </c>
      <c r="L2518">
        <v>8760</v>
      </c>
      <c r="M2518" t="s">
        <v>18</v>
      </c>
      <c r="N2518">
        <v>1</v>
      </c>
    </row>
    <row r="2519" hidden="1" spans="1:14">
      <c r="A2519">
        <v>1414</v>
      </c>
      <c r="B2519">
        <v>0</v>
      </c>
      <c r="C2519" t="s">
        <v>612</v>
      </c>
      <c r="D2519" t="s">
        <v>613</v>
      </c>
      <c r="E2519">
        <v>63.3028</v>
      </c>
      <c r="F2519">
        <v>45.5457</v>
      </c>
      <c r="G2519">
        <v>529.582</v>
      </c>
      <c r="H2519" s="1">
        <v>35984</v>
      </c>
      <c r="I2519" s="1">
        <v>35984</v>
      </c>
      <c r="J2519" t="s">
        <v>15</v>
      </c>
      <c r="K2519">
        <v>93</v>
      </c>
      <c r="L2519">
        <v>14000</v>
      </c>
      <c r="M2519" t="s">
        <v>25</v>
      </c>
      <c r="N2519">
        <v>1</v>
      </c>
    </row>
    <row r="2520" hidden="1" spans="1:14">
      <c r="A2520">
        <v>2288</v>
      </c>
      <c r="B2520">
        <v>0</v>
      </c>
      <c r="C2520" t="s">
        <v>612</v>
      </c>
      <c r="D2520" t="s">
        <v>589</v>
      </c>
      <c r="E2520">
        <v>77.1033</v>
      </c>
      <c r="F2520">
        <v>43.6746</v>
      </c>
      <c r="G2520">
        <v>131879.05</v>
      </c>
      <c r="H2520" s="1">
        <v>37823</v>
      </c>
      <c r="I2520" s="1">
        <v>37827</v>
      </c>
      <c r="J2520" t="s">
        <v>15</v>
      </c>
      <c r="K2520">
        <v>1</v>
      </c>
      <c r="L2520">
        <v>0</v>
      </c>
      <c r="M2520" t="s">
        <v>16</v>
      </c>
      <c r="N2520">
        <v>1</v>
      </c>
    </row>
    <row r="2521" hidden="1" spans="1:14">
      <c r="A2521">
        <v>3057</v>
      </c>
      <c r="B2521">
        <v>0</v>
      </c>
      <c r="C2521" t="s">
        <v>612</v>
      </c>
      <c r="D2521">
        <v>0</v>
      </c>
      <c r="E2521">
        <v>73.8298</v>
      </c>
      <c r="F2521">
        <v>40.6305</v>
      </c>
      <c r="G2521">
        <v>17035.94</v>
      </c>
      <c r="H2521" s="1">
        <v>39189</v>
      </c>
      <c r="I2521" s="1">
        <v>39197</v>
      </c>
      <c r="J2521" t="s">
        <v>15</v>
      </c>
      <c r="K2521">
        <v>0</v>
      </c>
      <c r="L2521">
        <v>0</v>
      </c>
      <c r="M2521" t="s">
        <v>16</v>
      </c>
      <c r="N2521">
        <v>1</v>
      </c>
    </row>
    <row r="2522" hidden="1" spans="1:14">
      <c r="A2522">
        <v>543</v>
      </c>
      <c r="B2522">
        <v>0</v>
      </c>
      <c r="C2522" t="s">
        <v>238</v>
      </c>
      <c r="D2522">
        <v>0</v>
      </c>
      <c r="E2522">
        <v>102.592</v>
      </c>
      <c r="F2522">
        <v>21.0469</v>
      </c>
      <c r="G2522">
        <v>63858.75</v>
      </c>
      <c r="H2522" s="1">
        <v>33434</v>
      </c>
      <c r="I2522" s="1">
        <v>33441</v>
      </c>
      <c r="J2522" t="s">
        <v>15</v>
      </c>
      <c r="K2522">
        <v>16</v>
      </c>
      <c r="L2522">
        <v>800</v>
      </c>
      <c r="M2522" t="s">
        <v>16</v>
      </c>
      <c r="N2522">
        <v>1</v>
      </c>
    </row>
    <row r="2523" hidden="1" spans="1:14">
      <c r="A2523">
        <v>998</v>
      </c>
      <c r="B2523">
        <v>0</v>
      </c>
      <c r="C2523" t="s">
        <v>238</v>
      </c>
      <c r="D2523">
        <v>0</v>
      </c>
      <c r="E2523">
        <v>105.709</v>
      </c>
      <c r="F2523">
        <v>16.5417</v>
      </c>
      <c r="G2523">
        <v>72535.75</v>
      </c>
      <c r="H2523" s="1">
        <v>34960</v>
      </c>
      <c r="I2523" s="1">
        <v>34967</v>
      </c>
      <c r="J2523" t="s">
        <v>15</v>
      </c>
      <c r="K2523">
        <v>0</v>
      </c>
      <c r="L2523">
        <v>40000</v>
      </c>
      <c r="M2523" t="s">
        <v>23</v>
      </c>
      <c r="N2523">
        <v>1</v>
      </c>
    </row>
    <row r="2524" hidden="1" spans="1:14">
      <c r="A2524">
        <v>3527</v>
      </c>
      <c r="B2524" t="s">
        <v>614</v>
      </c>
      <c r="C2524" t="s">
        <v>238</v>
      </c>
      <c r="D2524">
        <v>0</v>
      </c>
      <c r="E2524">
        <v>104.792</v>
      </c>
      <c r="F2524">
        <v>17.8266</v>
      </c>
      <c r="G2524">
        <v>24950.18</v>
      </c>
      <c r="H2524" s="1">
        <v>40035</v>
      </c>
      <c r="I2524" s="1">
        <v>40036</v>
      </c>
      <c r="J2524">
        <v>0</v>
      </c>
      <c r="K2524">
        <v>10</v>
      </c>
      <c r="L2524">
        <v>0</v>
      </c>
      <c r="M2524" t="s">
        <v>49</v>
      </c>
      <c r="N2524">
        <v>1</v>
      </c>
    </row>
    <row r="2525" hidden="1" spans="1:14">
      <c r="A2525">
        <v>3833</v>
      </c>
      <c r="C2525" t="s">
        <v>238</v>
      </c>
      <c r="E2525">
        <v>101.556</v>
      </c>
      <c r="F2525">
        <v>19.3801</v>
      </c>
      <c r="G2525">
        <v>36797.7</v>
      </c>
      <c r="H2525" s="1">
        <v>40717</v>
      </c>
      <c r="I2525" s="1">
        <v>40723</v>
      </c>
      <c r="J2525" t="s">
        <v>15</v>
      </c>
      <c r="K2525">
        <v>6</v>
      </c>
      <c r="L2525">
        <v>0</v>
      </c>
      <c r="M2525" t="s">
        <v>615</v>
      </c>
      <c r="N2525">
        <v>1.5</v>
      </c>
    </row>
    <row r="2526" hidden="1" spans="1:14">
      <c r="A2526">
        <v>4070</v>
      </c>
      <c r="C2526" t="s">
        <v>238</v>
      </c>
      <c r="E2526">
        <v>104.85</v>
      </c>
      <c r="F2526">
        <v>17.6991</v>
      </c>
      <c r="G2526">
        <v>32196.91</v>
      </c>
      <c r="H2526" s="1">
        <v>41448</v>
      </c>
      <c r="I2526" s="1">
        <v>41452</v>
      </c>
      <c r="J2526" t="s">
        <v>15</v>
      </c>
      <c r="K2526">
        <v>0</v>
      </c>
      <c r="L2526">
        <v>0</v>
      </c>
      <c r="M2526" t="s">
        <v>54</v>
      </c>
      <c r="N2526">
        <v>1</v>
      </c>
    </row>
    <row r="2527" hidden="1" spans="1:14">
      <c r="A2527">
        <v>4658</v>
      </c>
      <c r="C2527" t="s">
        <v>238</v>
      </c>
      <c r="E2527">
        <v>107.137</v>
      </c>
      <c r="F2527">
        <v>15.2848</v>
      </c>
      <c r="G2527">
        <v>14503.13</v>
      </c>
      <c r="H2527" s="1">
        <v>43303</v>
      </c>
      <c r="I2527" s="1">
        <v>43306</v>
      </c>
      <c r="J2527" t="s">
        <v>15</v>
      </c>
      <c r="K2527">
        <v>20</v>
      </c>
      <c r="L2527">
        <v>6600</v>
      </c>
      <c r="M2527" t="s">
        <v>616</v>
      </c>
      <c r="N2527">
        <v>2</v>
      </c>
    </row>
    <row r="2528" hidden="1" spans="1:14">
      <c r="A2528">
        <v>3630</v>
      </c>
      <c r="B2528">
        <v>0</v>
      </c>
      <c r="C2528" t="s">
        <v>617</v>
      </c>
      <c r="D2528">
        <v>0</v>
      </c>
      <c r="E2528">
        <v>24.7977</v>
      </c>
      <c r="F2528">
        <v>56.652</v>
      </c>
      <c r="G2528">
        <v>79653.48</v>
      </c>
      <c r="H2528" s="1">
        <v>40264</v>
      </c>
      <c r="I2528" s="1">
        <v>40268</v>
      </c>
      <c r="J2528">
        <v>0</v>
      </c>
      <c r="K2528">
        <v>0</v>
      </c>
      <c r="L2528">
        <v>0</v>
      </c>
      <c r="M2528" t="s">
        <v>39</v>
      </c>
      <c r="N2528">
        <v>1</v>
      </c>
    </row>
    <row r="2529" hidden="1" spans="1:14">
      <c r="A2529">
        <v>156</v>
      </c>
      <c r="B2529">
        <v>0</v>
      </c>
      <c r="C2529" t="s">
        <v>618</v>
      </c>
      <c r="E2529">
        <v>33.9157</v>
      </c>
      <c r="F2529">
        <v>28.4698</v>
      </c>
      <c r="G2529">
        <v>12689.86</v>
      </c>
      <c r="H2529" s="1">
        <v>32067</v>
      </c>
      <c r="I2529" s="1">
        <v>32069</v>
      </c>
      <c r="J2529" t="s">
        <v>15</v>
      </c>
      <c r="K2529">
        <v>10</v>
      </c>
      <c r="L2529">
        <v>200</v>
      </c>
      <c r="M2529" t="s">
        <v>64</v>
      </c>
      <c r="N2529">
        <v>2</v>
      </c>
    </row>
    <row r="2530" hidden="1" spans="1:14">
      <c r="A2530">
        <v>609</v>
      </c>
      <c r="B2530">
        <v>0</v>
      </c>
      <c r="C2530" t="s">
        <v>618</v>
      </c>
      <c r="D2530">
        <v>0</v>
      </c>
      <c r="E2530">
        <v>35.8722</v>
      </c>
      <c r="F2530">
        <v>33.8457</v>
      </c>
      <c r="G2530">
        <v>10183.91</v>
      </c>
      <c r="H2530" s="1">
        <v>33595</v>
      </c>
      <c r="I2530" s="1">
        <v>33600</v>
      </c>
      <c r="J2530" t="s">
        <v>15</v>
      </c>
      <c r="K2530">
        <v>1</v>
      </c>
      <c r="L2530">
        <v>2000</v>
      </c>
      <c r="M2530" t="s">
        <v>16</v>
      </c>
      <c r="N2530">
        <v>1</v>
      </c>
    </row>
    <row r="2531" hidden="1" spans="1:14">
      <c r="A2531">
        <v>2107</v>
      </c>
      <c r="B2531">
        <v>0</v>
      </c>
      <c r="C2531" t="s">
        <v>618</v>
      </c>
      <c r="D2531">
        <v>0</v>
      </c>
      <c r="E2531">
        <v>35.6163</v>
      </c>
      <c r="F2531">
        <v>33.6966</v>
      </c>
      <c r="G2531">
        <v>4108.64</v>
      </c>
      <c r="H2531" s="1">
        <v>37610</v>
      </c>
      <c r="I2531" s="1">
        <v>37612</v>
      </c>
      <c r="J2531" t="s">
        <v>15</v>
      </c>
      <c r="K2531">
        <v>0</v>
      </c>
      <c r="L2531">
        <v>300</v>
      </c>
      <c r="M2531" t="s">
        <v>16</v>
      </c>
      <c r="N2531">
        <v>1</v>
      </c>
    </row>
    <row r="2532" hidden="1" spans="1:14">
      <c r="A2532">
        <v>2164</v>
      </c>
      <c r="B2532">
        <v>0</v>
      </c>
      <c r="C2532" t="s">
        <v>618</v>
      </c>
      <c r="D2532" t="s">
        <v>347</v>
      </c>
      <c r="E2532">
        <v>35.7737</v>
      </c>
      <c r="F2532">
        <v>33.545</v>
      </c>
      <c r="G2532">
        <v>6337.59</v>
      </c>
      <c r="H2532" s="1">
        <v>37673</v>
      </c>
      <c r="I2532" s="1">
        <v>37676</v>
      </c>
      <c r="J2532" t="s">
        <v>15</v>
      </c>
      <c r="K2532">
        <v>0</v>
      </c>
      <c r="L2532">
        <v>0</v>
      </c>
      <c r="M2532" t="s">
        <v>16</v>
      </c>
      <c r="N2532">
        <v>1</v>
      </c>
    </row>
    <row r="2533" hidden="1" spans="1:14">
      <c r="A2533">
        <v>3788</v>
      </c>
      <c r="C2533" t="s">
        <v>618</v>
      </c>
      <c r="D2533" t="s">
        <v>561</v>
      </c>
      <c r="E2533">
        <v>36.397</v>
      </c>
      <c r="F2533">
        <v>34.5222</v>
      </c>
      <c r="G2533">
        <v>2306.7</v>
      </c>
      <c r="H2533" s="1">
        <v>40612</v>
      </c>
      <c r="I2533" s="1">
        <v>40613</v>
      </c>
      <c r="J2533" t="s">
        <v>15</v>
      </c>
      <c r="K2533">
        <v>3</v>
      </c>
      <c r="L2533">
        <v>0</v>
      </c>
      <c r="M2533" t="s">
        <v>619</v>
      </c>
      <c r="N2533">
        <v>1</v>
      </c>
    </row>
    <row r="2534" hidden="1" spans="1:14">
      <c r="A2534">
        <v>2801</v>
      </c>
      <c r="B2534">
        <v>0</v>
      </c>
      <c r="C2534" t="s">
        <v>620</v>
      </c>
      <c r="D2534">
        <v>0</v>
      </c>
      <c r="E2534">
        <v>28.2416</v>
      </c>
      <c r="F2534">
        <v>-29.6695</v>
      </c>
      <c r="G2534">
        <v>30123.57</v>
      </c>
      <c r="H2534" s="1">
        <v>38763</v>
      </c>
      <c r="I2534" s="1">
        <v>38771</v>
      </c>
      <c r="J2534" t="s">
        <v>15</v>
      </c>
      <c r="K2534">
        <v>9</v>
      </c>
      <c r="L2534">
        <v>3000</v>
      </c>
      <c r="M2534" t="s">
        <v>16</v>
      </c>
      <c r="N2534">
        <v>2</v>
      </c>
    </row>
    <row r="2535" hidden="1" spans="1:14">
      <c r="A2535">
        <v>3778</v>
      </c>
      <c r="B2535" t="s">
        <v>621</v>
      </c>
      <c r="C2535" t="s">
        <v>620</v>
      </c>
      <c r="E2535">
        <v>28.0783</v>
      </c>
      <c r="F2535">
        <v>-29.5025</v>
      </c>
      <c r="G2535">
        <v>19634.43</v>
      </c>
      <c r="H2535" s="1">
        <v>40575</v>
      </c>
      <c r="I2535" s="1">
        <v>40590</v>
      </c>
      <c r="J2535" t="s">
        <v>15</v>
      </c>
      <c r="K2535">
        <v>26</v>
      </c>
      <c r="L2535">
        <v>5000</v>
      </c>
      <c r="M2535" t="s">
        <v>49</v>
      </c>
      <c r="N2535">
        <v>1</v>
      </c>
    </row>
    <row r="2536" hidden="1" spans="1:14">
      <c r="A2536">
        <v>1089</v>
      </c>
      <c r="B2536">
        <v>0</v>
      </c>
      <c r="C2536" t="s">
        <v>622</v>
      </c>
      <c r="D2536">
        <v>0</v>
      </c>
      <c r="E2536">
        <v>-10.3271</v>
      </c>
      <c r="F2536">
        <v>6.61336</v>
      </c>
      <c r="G2536">
        <v>18255.11</v>
      </c>
      <c r="H2536" s="1">
        <v>35261</v>
      </c>
      <c r="I2536" s="1">
        <v>35264</v>
      </c>
      <c r="J2536" t="s">
        <v>15</v>
      </c>
      <c r="K2536">
        <v>0</v>
      </c>
      <c r="L2536">
        <v>0</v>
      </c>
      <c r="M2536" t="s">
        <v>18</v>
      </c>
      <c r="N2536">
        <v>1</v>
      </c>
    </row>
    <row r="2537" hidden="1" spans="1:14">
      <c r="A2537">
        <v>1449</v>
      </c>
      <c r="B2537">
        <v>0</v>
      </c>
      <c r="C2537" t="s">
        <v>622</v>
      </c>
      <c r="D2537">
        <v>0</v>
      </c>
      <c r="E2537">
        <v>-10.9621</v>
      </c>
      <c r="F2537">
        <v>7.05753</v>
      </c>
      <c r="G2537">
        <v>5936.01</v>
      </c>
      <c r="H2537" s="1">
        <v>36055</v>
      </c>
      <c r="I2537" s="1">
        <v>36070</v>
      </c>
      <c r="J2537" t="s">
        <v>15</v>
      </c>
      <c r="K2537">
        <v>8</v>
      </c>
      <c r="L2537">
        <v>5000</v>
      </c>
      <c r="M2537" t="s">
        <v>16</v>
      </c>
      <c r="N2537">
        <v>1</v>
      </c>
    </row>
    <row r="2538" hidden="1" spans="1:14">
      <c r="A2538">
        <v>3177</v>
      </c>
      <c r="B2538" t="s">
        <v>623</v>
      </c>
      <c r="C2538" t="s">
        <v>622</v>
      </c>
      <c r="D2538">
        <v>0</v>
      </c>
      <c r="E2538">
        <v>-10.5823</v>
      </c>
      <c r="F2538">
        <v>6.50598</v>
      </c>
      <c r="G2538">
        <v>2336.59</v>
      </c>
      <c r="H2538" s="1">
        <v>39320</v>
      </c>
      <c r="I2538" s="1">
        <v>39324</v>
      </c>
      <c r="J2538" t="s">
        <v>15</v>
      </c>
      <c r="K2538">
        <v>0</v>
      </c>
      <c r="L2538">
        <v>17000</v>
      </c>
      <c r="M2538" t="s">
        <v>16</v>
      </c>
      <c r="N2538">
        <v>1.5</v>
      </c>
    </row>
    <row r="2539" hidden="1" spans="1:14">
      <c r="A2539">
        <v>3334</v>
      </c>
      <c r="C2539" t="s">
        <v>622</v>
      </c>
      <c r="D2539">
        <v>0</v>
      </c>
      <c r="E2539">
        <v>-10.2126</v>
      </c>
      <c r="F2539">
        <v>6.2298</v>
      </c>
      <c r="G2539">
        <v>33620.26</v>
      </c>
      <c r="H2539" s="1">
        <v>39640</v>
      </c>
      <c r="I2539" s="1">
        <v>39649</v>
      </c>
      <c r="J2539" t="s">
        <v>15</v>
      </c>
      <c r="K2539">
        <v>0</v>
      </c>
      <c r="L2539">
        <v>0</v>
      </c>
      <c r="M2539" t="s">
        <v>49</v>
      </c>
      <c r="N2539">
        <v>1.5</v>
      </c>
    </row>
    <row r="2540" hidden="1" spans="1:14">
      <c r="A2540">
        <v>3669</v>
      </c>
      <c r="B2540" t="s">
        <v>624</v>
      </c>
      <c r="C2540" t="s">
        <v>622</v>
      </c>
      <c r="E2540">
        <v>-7.15018</v>
      </c>
      <c r="F2540">
        <v>6.01301</v>
      </c>
      <c r="G2540">
        <v>183842.33</v>
      </c>
      <c r="H2540" s="1">
        <v>40354</v>
      </c>
      <c r="I2540" s="1">
        <v>40356</v>
      </c>
      <c r="J2540">
        <v>0</v>
      </c>
      <c r="K2540">
        <v>12</v>
      </c>
      <c r="L2540">
        <v>0</v>
      </c>
      <c r="M2540" t="s">
        <v>52</v>
      </c>
      <c r="N2540">
        <v>1</v>
      </c>
    </row>
    <row r="2541" hidden="1" spans="1:14">
      <c r="A2541">
        <v>4648</v>
      </c>
      <c r="C2541" t="s">
        <v>622</v>
      </c>
      <c r="E2541">
        <v>-10.0479</v>
      </c>
      <c r="F2541">
        <v>6.24439</v>
      </c>
      <c r="G2541">
        <v>16572.31</v>
      </c>
      <c r="H2541" s="1">
        <v>43299</v>
      </c>
      <c r="I2541" s="1">
        <v>43304</v>
      </c>
      <c r="J2541" t="s">
        <v>56</v>
      </c>
      <c r="K2541">
        <v>0</v>
      </c>
      <c r="L2541">
        <v>0</v>
      </c>
      <c r="M2541" t="s">
        <v>54</v>
      </c>
      <c r="N2541">
        <v>1</v>
      </c>
    </row>
    <row r="2542" hidden="1" spans="1:14">
      <c r="A2542">
        <v>4757</v>
      </c>
      <c r="C2542" t="s">
        <v>625</v>
      </c>
      <c r="E2542">
        <v>12.6913</v>
      </c>
      <c r="F2542">
        <v>24.5547</v>
      </c>
      <c r="G2542">
        <v>151026.83</v>
      </c>
      <c r="H2542" s="1">
        <v>43619</v>
      </c>
      <c r="I2542" s="1">
        <v>43626</v>
      </c>
      <c r="J2542" t="s">
        <v>56</v>
      </c>
      <c r="K2542">
        <v>2</v>
      </c>
      <c r="L2542">
        <v>3000</v>
      </c>
      <c r="M2542" t="s">
        <v>49</v>
      </c>
      <c r="N2542">
        <v>1.5</v>
      </c>
    </row>
    <row r="2543" hidden="1" spans="1:14">
      <c r="A2543">
        <v>1869</v>
      </c>
      <c r="B2543">
        <v>0</v>
      </c>
      <c r="C2543" t="s">
        <v>626</v>
      </c>
      <c r="D2543">
        <v>0</v>
      </c>
      <c r="E2543">
        <v>21.5702</v>
      </c>
      <c r="F2543">
        <v>55.4566</v>
      </c>
      <c r="G2543">
        <v>2866.26</v>
      </c>
      <c r="H2543" s="1">
        <v>37283</v>
      </c>
      <c r="I2543" s="1">
        <v>37289</v>
      </c>
      <c r="J2543" t="s">
        <v>15</v>
      </c>
      <c r="K2543">
        <v>0</v>
      </c>
      <c r="L2543">
        <v>0</v>
      </c>
      <c r="M2543" t="s">
        <v>39</v>
      </c>
      <c r="N2543">
        <v>1</v>
      </c>
    </row>
    <row r="2544" hidden="1" spans="1:14">
      <c r="A2544">
        <v>2068</v>
      </c>
      <c r="B2544">
        <v>0</v>
      </c>
      <c r="C2544" t="s">
        <v>436</v>
      </c>
      <c r="D2544">
        <v>0</v>
      </c>
      <c r="E2544">
        <v>22.2186</v>
      </c>
      <c r="F2544">
        <v>41.5767</v>
      </c>
      <c r="G2544">
        <v>8020.61</v>
      </c>
      <c r="H2544" s="1">
        <v>37539</v>
      </c>
      <c r="I2544" s="1">
        <v>37545</v>
      </c>
      <c r="J2544" t="s">
        <v>15</v>
      </c>
      <c r="K2544">
        <v>0</v>
      </c>
      <c r="L2544">
        <v>0</v>
      </c>
      <c r="M2544" t="s">
        <v>16</v>
      </c>
      <c r="N2544">
        <v>1</v>
      </c>
    </row>
    <row r="2545" hidden="1" spans="1:14">
      <c r="A2545">
        <v>2122</v>
      </c>
      <c r="B2545">
        <v>0</v>
      </c>
      <c r="C2545" t="s">
        <v>436</v>
      </c>
      <c r="D2545">
        <v>0</v>
      </c>
      <c r="E2545">
        <v>21.6243</v>
      </c>
      <c r="F2545">
        <v>42.0601</v>
      </c>
      <c r="G2545">
        <v>878.617</v>
      </c>
      <c r="H2545" s="1">
        <v>37629</v>
      </c>
      <c r="I2545" s="1">
        <v>37631</v>
      </c>
      <c r="J2545" t="s">
        <v>15</v>
      </c>
      <c r="K2545">
        <v>0</v>
      </c>
      <c r="L2545">
        <v>0</v>
      </c>
      <c r="M2545" t="s">
        <v>16</v>
      </c>
      <c r="N2545">
        <v>1</v>
      </c>
    </row>
    <row r="2546" hidden="1" spans="1:14">
      <c r="A2546">
        <v>2492</v>
      </c>
      <c r="B2546">
        <v>0</v>
      </c>
      <c r="C2546" t="s">
        <v>436</v>
      </c>
      <c r="D2546">
        <v>0</v>
      </c>
      <c r="E2546">
        <v>21.2685</v>
      </c>
      <c r="F2546">
        <v>42.0117</v>
      </c>
      <c r="G2546">
        <v>14374.15</v>
      </c>
      <c r="H2546" s="1">
        <v>38142</v>
      </c>
      <c r="I2546" s="1">
        <v>38145</v>
      </c>
      <c r="J2546" t="s">
        <v>15</v>
      </c>
      <c r="K2546">
        <v>0</v>
      </c>
      <c r="L2546">
        <v>2400</v>
      </c>
      <c r="M2546" t="s">
        <v>16</v>
      </c>
      <c r="N2546">
        <v>1</v>
      </c>
    </row>
    <row r="2547" hidden="1" spans="1:14">
      <c r="A2547">
        <v>4036</v>
      </c>
      <c r="C2547" t="s">
        <v>436</v>
      </c>
      <c r="E2547">
        <v>21.5776</v>
      </c>
      <c r="F2547">
        <v>42.0408</v>
      </c>
      <c r="G2547">
        <v>3700.4</v>
      </c>
      <c r="H2547" s="1">
        <v>41330</v>
      </c>
      <c r="I2547" s="1">
        <v>41337</v>
      </c>
      <c r="J2547" t="s">
        <v>15</v>
      </c>
      <c r="K2547">
        <v>1</v>
      </c>
      <c r="L2547">
        <v>1200</v>
      </c>
      <c r="M2547" t="s">
        <v>49</v>
      </c>
      <c r="N2547">
        <v>1</v>
      </c>
    </row>
    <row r="2548" hidden="1" spans="1:14">
      <c r="A2548">
        <v>4284</v>
      </c>
      <c r="B2548" t="s">
        <v>627</v>
      </c>
      <c r="C2548" t="s">
        <v>436</v>
      </c>
      <c r="E2548">
        <v>21.1907</v>
      </c>
      <c r="F2548">
        <v>41.7575</v>
      </c>
      <c r="G2548">
        <v>5957.41</v>
      </c>
      <c r="H2548" s="1">
        <v>42219</v>
      </c>
      <c r="I2548" s="1">
        <v>42221</v>
      </c>
      <c r="J2548" t="s">
        <v>15</v>
      </c>
      <c r="K2548">
        <v>4</v>
      </c>
      <c r="L2548">
        <v>0</v>
      </c>
      <c r="M2548" t="s">
        <v>52</v>
      </c>
      <c r="N2548">
        <v>1</v>
      </c>
    </row>
    <row r="2549" hidden="1" spans="1:14">
      <c r="A2549">
        <v>827</v>
      </c>
      <c r="B2549">
        <v>0</v>
      </c>
      <c r="C2549" t="s">
        <v>628</v>
      </c>
      <c r="D2549">
        <v>0</v>
      </c>
      <c r="E2549">
        <v>47.7167</v>
      </c>
      <c r="F2549">
        <v>-18.8541</v>
      </c>
      <c r="G2549">
        <v>142993.47</v>
      </c>
      <c r="H2549" s="1">
        <v>34365</v>
      </c>
      <c r="I2549" s="1">
        <v>34381</v>
      </c>
      <c r="J2549" t="s">
        <v>15</v>
      </c>
      <c r="K2549">
        <v>200</v>
      </c>
      <c r="L2549">
        <v>50000</v>
      </c>
      <c r="M2549" t="s">
        <v>86</v>
      </c>
      <c r="N2549">
        <v>1</v>
      </c>
    </row>
    <row r="2550" hidden="1" spans="1:14">
      <c r="A2550">
        <v>1143</v>
      </c>
      <c r="B2550">
        <v>0</v>
      </c>
      <c r="C2550" t="s">
        <v>628</v>
      </c>
      <c r="D2550">
        <v>0</v>
      </c>
      <c r="E2550">
        <v>46.1824</v>
      </c>
      <c r="F2550">
        <v>-23.2873</v>
      </c>
      <c r="G2550">
        <v>146889.69</v>
      </c>
      <c r="H2550" s="1">
        <v>35450</v>
      </c>
      <c r="I2550" s="1">
        <v>35456</v>
      </c>
      <c r="J2550" t="s">
        <v>15</v>
      </c>
      <c r="K2550">
        <v>140</v>
      </c>
      <c r="L2550">
        <v>63000</v>
      </c>
      <c r="M2550" t="s">
        <v>86</v>
      </c>
      <c r="N2550">
        <v>2</v>
      </c>
    </row>
    <row r="2551" hidden="1" spans="1:14">
      <c r="A2551">
        <v>1587</v>
      </c>
      <c r="B2551">
        <v>0</v>
      </c>
      <c r="C2551" t="s">
        <v>628</v>
      </c>
      <c r="D2551">
        <v>0</v>
      </c>
      <c r="E2551">
        <v>47.2957</v>
      </c>
      <c r="F2551">
        <v>-15.7826</v>
      </c>
      <c r="G2551">
        <v>255303.35</v>
      </c>
      <c r="H2551" s="1">
        <v>36573</v>
      </c>
      <c r="I2551" s="1">
        <v>36596</v>
      </c>
      <c r="J2551" t="s">
        <v>15</v>
      </c>
      <c r="K2551">
        <v>200</v>
      </c>
      <c r="L2551">
        <v>800000</v>
      </c>
      <c r="M2551" t="s">
        <v>86</v>
      </c>
      <c r="N2551">
        <v>1</v>
      </c>
    </row>
    <row r="2552" hidden="1" spans="1:14">
      <c r="A2552">
        <v>1922</v>
      </c>
      <c r="B2552">
        <v>0</v>
      </c>
      <c r="C2552" t="s">
        <v>628</v>
      </c>
      <c r="D2552">
        <v>0</v>
      </c>
      <c r="E2552">
        <v>49.1842</v>
      </c>
      <c r="F2552">
        <v>-18.2729</v>
      </c>
      <c r="G2552">
        <v>3852.68</v>
      </c>
      <c r="H2552" s="1">
        <v>37386</v>
      </c>
      <c r="I2552" s="1">
        <v>37394</v>
      </c>
      <c r="J2552" t="s">
        <v>15</v>
      </c>
      <c r="K2552">
        <v>33</v>
      </c>
      <c r="L2552">
        <v>5000</v>
      </c>
      <c r="M2552" t="s">
        <v>86</v>
      </c>
      <c r="N2552">
        <v>2</v>
      </c>
    </row>
    <row r="2553" hidden="1" spans="1:14">
      <c r="A2553">
        <v>2133</v>
      </c>
      <c r="B2553">
        <v>0</v>
      </c>
      <c r="C2553" t="s">
        <v>628</v>
      </c>
      <c r="D2553">
        <v>0</v>
      </c>
      <c r="E2553">
        <v>46.8211</v>
      </c>
      <c r="F2553">
        <v>-20.9917</v>
      </c>
      <c r="G2553">
        <v>189697.31</v>
      </c>
      <c r="H2553" s="1">
        <v>37639</v>
      </c>
      <c r="I2553" s="1">
        <v>37652</v>
      </c>
      <c r="J2553" t="s">
        <v>15</v>
      </c>
      <c r="K2553">
        <v>16</v>
      </c>
      <c r="L2553">
        <v>25000</v>
      </c>
      <c r="M2553" t="s">
        <v>16</v>
      </c>
      <c r="N2553">
        <v>1</v>
      </c>
    </row>
    <row r="2554" hidden="1" spans="1:14">
      <c r="A2554">
        <v>2230</v>
      </c>
      <c r="B2554">
        <v>0</v>
      </c>
      <c r="C2554" t="s">
        <v>628</v>
      </c>
      <c r="D2554">
        <v>0</v>
      </c>
      <c r="E2554">
        <v>48.7801</v>
      </c>
      <c r="F2554">
        <v>-19.1732</v>
      </c>
      <c r="G2554">
        <v>6123.73</v>
      </c>
      <c r="H2554" s="1">
        <v>37749</v>
      </c>
      <c r="I2554" s="1">
        <v>37753</v>
      </c>
      <c r="J2554" t="s">
        <v>15</v>
      </c>
      <c r="K2554">
        <v>68</v>
      </c>
      <c r="L2554">
        <v>47000</v>
      </c>
      <c r="M2554" t="s">
        <v>16</v>
      </c>
      <c r="N2554">
        <v>1</v>
      </c>
    </row>
    <row r="2555" hidden="1" spans="1:14">
      <c r="A2555">
        <v>2431</v>
      </c>
      <c r="B2555">
        <v>0</v>
      </c>
      <c r="C2555" t="s">
        <v>628</v>
      </c>
      <c r="D2555">
        <v>0</v>
      </c>
      <c r="E2555">
        <v>44.6424</v>
      </c>
      <c r="F2555">
        <v>-17.4825</v>
      </c>
      <c r="G2555">
        <v>176541.44</v>
      </c>
      <c r="H2555" s="1">
        <v>37994</v>
      </c>
      <c r="I2555" s="1">
        <v>38037</v>
      </c>
      <c r="J2555" t="s">
        <v>15</v>
      </c>
      <c r="K2555">
        <v>6</v>
      </c>
      <c r="L2555">
        <v>18000</v>
      </c>
      <c r="M2555" t="s">
        <v>16</v>
      </c>
      <c r="N2555">
        <v>1</v>
      </c>
    </row>
    <row r="2556" hidden="1" spans="1:14">
      <c r="A2556">
        <v>2456</v>
      </c>
      <c r="B2556">
        <v>0</v>
      </c>
      <c r="C2556" t="s">
        <v>628</v>
      </c>
      <c r="D2556">
        <v>0</v>
      </c>
      <c r="E2556">
        <v>49.3672</v>
      </c>
      <c r="F2556">
        <v>-14.3938</v>
      </c>
      <c r="G2556">
        <v>44233.26</v>
      </c>
      <c r="H2556" s="1">
        <v>38053</v>
      </c>
      <c r="I2556" s="1">
        <v>38065</v>
      </c>
      <c r="J2556" t="s">
        <v>15</v>
      </c>
      <c r="K2556">
        <v>198</v>
      </c>
      <c r="L2556">
        <v>216000</v>
      </c>
      <c r="M2556" t="s">
        <v>86</v>
      </c>
      <c r="N2556">
        <v>1</v>
      </c>
    </row>
    <row r="2557" hidden="1" spans="1:14">
      <c r="A2557">
        <v>2619</v>
      </c>
      <c r="B2557">
        <v>0</v>
      </c>
      <c r="C2557" t="s">
        <v>628</v>
      </c>
      <c r="D2557">
        <v>0</v>
      </c>
      <c r="E2557">
        <v>44.5669</v>
      </c>
      <c r="F2557">
        <v>-25.0483</v>
      </c>
      <c r="G2557">
        <v>6747.27</v>
      </c>
      <c r="H2557" s="1">
        <v>38375</v>
      </c>
      <c r="I2557" s="1">
        <v>38385</v>
      </c>
      <c r="J2557" t="s">
        <v>15</v>
      </c>
      <c r="K2557">
        <v>17</v>
      </c>
      <c r="L2557">
        <v>8000</v>
      </c>
      <c r="M2557" t="s">
        <v>86</v>
      </c>
      <c r="N2557">
        <v>1</v>
      </c>
    </row>
    <row r="2558" hidden="1" spans="1:14">
      <c r="A2558">
        <v>2633</v>
      </c>
      <c r="B2558">
        <v>0</v>
      </c>
      <c r="C2558" t="s">
        <v>628</v>
      </c>
      <c r="D2558">
        <v>0</v>
      </c>
      <c r="E2558">
        <v>48.2834</v>
      </c>
      <c r="F2558">
        <v>-17.7598</v>
      </c>
      <c r="G2558">
        <v>16367.39</v>
      </c>
      <c r="H2558" s="1">
        <v>38413</v>
      </c>
      <c r="I2558" s="1">
        <v>38426</v>
      </c>
      <c r="J2558" t="s">
        <v>15</v>
      </c>
      <c r="K2558">
        <v>25</v>
      </c>
      <c r="L2558">
        <v>8300</v>
      </c>
      <c r="M2558" t="s">
        <v>16</v>
      </c>
      <c r="N2558">
        <v>1</v>
      </c>
    </row>
    <row r="2559" hidden="1" spans="1:14">
      <c r="A2559">
        <v>2642</v>
      </c>
      <c r="B2559">
        <v>0</v>
      </c>
      <c r="C2559" t="s">
        <v>628</v>
      </c>
      <c r="D2559">
        <v>0</v>
      </c>
      <c r="E2559">
        <v>46.9769</v>
      </c>
      <c r="F2559">
        <v>-25.0057</v>
      </c>
      <c r="G2559">
        <v>150.551</v>
      </c>
      <c r="H2559" s="1">
        <v>38435</v>
      </c>
      <c r="I2559" s="1">
        <v>38437</v>
      </c>
      <c r="J2559" t="s">
        <v>15</v>
      </c>
      <c r="K2559">
        <v>0</v>
      </c>
      <c r="L2559">
        <v>900</v>
      </c>
      <c r="M2559" t="s">
        <v>16</v>
      </c>
      <c r="N2559">
        <v>1</v>
      </c>
    </row>
    <row r="2560" hidden="1" spans="1:14">
      <c r="A2560">
        <v>3030</v>
      </c>
      <c r="B2560" t="s">
        <v>629</v>
      </c>
      <c r="C2560" t="s">
        <v>628</v>
      </c>
      <c r="D2560">
        <v>0</v>
      </c>
      <c r="E2560">
        <v>46.3425</v>
      </c>
      <c r="F2560">
        <v>-18.49</v>
      </c>
      <c r="G2560">
        <v>438826.47</v>
      </c>
      <c r="H2560" s="1">
        <v>39121</v>
      </c>
      <c r="I2560" s="1">
        <v>39147</v>
      </c>
      <c r="J2560" t="s">
        <v>15</v>
      </c>
      <c r="K2560">
        <v>7</v>
      </c>
      <c r="L2560">
        <v>33000</v>
      </c>
      <c r="M2560" t="s">
        <v>86</v>
      </c>
      <c r="N2560">
        <v>1</v>
      </c>
    </row>
    <row r="2561" hidden="1" spans="1:14">
      <c r="A2561">
        <v>3038</v>
      </c>
      <c r="B2561">
        <v>0</v>
      </c>
      <c r="C2561" t="s">
        <v>628</v>
      </c>
      <c r="D2561">
        <v>0</v>
      </c>
      <c r="E2561">
        <v>49.9409</v>
      </c>
      <c r="F2561">
        <v>-14.8431</v>
      </c>
      <c r="G2561">
        <v>131716.7</v>
      </c>
      <c r="H2561" s="1">
        <v>39156</v>
      </c>
      <c r="I2561" s="1">
        <v>39167</v>
      </c>
      <c r="J2561" t="s">
        <v>15</v>
      </c>
      <c r="K2561">
        <v>80</v>
      </c>
      <c r="L2561">
        <v>30000</v>
      </c>
      <c r="M2561" t="s">
        <v>86</v>
      </c>
      <c r="N2561">
        <v>1.5</v>
      </c>
    </row>
    <row r="2562" hidden="1" spans="1:14">
      <c r="A2562">
        <v>3274</v>
      </c>
      <c r="B2562" t="s">
        <v>630</v>
      </c>
      <c r="C2562" t="s">
        <v>628</v>
      </c>
      <c r="D2562">
        <v>0</v>
      </c>
      <c r="E2562">
        <v>46.8984</v>
      </c>
      <c r="F2562">
        <v>-18.6929</v>
      </c>
      <c r="G2562">
        <v>371875.01</v>
      </c>
      <c r="H2562" s="1">
        <v>39495</v>
      </c>
      <c r="I2562" s="1">
        <v>39512</v>
      </c>
      <c r="J2562" t="s">
        <v>15</v>
      </c>
      <c r="K2562">
        <v>93</v>
      </c>
      <c r="L2562">
        <v>191000</v>
      </c>
      <c r="M2562" t="s">
        <v>86</v>
      </c>
      <c r="N2562">
        <v>1</v>
      </c>
    </row>
    <row r="2563" hidden="1" spans="1:14">
      <c r="A2563">
        <v>3441</v>
      </c>
      <c r="B2563">
        <v>0</v>
      </c>
      <c r="C2563" t="s">
        <v>628</v>
      </c>
      <c r="D2563">
        <v>0</v>
      </c>
      <c r="E2563">
        <v>46.5192</v>
      </c>
      <c r="F2563">
        <v>-17.6884</v>
      </c>
      <c r="G2563">
        <v>207786.65</v>
      </c>
      <c r="H2563" s="1">
        <v>39839</v>
      </c>
      <c r="I2563" s="1">
        <v>39840</v>
      </c>
      <c r="J2563" t="s">
        <v>15</v>
      </c>
      <c r="K2563">
        <v>33</v>
      </c>
      <c r="L2563">
        <v>0</v>
      </c>
      <c r="M2563" t="s">
        <v>49</v>
      </c>
      <c r="N2563">
        <v>1</v>
      </c>
    </row>
    <row r="2564" hidden="1" spans="1:14">
      <c r="A2564">
        <v>3909</v>
      </c>
      <c r="C2564" t="s">
        <v>628</v>
      </c>
      <c r="D2564" t="s">
        <v>631</v>
      </c>
      <c r="E2564">
        <v>46.9438</v>
      </c>
      <c r="F2564">
        <v>-18.9673</v>
      </c>
      <c r="G2564">
        <v>566733.66</v>
      </c>
      <c r="H2564" s="1">
        <v>40971</v>
      </c>
      <c r="I2564" s="1">
        <v>40975</v>
      </c>
      <c r="J2564" t="s">
        <v>15</v>
      </c>
      <c r="K2564">
        <v>65</v>
      </c>
      <c r="L2564">
        <v>0</v>
      </c>
      <c r="M2564" t="s">
        <v>632</v>
      </c>
      <c r="N2564">
        <v>1.5</v>
      </c>
    </row>
    <row r="2565" hidden="1" spans="1:14">
      <c r="A2565">
        <v>4224</v>
      </c>
      <c r="B2565" t="s">
        <v>633</v>
      </c>
      <c r="C2565" t="s">
        <v>628</v>
      </c>
      <c r="E2565">
        <v>45.9218</v>
      </c>
      <c r="F2565">
        <v>-19.6675</v>
      </c>
      <c r="G2565">
        <v>277594.75</v>
      </c>
      <c r="H2565" s="1">
        <v>42009</v>
      </c>
      <c r="I2565" s="1">
        <v>42044</v>
      </c>
      <c r="J2565" t="s">
        <v>15</v>
      </c>
      <c r="K2565">
        <v>0</v>
      </c>
      <c r="L2565">
        <v>20000</v>
      </c>
      <c r="M2565" t="s">
        <v>634</v>
      </c>
      <c r="N2565">
        <v>1.5</v>
      </c>
    </row>
    <row r="2566" hidden="1" spans="1:14">
      <c r="A2566">
        <v>4241</v>
      </c>
      <c r="C2566" t="s">
        <v>628</v>
      </c>
      <c r="E2566">
        <v>47.0106</v>
      </c>
      <c r="F2566">
        <v>-18.1557</v>
      </c>
      <c r="G2566">
        <v>68755.39</v>
      </c>
      <c r="H2566" s="1">
        <v>42068</v>
      </c>
      <c r="I2566" s="1">
        <v>42109</v>
      </c>
      <c r="J2566" t="s">
        <v>15</v>
      </c>
      <c r="K2566">
        <v>0</v>
      </c>
      <c r="L2566">
        <v>25000</v>
      </c>
      <c r="M2566" t="s">
        <v>49</v>
      </c>
      <c r="N2566">
        <v>1.5</v>
      </c>
    </row>
    <row r="2567" hidden="1" spans="1:14">
      <c r="A2567">
        <v>4559</v>
      </c>
      <c r="B2567" t="s">
        <v>635</v>
      </c>
      <c r="C2567" t="s">
        <v>628</v>
      </c>
      <c r="E2567">
        <v>47.5302</v>
      </c>
      <c r="F2567">
        <v>-20.2392</v>
      </c>
      <c r="G2567">
        <v>166873.67</v>
      </c>
      <c r="H2567" s="1">
        <v>43105</v>
      </c>
      <c r="I2567" s="1">
        <v>43108</v>
      </c>
      <c r="J2567" t="s">
        <v>15</v>
      </c>
      <c r="K2567">
        <v>6</v>
      </c>
      <c r="L2567">
        <v>15000</v>
      </c>
      <c r="M2567" t="s">
        <v>636</v>
      </c>
      <c r="N2567">
        <v>1.5</v>
      </c>
    </row>
    <row r="2568" hidden="1" spans="1:14">
      <c r="A2568">
        <v>4590</v>
      </c>
      <c r="C2568" t="s">
        <v>628</v>
      </c>
      <c r="E2568">
        <v>47.8271</v>
      </c>
      <c r="F2568">
        <v>-16.6692</v>
      </c>
      <c r="G2568">
        <v>258959.03</v>
      </c>
      <c r="H2568" s="1">
        <v>43175</v>
      </c>
      <c r="I2568" s="1">
        <v>43182</v>
      </c>
      <c r="J2568" t="s">
        <v>56</v>
      </c>
      <c r="K2568">
        <v>17</v>
      </c>
      <c r="L2568">
        <v>6000</v>
      </c>
      <c r="M2568" t="s">
        <v>637</v>
      </c>
      <c r="N2568">
        <v>1.5</v>
      </c>
    </row>
    <row r="2569" hidden="1" spans="1:14">
      <c r="A2569">
        <v>4848</v>
      </c>
      <c r="C2569" t="s">
        <v>628</v>
      </c>
      <c r="E2569">
        <v>47.3075</v>
      </c>
      <c r="F2569">
        <v>-15.9616</v>
      </c>
      <c r="G2569">
        <v>205041.88</v>
      </c>
      <c r="H2569" s="1">
        <v>43808</v>
      </c>
      <c r="I2569" s="1">
        <v>43813</v>
      </c>
      <c r="J2569" t="s">
        <v>56</v>
      </c>
      <c r="K2569">
        <v>2</v>
      </c>
      <c r="L2569">
        <v>250</v>
      </c>
      <c r="M2569" t="s">
        <v>638</v>
      </c>
      <c r="N2569">
        <v>1.5</v>
      </c>
    </row>
    <row r="2570" hidden="1" spans="1:14">
      <c r="A2570">
        <v>4877</v>
      </c>
      <c r="C2570" t="s">
        <v>628</v>
      </c>
      <c r="E2570">
        <v>48.7673</v>
      </c>
      <c r="F2570">
        <v>-14.4876</v>
      </c>
      <c r="G2570">
        <v>71740.55</v>
      </c>
      <c r="H2570" s="1">
        <v>43903</v>
      </c>
      <c r="I2570" s="1">
        <v>43907</v>
      </c>
      <c r="J2570" t="s">
        <v>56</v>
      </c>
      <c r="K2570">
        <v>4</v>
      </c>
      <c r="L2570">
        <v>2000</v>
      </c>
      <c r="M2570" t="s">
        <v>639</v>
      </c>
      <c r="N2570">
        <v>1.5</v>
      </c>
    </row>
    <row r="2571" hidden="1" spans="1:14">
      <c r="A2571">
        <v>5031</v>
      </c>
      <c r="C2571" t="s">
        <v>628</v>
      </c>
      <c r="E2571">
        <v>47.7034</v>
      </c>
      <c r="F2571">
        <v>-17.4619</v>
      </c>
      <c r="G2571">
        <v>194399.58</v>
      </c>
      <c r="H2571" s="1">
        <v>44241</v>
      </c>
      <c r="I2571" s="1">
        <v>44245</v>
      </c>
      <c r="J2571" t="s">
        <v>56</v>
      </c>
      <c r="K2571">
        <v>1</v>
      </c>
      <c r="L2571">
        <v>500</v>
      </c>
      <c r="M2571" t="s">
        <v>49</v>
      </c>
      <c r="N2571">
        <v>1.5</v>
      </c>
    </row>
    <row r="2572" hidden="1" spans="1:14">
      <c r="A2572">
        <v>118</v>
      </c>
      <c r="B2572">
        <v>0</v>
      </c>
      <c r="C2572" t="s">
        <v>640</v>
      </c>
      <c r="D2572">
        <v>0</v>
      </c>
      <c r="E2572">
        <v>47.4609</v>
      </c>
      <c r="F2572">
        <v>-19.6111</v>
      </c>
      <c r="G2572">
        <v>45555.43</v>
      </c>
      <c r="H2572" s="1">
        <v>31778</v>
      </c>
      <c r="I2572" s="1">
        <v>31803</v>
      </c>
      <c r="J2572" t="s">
        <v>15</v>
      </c>
      <c r="K2572">
        <v>2</v>
      </c>
      <c r="L2572">
        <v>40220</v>
      </c>
      <c r="M2572" t="s">
        <v>64</v>
      </c>
      <c r="N2572">
        <v>1</v>
      </c>
    </row>
    <row r="2573" hidden="1" spans="1:14">
      <c r="A2573">
        <v>4867</v>
      </c>
      <c r="C2573" t="s">
        <v>641</v>
      </c>
      <c r="E2573">
        <v>47.1838</v>
      </c>
      <c r="F2573">
        <v>-18.9495</v>
      </c>
      <c r="G2573">
        <v>443085.58</v>
      </c>
      <c r="H2573" s="1">
        <v>43850</v>
      </c>
      <c r="I2573" s="1">
        <v>43857</v>
      </c>
      <c r="J2573" t="s">
        <v>56</v>
      </c>
      <c r="K2573">
        <v>26</v>
      </c>
      <c r="L2573">
        <v>40000</v>
      </c>
      <c r="M2573" t="s">
        <v>49</v>
      </c>
      <c r="N2573">
        <v>2</v>
      </c>
    </row>
    <row r="2574" hidden="1" spans="1:14">
      <c r="A2574">
        <v>361</v>
      </c>
      <c r="B2574">
        <v>0</v>
      </c>
      <c r="C2574" t="s">
        <v>642</v>
      </c>
      <c r="D2574">
        <v>0</v>
      </c>
      <c r="E2574">
        <v>34.6858</v>
      </c>
      <c r="F2574">
        <v>-15.1862</v>
      </c>
      <c r="G2574">
        <v>35413.92</v>
      </c>
      <c r="H2574" s="1">
        <v>32759</v>
      </c>
      <c r="I2574" s="1">
        <v>32769</v>
      </c>
      <c r="J2574" t="s">
        <v>15</v>
      </c>
      <c r="K2574">
        <v>2</v>
      </c>
      <c r="L2574">
        <v>0</v>
      </c>
      <c r="M2574" t="s">
        <v>16</v>
      </c>
      <c r="N2574">
        <v>1</v>
      </c>
    </row>
    <row r="2575" hidden="1" spans="1:14">
      <c r="A2575">
        <v>291</v>
      </c>
      <c r="B2575">
        <v>0</v>
      </c>
      <c r="C2575" t="s">
        <v>642</v>
      </c>
      <c r="D2575">
        <v>0</v>
      </c>
      <c r="E2575">
        <v>34.9823</v>
      </c>
      <c r="F2575">
        <v>-16.2951</v>
      </c>
      <c r="G2575">
        <v>9168.51</v>
      </c>
      <c r="H2575" s="1">
        <v>32576</v>
      </c>
      <c r="I2575" s="1">
        <v>32582</v>
      </c>
      <c r="J2575" t="s">
        <v>15</v>
      </c>
      <c r="K2575">
        <v>6</v>
      </c>
      <c r="L2575">
        <v>37000</v>
      </c>
      <c r="M2575" t="s">
        <v>16</v>
      </c>
      <c r="N2575">
        <v>2</v>
      </c>
    </row>
    <row r="2576" hidden="1" spans="1:14">
      <c r="A2576">
        <v>496</v>
      </c>
      <c r="B2576">
        <v>0</v>
      </c>
      <c r="C2576" t="s">
        <v>642</v>
      </c>
      <c r="D2576">
        <v>0</v>
      </c>
      <c r="E2576">
        <v>35.4855</v>
      </c>
      <c r="F2576">
        <v>-15.9365</v>
      </c>
      <c r="G2576">
        <v>3061.89</v>
      </c>
      <c r="H2576" s="1">
        <v>33308</v>
      </c>
      <c r="I2576" s="1">
        <v>33311</v>
      </c>
      <c r="J2576" t="s">
        <v>15</v>
      </c>
      <c r="K2576">
        <v>500</v>
      </c>
      <c r="L2576">
        <v>150000</v>
      </c>
      <c r="M2576" t="s">
        <v>64</v>
      </c>
      <c r="N2576">
        <v>2</v>
      </c>
    </row>
    <row r="2577" hidden="1" spans="1:14">
      <c r="A2577">
        <v>928</v>
      </c>
      <c r="B2577">
        <v>0</v>
      </c>
      <c r="C2577" t="s">
        <v>642</v>
      </c>
      <c r="D2577">
        <v>0</v>
      </c>
      <c r="E2577">
        <v>33.6434</v>
      </c>
      <c r="F2577">
        <v>-10.1851</v>
      </c>
      <c r="G2577">
        <v>23461.18</v>
      </c>
      <c r="H2577" s="1">
        <v>34706</v>
      </c>
      <c r="I2577" s="1">
        <v>34708</v>
      </c>
      <c r="J2577" t="s">
        <v>15</v>
      </c>
      <c r="K2577">
        <v>1</v>
      </c>
      <c r="L2577">
        <v>0</v>
      </c>
      <c r="M2577" t="s">
        <v>16</v>
      </c>
      <c r="N2577">
        <v>1</v>
      </c>
    </row>
    <row r="2578" hidden="1" spans="1:14">
      <c r="A2578">
        <v>1148</v>
      </c>
      <c r="B2578">
        <v>0</v>
      </c>
      <c r="C2578" t="s">
        <v>642</v>
      </c>
      <c r="D2578" t="s">
        <v>631</v>
      </c>
      <c r="E2578">
        <v>34.85</v>
      </c>
      <c r="F2578">
        <v>-17.399</v>
      </c>
      <c r="G2578">
        <v>211803.7</v>
      </c>
      <c r="H2578" s="1">
        <v>35445</v>
      </c>
      <c r="I2578" s="1">
        <v>35489</v>
      </c>
      <c r="J2578" t="s">
        <v>15</v>
      </c>
      <c r="K2578">
        <v>78</v>
      </c>
      <c r="L2578">
        <v>300000</v>
      </c>
      <c r="M2578" t="s">
        <v>16</v>
      </c>
      <c r="N2578">
        <v>1</v>
      </c>
    </row>
    <row r="2579" hidden="1" spans="1:14">
      <c r="A2579">
        <v>1291</v>
      </c>
      <c r="B2579">
        <v>0</v>
      </c>
      <c r="C2579" t="s">
        <v>642</v>
      </c>
      <c r="D2579">
        <v>0</v>
      </c>
      <c r="E2579">
        <v>33.7397</v>
      </c>
      <c r="F2579">
        <v>-11.9549</v>
      </c>
      <c r="G2579">
        <v>59475.24</v>
      </c>
      <c r="H2579" s="1">
        <v>35783</v>
      </c>
      <c r="I2579" s="1">
        <v>35788</v>
      </c>
      <c r="J2579" t="s">
        <v>15</v>
      </c>
      <c r="K2579">
        <v>4</v>
      </c>
      <c r="L2579">
        <v>1500</v>
      </c>
      <c r="M2579" t="s">
        <v>16</v>
      </c>
      <c r="N2579">
        <v>1</v>
      </c>
    </row>
    <row r="2580" hidden="1" spans="1:14">
      <c r="A2580">
        <v>1314</v>
      </c>
      <c r="B2580">
        <v>0</v>
      </c>
      <c r="C2580" t="s">
        <v>642</v>
      </c>
      <c r="D2580">
        <v>0</v>
      </c>
      <c r="E2580">
        <v>35.1972</v>
      </c>
      <c r="F2580">
        <v>-13.8676</v>
      </c>
      <c r="G2580">
        <v>48379.4</v>
      </c>
      <c r="H2580" s="1">
        <v>35814</v>
      </c>
      <c r="I2580" s="1">
        <v>35830</v>
      </c>
      <c r="J2580" t="s">
        <v>15</v>
      </c>
      <c r="K2580">
        <v>0</v>
      </c>
      <c r="L2580">
        <v>10000</v>
      </c>
      <c r="M2580" t="s">
        <v>16</v>
      </c>
      <c r="N2580">
        <v>1</v>
      </c>
    </row>
    <row r="2581" hidden="1" spans="1:14">
      <c r="A2581">
        <v>1854</v>
      </c>
      <c r="B2581">
        <v>0</v>
      </c>
      <c r="C2581" t="s">
        <v>642</v>
      </c>
      <c r="D2581">
        <v>0</v>
      </c>
      <c r="E2581">
        <v>34.7346</v>
      </c>
      <c r="F2581">
        <v>-16.1951</v>
      </c>
      <c r="G2581">
        <v>3859.4</v>
      </c>
      <c r="H2581" s="1">
        <v>37254</v>
      </c>
      <c r="I2581" s="1">
        <v>37320</v>
      </c>
      <c r="J2581" t="s">
        <v>15</v>
      </c>
      <c r="K2581">
        <v>1</v>
      </c>
      <c r="L2581">
        <v>20000</v>
      </c>
      <c r="M2581" t="s">
        <v>16</v>
      </c>
      <c r="N2581">
        <v>1</v>
      </c>
    </row>
    <row r="2582" hidden="1" spans="1:14">
      <c r="A2582">
        <v>2119</v>
      </c>
      <c r="B2582">
        <v>0</v>
      </c>
      <c r="C2582" t="s">
        <v>642</v>
      </c>
      <c r="D2582" t="s">
        <v>631</v>
      </c>
      <c r="E2582">
        <v>38.8747</v>
      </c>
      <c r="F2582">
        <v>-14.7661</v>
      </c>
      <c r="G2582">
        <v>410708.54</v>
      </c>
      <c r="H2582" s="1">
        <v>37622</v>
      </c>
      <c r="I2582" s="1">
        <v>37669</v>
      </c>
      <c r="J2582" t="s">
        <v>15</v>
      </c>
      <c r="K2582">
        <v>23</v>
      </c>
      <c r="L2582">
        <v>400000</v>
      </c>
      <c r="M2582" t="s">
        <v>16</v>
      </c>
      <c r="N2582">
        <v>1</v>
      </c>
    </row>
    <row r="2583" hidden="1" spans="1:14">
      <c r="A2583">
        <v>2202</v>
      </c>
      <c r="B2583">
        <v>0</v>
      </c>
      <c r="C2583" t="s">
        <v>642</v>
      </c>
      <c r="D2583">
        <v>0</v>
      </c>
      <c r="E2583">
        <v>33.784</v>
      </c>
      <c r="F2583">
        <v>-11.0006</v>
      </c>
      <c r="G2583">
        <v>2425.73</v>
      </c>
      <c r="H2583" s="1">
        <v>37716</v>
      </c>
      <c r="I2583" s="1">
        <v>37719</v>
      </c>
      <c r="J2583" t="s">
        <v>15</v>
      </c>
      <c r="K2583">
        <v>4</v>
      </c>
      <c r="L2583">
        <v>0</v>
      </c>
      <c r="M2583" t="s">
        <v>16</v>
      </c>
      <c r="N2583">
        <v>1</v>
      </c>
    </row>
    <row r="2584" hidden="1" spans="1:14">
      <c r="A2584">
        <v>2773</v>
      </c>
      <c r="B2584">
        <v>0</v>
      </c>
      <c r="C2584" t="s">
        <v>642</v>
      </c>
      <c r="D2584" t="s">
        <v>631</v>
      </c>
      <c r="E2584">
        <v>37.1689</v>
      </c>
      <c r="F2584">
        <v>-17.2365</v>
      </c>
      <c r="G2584">
        <v>224148.16</v>
      </c>
      <c r="H2584" s="1">
        <v>38708</v>
      </c>
      <c r="I2584" s="1">
        <v>38755</v>
      </c>
      <c r="J2584" t="s">
        <v>15</v>
      </c>
      <c r="K2584">
        <v>23</v>
      </c>
      <c r="L2584">
        <v>50000</v>
      </c>
      <c r="M2584" t="s">
        <v>16</v>
      </c>
      <c r="N2584">
        <v>2</v>
      </c>
    </row>
    <row r="2585" hidden="1" spans="1:14">
      <c r="A2585">
        <v>2816</v>
      </c>
      <c r="B2585">
        <v>0</v>
      </c>
      <c r="C2585" t="s">
        <v>642</v>
      </c>
      <c r="D2585">
        <v>0</v>
      </c>
      <c r="E2585">
        <v>35.1189</v>
      </c>
      <c r="F2585">
        <v>-14.5915</v>
      </c>
      <c r="G2585">
        <v>64885.47</v>
      </c>
      <c r="H2585" s="1">
        <v>38783</v>
      </c>
      <c r="I2585" s="1">
        <v>38790</v>
      </c>
      <c r="J2585" t="s">
        <v>15</v>
      </c>
      <c r="K2585">
        <v>3</v>
      </c>
      <c r="L2585">
        <v>8000</v>
      </c>
      <c r="M2585" t="s">
        <v>16</v>
      </c>
      <c r="N2585">
        <v>2</v>
      </c>
    </row>
    <row r="2586" hidden="1" spans="1:14">
      <c r="A2586">
        <v>2999</v>
      </c>
      <c r="B2586">
        <v>0</v>
      </c>
      <c r="C2586" t="s">
        <v>642</v>
      </c>
      <c r="D2586">
        <v>0</v>
      </c>
      <c r="E2586">
        <v>34.5082</v>
      </c>
      <c r="F2586">
        <v>-15.9567</v>
      </c>
      <c r="G2586">
        <v>2766.81</v>
      </c>
      <c r="H2586" s="1">
        <v>39048</v>
      </c>
      <c r="I2586" s="1">
        <v>39050</v>
      </c>
      <c r="J2586" t="s">
        <v>15</v>
      </c>
      <c r="K2586">
        <v>5</v>
      </c>
      <c r="L2586">
        <v>8000</v>
      </c>
      <c r="M2586" t="s">
        <v>16</v>
      </c>
      <c r="N2586">
        <v>1</v>
      </c>
    </row>
    <row r="2587" hidden="1" spans="1:14">
      <c r="A2587">
        <v>3023</v>
      </c>
      <c r="B2587">
        <v>0</v>
      </c>
      <c r="C2587" t="s">
        <v>642</v>
      </c>
      <c r="E2587">
        <v>32.5913</v>
      </c>
      <c r="F2587">
        <v>-10.6231</v>
      </c>
      <c r="G2587">
        <v>259566.5</v>
      </c>
      <c r="H2587" s="1">
        <v>39102</v>
      </c>
      <c r="I2587" s="1">
        <v>39151</v>
      </c>
      <c r="J2587" t="s">
        <v>15</v>
      </c>
      <c r="K2587">
        <v>2</v>
      </c>
      <c r="L2587">
        <v>10000</v>
      </c>
      <c r="M2587" t="s">
        <v>16</v>
      </c>
      <c r="N2587">
        <v>1</v>
      </c>
    </row>
    <row r="2588" hidden="1" spans="1:14">
      <c r="A2588">
        <v>3230</v>
      </c>
      <c r="B2588">
        <v>0</v>
      </c>
      <c r="C2588" t="s">
        <v>642</v>
      </c>
      <c r="D2588">
        <v>0</v>
      </c>
      <c r="E2588">
        <v>35.2409</v>
      </c>
      <c r="F2588">
        <v>-16.8141</v>
      </c>
      <c r="G2588">
        <v>1630.54</v>
      </c>
      <c r="H2588" s="1">
        <v>39404</v>
      </c>
      <c r="I2588" s="1">
        <v>39413</v>
      </c>
      <c r="J2588" t="s">
        <v>15</v>
      </c>
      <c r="K2588">
        <v>0</v>
      </c>
      <c r="L2588">
        <v>3500</v>
      </c>
      <c r="M2588" t="s">
        <v>16</v>
      </c>
      <c r="N2588">
        <v>1</v>
      </c>
    </row>
    <row r="2589" hidden="1" spans="1:14">
      <c r="A2589">
        <v>4021</v>
      </c>
      <c r="C2589" t="s">
        <v>642</v>
      </c>
      <c r="E2589">
        <v>35.2027</v>
      </c>
      <c r="F2589">
        <v>-15.6178</v>
      </c>
      <c r="G2589">
        <v>20095.7</v>
      </c>
      <c r="H2589" s="1">
        <v>41228</v>
      </c>
      <c r="I2589" s="1">
        <v>41296</v>
      </c>
      <c r="J2589" t="s">
        <v>15</v>
      </c>
      <c r="K2589">
        <v>3</v>
      </c>
      <c r="L2589">
        <v>3000</v>
      </c>
      <c r="M2589" t="s">
        <v>49</v>
      </c>
      <c r="N2589">
        <v>1</v>
      </c>
    </row>
    <row r="2590" hidden="1" spans="1:14">
      <c r="A2590">
        <v>4219</v>
      </c>
      <c r="B2590" t="s">
        <v>643</v>
      </c>
      <c r="C2590" t="s">
        <v>642</v>
      </c>
      <c r="D2590" t="s">
        <v>631</v>
      </c>
      <c r="E2590">
        <v>35.3564</v>
      </c>
      <c r="F2590">
        <v>-18.7946</v>
      </c>
      <c r="G2590">
        <v>485939.39</v>
      </c>
      <c r="H2590" s="1">
        <v>42005</v>
      </c>
      <c r="I2590" s="1">
        <v>42044</v>
      </c>
      <c r="J2590" t="s">
        <v>15</v>
      </c>
      <c r="K2590">
        <v>276</v>
      </c>
      <c r="L2590">
        <v>336000</v>
      </c>
      <c r="M2590" t="s">
        <v>49</v>
      </c>
      <c r="N2590">
        <v>2</v>
      </c>
    </row>
    <row r="2591" hidden="1" spans="1:14">
      <c r="A2591">
        <v>4344</v>
      </c>
      <c r="C2591" t="s">
        <v>642</v>
      </c>
      <c r="E2591">
        <v>33.8223</v>
      </c>
      <c r="F2591">
        <v>-11.5543</v>
      </c>
      <c r="G2591">
        <v>57108.65</v>
      </c>
      <c r="H2591" s="1">
        <v>42466</v>
      </c>
      <c r="I2591" s="1">
        <v>42473</v>
      </c>
      <c r="J2591" t="s">
        <v>15</v>
      </c>
      <c r="K2591">
        <v>10</v>
      </c>
      <c r="L2591">
        <v>300</v>
      </c>
      <c r="M2591" t="s">
        <v>49</v>
      </c>
      <c r="N2591">
        <v>1</v>
      </c>
    </row>
    <row r="2592" hidden="1" spans="1:14">
      <c r="A2592">
        <v>4460</v>
      </c>
      <c r="C2592" t="s">
        <v>642</v>
      </c>
      <c r="E2592">
        <v>33.8718</v>
      </c>
      <c r="F2592">
        <v>-10.3642</v>
      </c>
      <c r="G2592">
        <v>24405.78</v>
      </c>
      <c r="H2592" s="1">
        <v>42829</v>
      </c>
      <c r="I2592" s="1">
        <v>42843</v>
      </c>
      <c r="J2592" t="s">
        <v>15</v>
      </c>
      <c r="K2592">
        <v>4</v>
      </c>
      <c r="L2592">
        <v>0</v>
      </c>
      <c r="M2592" t="s">
        <v>49</v>
      </c>
      <c r="N2592">
        <v>1</v>
      </c>
    </row>
    <row r="2593" hidden="1" spans="1:14">
      <c r="A2593">
        <v>4553</v>
      </c>
      <c r="C2593" t="s">
        <v>642</v>
      </c>
      <c r="E2593">
        <v>34.1563</v>
      </c>
      <c r="F2593">
        <v>-13.9097</v>
      </c>
      <c r="G2593">
        <v>11840.41</v>
      </c>
      <c r="H2593" s="1">
        <v>43085</v>
      </c>
      <c r="I2593" s="1">
        <v>43088</v>
      </c>
      <c r="J2593" t="s">
        <v>15</v>
      </c>
      <c r="K2593">
        <v>6</v>
      </c>
      <c r="L2593">
        <v>0</v>
      </c>
      <c r="M2593" t="s">
        <v>52</v>
      </c>
      <c r="N2593">
        <v>1</v>
      </c>
    </row>
    <row r="2594" hidden="1" spans="1:14">
      <c r="A2594">
        <v>4570</v>
      </c>
      <c r="C2594" t="s">
        <v>642</v>
      </c>
      <c r="E2594">
        <v>33.847</v>
      </c>
      <c r="F2594">
        <v>-10.3514</v>
      </c>
      <c r="G2594">
        <v>25660.35</v>
      </c>
      <c r="H2594" s="1">
        <v>43132</v>
      </c>
      <c r="I2594" s="1">
        <v>43145</v>
      </c>
      <c r="J2594" t="s">
        <v>56</v>
      </c>
      <c r="K2594">
        <v>1</v>
      </c>
      <c r="L2594">
        <v>300</v>
      </c>
      <c r="M2594" t="s">
        <v>49</v>
      </c>
      <c r="N2594">
        <v>1</v>
      </c>
    </row>
    <row r="2595" hidden="1" spans="1:14">
      <c r="A2595">
        <v>4585</v>
      </c>
      <c r="C2595" t="s">
        <v>642</v>
      </c>
      <c r="E2595">
        <v>34.3666</v>
      </c>
      <c r="F2595">
        <v>-14.9262</v>
      </c>
      <c r="G2595">
        <v>60622.11</v>
      </c>
      <c r="H2595" s="1">
        <v>43162</v>
      </c>
      <c r="I2595" s="1">
        <v>43173</v>
      </c>
      <c r="J2595" t="s">
        <v>56</v>
      </c>
      <c r="K2595">
        <v>0</v>
      </c>
      <c r="L2595">
        <v>200</v>
      </c>
      <c r="M2595" t="s">
        <v>49</v>
      </c>
      <c r="N2595">
        <v>1</v>
      </c>
    </row>
    <row r="2596" hidden="1" spans="1:14">
      <c r="A2596">
        <v>4599</v>
      </c>
      <c r="C2596" t="s">
        <v>642</v>
      </c>
      <c r="E2596">
        <v>34.0202</v>
      </c>
      <c r="F2596">
        <v>-11.1575</v>
      </c>
      <c r="G2596">
        <v>37319.62</v>
      </c>
      <c r="H2596" s="1">
        <v>43201</v>
      </c>
      <c r="I2596" s="1">
        <v>43207</v>
      </c>
      <c r="J2596" t="s">
        <v>56</v>
      </c>
      <c r="K2596">
        <v>4</v>
      </c>
      <c r="L2596">
        <v>1000</v>
      </c>
      <c r="M2596" t="s">
        <v>49</v>
      </c>
      <c r="N2596">
        <v>1.5</v>
      </c>
    </row>
    <row r="2597" hidden="1" spans="1:14">
      <c r="A2597">
        <v>4725</v>
      </c>
      <c r="C2597" t="s">
        <v>642</v>
      </c>
      <c r="D2597" t="s">
        <v>631</v>
      </c>
      <c r="E2597">
        <v>34.3171</v>
      </c>
      <c r="F2597">
        <v>-14.5296</v>
      </c>
      <c r="G2597">
        <v>77812.85</v>
      </c>
      <c r="H2597" s="1">
        <v>43507</v>
      </c>
      <c r="I2597" s="1">
        <v>43551</v>
      </c>
      <c r="J2597" t="s">
        <v>56</v>
      </c>
      <c r="K2597">
        <v>900</v>
      </c>
      <c r="L2597">
        <v>100000</v>
      </c>
      <c r="M2597" t="s">
        <v>644</v>
      </c>
      <c r="N2597">
        <v>2</v>
      </c>
    </row>
    <row r="2598" hidden="1" spans="1:14">
      <c r="A2598">
        <v>4841</v>
      </c>
      <c r="C2598" t="s">
        <v>642</v>
      </c>
      <c r="E2598">
        <v>33.5996</v>
      </c>
      <c r="F2598">
        <v>-13.6739</v>
      </c>
      <c r="G2598">
        <v>7076.28</v>
      </c>
      <c r="H2598" s="1">
        <v>43824</v>
      </c>
      <c r="I2598" s="1">
        <v>43838</v>
      </c>
      <c r="J2598" t="s">
        <v>56</v>
      </c>
      <c r="K2598">
        <v>0</v>
      </c>
      <c r="L2598">
        <v>0</v>
      </c>
      <c r="M2598" t="s">
        <v>49</v>
      </c>
      <c r="N2598">
        <v>1.5</v>
      </c>
    </row>
    <row r="2599" hidden="1" spans="1:14">
      <c r="A2599">
        <v>1684</v>
      </c>
      <c r="B2599">
        <v>0</v>
      </c>
      <c r="C2599" t="s">
        <v>645</v>
      </c>
      <c r="D2599">
        <v>0</v>
      </c>
      <c r="E2599">
        <v>33.5624</v>
      </c>
      <c r="F2599">
        <v>-10.6938</v>
      </c>
      <c r="G2599">
        <v>10394.92</v>
      </c>
      <c r="H2599" s="1">
        <v>36895</v>
      </c>
      <c r="I2599" s="1">
        <v>36895</v>
      </c>
      <c r="J2599" t="s">
        <v>15</v>
      </c>
      <c r="K2599">
        <v>5</v>
      </c>
      <c r="L2599">
        <v>14</v>
      </c>
      <c r="M2599" t="s">
        <v>16</v>
      </c>
      <c r="N2599">
        <v>1</v>
      </c>
    </row>
    <row r="2600" hidden="1" spans="1:14">
      <c r="A2600">
        <v>2454</v>
      </c>
      <c r="B2600">
        <v>0</v>
      </c>
      <c r="C2600" t="s">
        <v>646</v>
      </c>
      <c r="D2600">
        <v>0</v>
      </c>
      <c r="E2600">
        <v>103.354</v>
      </c>
      <c r="F2600">
        <v>1.86645</v>
      </c>
      <c r="G2600">
        <v>14015.3</v>
      </c>
      <c r="H2600" s="1">
        <v>38054</v>
      </c>
      <c r="I2600" s="1">
        <v>38059</v>
      </c>
      <c r="J2600" t="s">
        <v>15</v>
      </c>
      <c r="K2600">
        <v>0</v>
      </c>
      <c r="L2600">
        <v>12400</v>
      </c>
      <c r="M2600" t="s">
        <v>23</v>
      </c>
      <c r="N2600">
        <v>1</v>
      </c>
    </row>
    <row r="2601" hidden="1" spans="1:14">
      <c r="A2601">
        <v>610</v>
      </c>
      <c r="B2601">
        <v>0</v>
      </c>
      <c r="C2601" t="s">
        <v>524</v>
      </c>
      <c r="D2601">
        <v>0</v>
      </c>
      <c r="E2601">
        <v>112.949</v>
      </c>
      <c r="F2601">
        <v>2.98399</v>
      </c>
      <c r="G2601">
        <v>67098.99</v>
      </c>
      <c r="H2601" s="1">
        <v>33596</v>
      </c>
      <c r="I2601" s="1">
        <v>33602</v>
      </c>
      <c r="J2601" t="s">
        <v>15</v>
      </c>
      <c r="K2601">
        <v>11</v>
      </c>
      <c r="L2601">
        <v>0</v>
      </c>
      <c r="M2601" t="s">
        <v>16</v>
      </c>
      <c r="N2601">
        <v>1</v>
      </c>
    </row>
    <row r="2602" hidden="1" spans="1:14">
      <c r="A2602">
        <v>813</v>
      </c>
      <c r="B2602">
        <v>0</v>
      </c>
      <c r="C2602" t="s">
        <v>524</v>
      </c>
      <c r="D2602">
        <v>0</v>
      </c>
      <c r="E2602">
        <v>102.442</v>
      </c>
      <c r="F2602">
        <v>3.79233</v>
      </c>
      <c r="G2602">
        <v>103827.06</v>
      </c>
      <c r="H2602" s="1">
        <v>34325</v>
      </c>
      <c r="I2602" s="1">
        <v>34330</v>
      </c>
      <c r="J2602" t="s">
        <v>15</v>
      </c>
      <c r="K2602">
        <v>23</v>
      </c>
      <c r="L2602">
        <v>20000</v>
      </c>
      <c r="M2602" t="s">
        <v>23</v>
      </c>
      <c r="N2602">
        <v>1</v>
      </c>
    </row>
    <row r="2603" hidden="1" spans="1:14">
      <c r="A2603">
        <v>999</v>
      </c>
      <c r="B2603">
        <v>0</v>
      </c>
      <c r="C2603" t="s">
        <v>524</v>
      </c>
      <c r="D2603">
        <v>0</v>
      </c>
      <c r="E2603">
        <v>100.367</v>
      </c>
      <c r="F2603">
        <v>5.34767</v>
      </c>
      <c r="G2603">
        <v>1275.56</v>
      </c>
      <c r="H2603" s="1">
        <v>34959</v>
      </c>
      <c r="I2603" s="1">
        <v>34964</v>
      </c>
      <c r="J2603" t="s">
        <v>15</v>
      </c>
      <c r="K2603">
        <v>0</v>
      </c>
      <c r="L2603">
        <v>5120</v>
      </c>
      <c r="M2603" t="s">
        <v>16</v>
      </c>
      <c r="N2603">
        <v>1</v>
      </c>
    </row>
    <row r="2604" hidden="1" spans="1:14">
      <c r="A2604">
        <v>1139</v>
      </c>
      <c r="B2604">
        <v>0</v>
      </c>
      <c r="C2604" t="s">
        <v>524</v>
      </c>
      <c r="D2604">
        <v>0</v>
      </c>
      <c r="E2604">
        <v>117.312</v>
      </c>
      <c r="F2604">
        <v>5.51372</v>
      </c>
      <c r="G2604">
        <v>73244.21</v>
      </c>
      <c r="H2604" s="1">
        <v>35425</v>
      </c>
      <c r="I2604" s="1">
        <v>35427</v>
      </c>
      <c r="J2604" t="s">
        <v>15</v>
      </c>
      <c r="K2604">
        <v>200</v>
      </c>
      <c r="L2604">
        <v>7000</v>
      </c>
      <c r="M2604" t="s">
        <v>49</v>
      </c>
      <c r="N2604">
        <v>1</v>
      </c>
    </row>
    <row r="2605" hidden="1" spans="1:14">
      <c r="A2605">
        <v>1266</v>
      </c>
      <c r="B2605">
        <v>0</v>
      </c>
      <c r="C2605" t="s">
        <v>524</v>
      </c>
      <c r="D2605">
        <v>0</v>
      </c>
      <c r="E2605">
        <v>100.618</v>
      </c>
      <c r="F2605">
        <v>5.87962</v>
      </c>
      <c r="G2605">
        <v>11246.8</v>
      </c>
      <c r="H2605" s="1">
        <v>35665</v>
      </c>
      <c r="I2605" s="1">
        <v>35669</v>
      </c>
      <c r="J2605" t="s">
        <v>15</v>
      </c>
      <c r="K2605">
        <v>6</v>
      </c>
      <c r="L2605">
        <v>2115</v>
      </c>
      <c r="M2605" t="s">
        <v>16</v>
      </c>
      <c r="N2605">
        <v>1</v>
      </c>
    </row>
    <row r="2606" hidden="1" spans="1:14">
      <c r="A2606">
        <v>1481</v>
      </c>
      <c r="B2606">
        <v>0</v>
      </c>
      <c r="C2606" t="s">
        <v>524</v>
      </c>
      <c r="E2606">
        <v>103.263</v>
      </c>
      <c r="F2606">
        <v>4.28471</v>
      </c>
      <c r="G2606">
        <v>72079.7</v>
      </c>
      <c r="H2606" s="1">
        <v>36149</v>
      </c>
      <c r="I2606" s="1">
        <v>36150</v>
      </c>
      <c r="J2606" t="s">
        <v>15</v>
      </c>
      <c r="K2606">
        <v>0</v>
      </c>
      <c r="L2606">
        <v>0</v>
      </c>
      <c r="M2606">
        <v>0</v>
      </c>
      <c r="N2606">
        <v>1</v>
      </c>
    </row>
    <row r="2607" hidden="1" spans="1:14">
      <c r="A2607">
        <v>1549</v>
      </c>
      <c r="B2607">
        <v>0</v>
      </c>
      <c r="C2607" t="s">
        <v>524</v>
      </c>
      <c r="D2607">
        <v>0</v>
      </c>
      <c r="E2607">
        <v>99.6797</v>
      </c>
      <c r="F2607">
        <v>7.6154</v>
      </c>
      <c r="G2607">
        <v>29032.52</v>
      </c>
      <c r="H2607" s="1">
        <v>36406</v>
      </c>
      <c r="I2607" s="1">
        <v>36410</v>
      </c>
      <c r="J2607" t="s">
        <v>15</v>
      </c>
      <c r="K2607">
        <v>0</v>
      </c>
      <c r="L2607">
        <v>2000</v>
      </c>
      <c r="M2607" t="s">
        <v>16</v>
      </c>
      <c r="N2607">
        <v>1</v>
      </c>
    </row>
    <row r="2608" hidden="1" spans="1:14">
      <c r="A2608">
        <v>1844</v>
      </c>
      <c r="B2608">
        <v>0</v>
      </c>
      <c r="C2608" t="s">
        <v>524</v>
      </c>
      <c r="D2608">
        <v>0</v>
      </c>
      <c r="E2608">
        <v>103.134</v>
      </c>
      <c r="F2608">
        <v>4.65766</v>
      </c>
      <c r="G2608">
        <v>22936.16</v>
      </c>
      <c r="H2608" s="1">
        <v>37247</v>
      </c>
      <c r="I2608" s="1">
        <v>37259</v>
      </c>
      <c r="J2608" t="s">
        <v>15</v>
      </c>
      <c r="K2608">
        <v>11</v>
      </c>
      <c r="L2608">
        <v>18000</v>
      </c>
      <c r="M2608" t="s">
        <v>16</v>
      </c>
      <c r="N2608">
        <v>1</v>
      </c>
    </row>
    <row r="2609" hidden="1" spans="1:14">
      <c r="A2609">
        <v>2098</v>
      </c>
      <c r="B2609">
        <v>0</v>
      </c>
      <c r="C2609" t="s">
        <v>524</v>
      </c>
      <c r="D2609">
        <v>0</v>
      </c>
      <c r="E2609">
        <v>102.695</v>
      </c>
      <c r="F2609">
        <v>2.40946</v>
      </c>
      <c r="G2609">
        <v>1235.54</v>
      </c>
      <c r="H2609" s="1">
        <v>37579</v>
      </c>
      <c r="I2609" s="1">
        <v>37586</v>
      </c>
      <c r="J2609" t="s">
        <v>15</v>
      </c>
      <c r="K2609">
        <v>0</v>
      </c>
      <c r="L2609">
        <v>400</v>
      </c>
      <c r="M2609" t="s">
        <v>16</v>
      </c>
      <c r="N2609">
        <v>1</v>
      </c>
    </row>
    <row r="2610" hidden="1" spans="1:14">
      <c r="A2610">
        <v>2112</v>
      </c>
      <c r="B2610">
        <v>0</v>
      </c>
      <c r="C2610" t="s">
        <v>524</v>
      </c>
      <c r="D2610">
        <v>0</v>
      </c>
      <c r="E2610">
        <v>101.909</v>
      </c>
      <c r="F2610">
        <v>2.59221</v>
      </c>
      <c r="G2610">
        <v>898.687</v>
      </c>
      <c r="H2610" s="1">
        <v>37617</v>
      </c>
      <c r="I2610" s="1">
        <v>37619</v>
      </c>
      <c r="J2610" t="s">
        <v>15</v>
      </c>
      <c r="K2610">
        <v>0</v>
      </c>
      <c r="L2610">
        <v>0</v>
      </c>
      <c r="M2610" t="s">
        <v>16</v>
      </c>
      <c r="N2610">
        <v>1</v>
      </c>
    </row>
    <row r="2611" hidden="1" spans="1:14">
      <c r="A2611">
        <v>2125</v>
      </c>
      <c r="B2611">
        <v>0</v>
      </c>
      <c r="C2611" t="s">
        <v>524</v>
      </c>
      <c r="D2611">
        <v>0</v>
      </c>
      <c r="E2611">
        <v>111.881</v>
      </c>
      <c r="F2611">
        <v>2.25216</v>
      </c>
      <c r="G2611">
        <v>14318.2</v>
      </c>
      <c r="H2611" s="1">
        <v>37633</v>
      </c>
      <c r="I2611" s="1">
        <v>37636</v>
      </c>
      <c r="J2611" t="s">
        <v>15</v>
      </c>
      <c r="K2611">
        <v>0</v>
      </c>
      <c r="L2611">
        <v>500</v>
      </c>
      <c r="M2611" t="s">
        <v>16</v>
      </c>
      <c r="N2611">
        <v>1</v>
      </c>
    </row>
    <row r="2612" hidden="1" spans="1:14">
      <c r="A2612">
        <v>2134</v>
      </c>
      <c r="B2612">
        <v>0</v>
      </c>
      <c r="C2612" t="s">
        <v>524</v>
      </c>
      <c r="D2612">
        <v>0</v>
      </c>
      <c r="E2612">
        <v>102.894</v>
      </c>
      <c r="F2612">
        <v>2.4676</v>
      </c>
      <c r="G2612">
        <v>2994.31</v>
      </c>
      <c r="H2612" s="1">
        <v>37641</v>
      </c>
      <c r="I2612" s="1">
        <v>37662</v>
      </c>
      <c r="J2612" t="s">
        <v>15</v>
      </c>
      <c r="K2612">
        <v>1</v>
      </c>
      <c r="L2612">
        <v>1500</v>
      </c>
      <c r="M2612" t="s">
        <v>16</v>
      </c>
      <c r="N2612">
        <v>1</v>
      </c>
    </row>
    <row r="2613" hidden="1" spans="1:14">
      <c r="A2613">
        <v>2151</v>
      </c>
      <c r="B2613">
        <v>0</v>
      </c>
      <c r="C2613" t="s">
        <v>524</v>
      </c>
      <c r="D2613">
        <v>0</v>
      </c>
      <c r="E2613">
        <v>110.416</v>
      </c>
      <c r="F2613">
        <v>1.31139</v>
      </c>
      <c r="G2613">
        <v>6108.77</v>
      </c>
      <c r="H2613" s="1">
        <v>37656</v>
      </c>
      <c r="I2613" s="1">
        <v>37659</v>
      </c>
      <c r="J2613" t="s">
        <v>15</v>
      </c>
      <c r="K2613">
        <v>0</v>
      </c>
      <c r="L2613">
        <v>11000</v>
      </c>
      <c r="M2613" t="s">
        <v>16</v>
      </c>
      <c r="N2613">
        <v>1</v>
      </c>
    </row>
    <row r="2614" hidden="1" spans="1:14">
      <c r="A2614">
        <v>2364</v>
      </c>
      <c r="B2614">
        <v>0</v>
      </c>
      <c r="C2614" t="s">
        <v>524</v>
      </c>
      <c r="D2614">
        <v>0</v>
      </c>
      <c r="E2614">
        <v>100.097</v>
      </c>
      <c r="F2614">
        <v>6.64704</v>
      </c>
      <c r="G2614">
        <v>21798.11</v>
      </c>
      <c r="H2614" s="1">
        <v>37897</v>
      </c>
      <c r="I2614" s="1">
        <v>37919</v>
      </c>
      <c r="J2614" t="s">
        <v>15</v>
      </c>
      <c r="K2614">
        <v>3</v>
      </c>
      <c r="L2614">
        <v>39000</v>
      </c>
      <c r="M2614" t="s">
        <v>16</v>
      </c>
      <c r="N2614">
        <v>2</v>
      </c>
    </row>
    <row r="2615" hidden="1" spans="1:14">
      <c r="A2615">
        <v>2401</v>
      </c>
      <c r="B2615">
        <v>0</v>
      </c>
      <c r="C2615" t="s">
        <v>524</v>
      </c>
      <c r="D2615">
        <v>0</v>
      </c>
      <c r="E2615">
        <v>103.22</v>
      </c>
      <c r="F2615">
        <v>4.81717</v>
      </c>
      <c r="G2615">
        <v>22660.13</v>
      </c>
      <c r="H2615" s="1">
        <v>37955</v>
      </c>
      <c r="I2615" s="1">
        <v>37973</v>
      </c>
      <c r="J2615" t="s">
        <v>15</v>
      </c>
      <c r="K2615">
        <v>5</v>
      </c>
      <c r="L2615">
        <v>3000</v>
      </c>
      <c r="M2615" t="s">
        <v>16</v>
      </c>
      <c r="N2615">
        <v>1</v>
      </c>
    </row>
    <row r="2616" hidden="1" spans="1:14">
      <c r="A2616">
        <v>2406</v>
      </c>
      <c r="B2616">
        <v>0</v>
      </c>
      <c r="C2616" t="s">
        <v>524</v>
      </c>
      <c r="D2616">
        <v>0</v>
      </c>
      <c r="E2616">
        <v>117.982</v>
      </c>
      <c r="F2616">
        <v>5.41506</v>
      </c>
      <c r="G2616">
        <v>21651.02</v>
      </c>
      <c r="H2616" s="1">
        <v>37972</v>
      </c>
      <c r="I2616" s="1">
        <v>37996</v>
      </c>
      <c r="J2616" t="s">
        <v>15</v>
      </c>
      <c r="K2616">
        <v>0</v>
      </c>
      <c r="L2616">
        <v>2000</v>
      </c>
      <c r="M2616" t="s">
        <v>16</v>
      </c>
      <c r="N2616">
        <v>1</v>
      </c>
    </row>
    <row r="2617" hidden="1" spans="1:14">
      <c r="A2617">
        <v>2422</v>
      </c>
      <c r="B2617">
        <v>0</v>
      </c>
      <c r="C2617" t="s">
        <v>524</v>
      </c>
      <c r="D2617">
        <v>0</v>
      </c>
      <c r="E2617">
        <v>103.742</v>
      </c>
      <c r="F2617">
        <v>1.62683</v>
      </c>
      <c r="G2617">
        <v>32623.07</v>
      </c>
      <c r="H2617" s="1">
        <v>38010</v>
      </c>
      <c r="I2617" s="1">
        <v>38020</v>
      </c>
      <c r="J2617" t="s">
        <v>15</v>
      </c>
      <c r="K2617">
        <v>3</v>
      </c>
      <c r="L2617">
        <v>6900</v>
      </c>
      <c r="M2617" t="s">
        <v>16</v>
      </c>
      <c r="N2617">
        <v>1</v>
      </c>
    </row>
    <row r="2618" hidden="1" spans="1:14">
      <c r="A2618">
        <v>2600</v>
      </c>
      <c r="B2618">
        <v>0</v>
      </c>
      <c r="C2618" t="s">
        <v>524</v>
      </c>
      <c r="D2618" t="s">
        <v>230</v>
      </c>
      <c r="E2618">
        <v>101.592</v>
      </c>
      <c r="F2618">
        <v>6.27156</v>
      </c>
      <c r="G2618">
        <v>43430.02</v>
      </c>
      <c r="H2618" s="1">
        <v>38331</v>
      </c>
      <c r="I2618" s="1">
        <v>38339</v>
      </c>
      <c r="J2618" t="s">
        <v>15</v>
      </c>
      <c r="K2618">
        <v>15</v>
      </c>
      <c r="L2618">
        <v>20000</v>
      </c>
      <c r="M2618" t="s">
        <v>23</v>
      </c>
      <c r="N2618">
        <v>2</v>
      </c>
    </row>
    <row r="2619" hidden="1" spans="1:14">
      <c r="A2619">
        <v>2695</v>
      </c>
      <c r="B2619">
        <v>0</v>
      </c>
      <c r="C2619" t="s">
        <v>524</v>
      </c>
      <c r="D2619">
        <v>0</v>
      </c>
      <c r="E2619">
        <v>116.224</v>
      </c>
      <c r="F2619">
        <v>6.05477</v>
      </c>
      <c r="G2619">
        <v>1468.81</v>
      </c>
      <c r="H2619" s="1">
        <v>38550</v>
      </c>
      <c r="I2619" s="1">
        <v>38552</v>
      </c>
      <c r="J2619" t="s">
        <v>15</v>
      </c>
      <c r="K2619">
        <v>4</v>
      </c>
      <c r="L2619">
        <v>600</v>
      </c>
      <c r="M2619" t="s">
        <v>18</v>
      </c>
      <c r="N2619">
        <v>2</v>
      </c>
    </row>
    <row r="2620" hidden="1" spans="1:14">
      <c r="A2620">
        <v>2798</v>
      </c>
      <c r="B2620">
        <v>0</v>
      </c>
      <c r="C2620" t="s">
        <v>524</v>
      </c>
      <c r="D2620" t="s">
        <v>230</v>
      </c>
      <c r="E2620">
        <v>102.536</v>
      </c>
      <c r="F2620">
        <v>4.32621</v>
      </c>
      <c r="G2620">
        <v>85479.98</v>
      </c>
      <c r="H2620" s="1">
        <v>38758</v>
      </c>
      <c r="I2620" s="1">
        <v>38766</v>
      </c>
      <c r="J2620" t="s">
        <v>15</v>
      </c>
      <c r="K2620">
        <v>3</v>
      </c>
      <c r="L2620">
        <v>7000</v>
      </c>
      <c r="M2620" t="s">
        <v>16</v>
      </c>
      <c r="N2620">
        <v>1</v>
      </c>
    </row>
    <row r="2621" hidden="1" spans="1:14">
      <c r="A2621">
        <v>2811</v>
      </c>
      <c r="B2621">
        <v>0</v>
      </c>
      <c r="C2621" t="s">
        <v>524</v>
      </c>
      <c r="D2621">
        <v>0</v>
      </c>
      <c r="E2621">
        <v>101.653</v>
      </c>
      <c r="F2621">
        <v>3.11572</v>
      </c>
      <c r="G2621">
        <v>1175.07</v>
      </c>
      <c r="H2621" s="1">
        <v>38774</v>
      </c>
      <c r="I2621" s="1">
        <v>38774</v>
      </c>
      <c r="J2621" t="s">
        <v>15</v>
      </c>
      <c r="K2621">
        <v>0</v>
      </c>
      <c r="L2621">
        <v>9000</v>
      </c>
      <c r="M2621" t="s">
        <v>18</v>
      </c>
      <c r="N2621">
        <v>1</v>
      </c>
    </row>
    <row r="2622" hidden="1" spans="1:14">
      <c r="A2622">
        <v>2850</v>
      </c>
      <c r="B2622">
        <v>0</v>
      </c>
      <c r="C2622" t="s">
        <v>524</v>
      </c>
      <c r="D2622">
        <v>0</v>
      </c>
      <c r="E2622">
        <v>102.15</v>
      </c>
      <c r="F2622">
        <v>5.27337</v>
      </c>
      <c r="G2622">
        <v>2585.88</v>
      </c>
      <c r="H2622" s="1">
        <v>38827</v>
      </c>
      <c r="I2622" s="1">
        <v>38828</v>
      </c>
      <c r="J2622" t="s">
        <v>15</v>
      </c>
      <c r="K2622">
        <v>0</v>
      </c>
      <c r="L2622">
        <v>500</v>
      </c>
      <c r="M2622" t="s">
        <v>16</v>
      </c>
      <c r="N2622">
        <v>2</v>
      </c>
    </row>
    <row r="2623" hidden="1" spans="1:14">
      <c r="A2623">
        <v>2980</v>
      </c>
      <c r="B2623">
        <v>0</v>
      </c>
      <c r="C2623" t="s">
        <v>524</v>
      </c>
      <c r="D2623">
        <v>0</v>
      </c>
      <c r="E2623">
        <v>100.514</v>
      </c>
      <c r="F2623">
        <v>5.77177</v>
      </c>
      <c r="G2623">
        <v>16296.15</v>
      </c>
      <c r="H2623" s="1">
        <v>39010</v>
      </c>
      <c r="I2623" s="1">
        <v>39022</v>
      </c>
      <c r="J2623" t="s">
        <v>15</v>
      </c>
      <c r="K2623">
        <v>1</v>
      </c>
      <c r="L2623">
        <v>1500</v>
      </c>
      <c r="M2623" t="s">
        <v>16</v>
      </c>
      <c r="N2623">
        <v>1</v>
      </c>
    </row>
    <row r="2624" hidden="1" spans="1:14">
      <c r="A2624">
        <v>3005</v>
      </c>
      <c r="B2624" t="s">
        <v>647</v>
      </c>
      <c r="C2624" t="s">
        <v>524</v>
      </c>
      <c r="D2624">
        <v>0</v>
      </c>
      <c r="E2624">
        <v>103.223</v>
      </c>
      <c r="F2624">
        <v>1.87378</v>
      </c>
      <c r="G2624">
        <v>18297.71</v>
      </c>
      <c r="H2624" s="1">
        <v>39070</v>
      </c>
      <c r="I2624" s="1">
        <v>39092</v>
      </c>
      <c r="J2624" t="s">
        <v>15</v>
      </c>
      <c r="K2624">
        <v>16</v>
      </c>
      <c r="L2624">
        <v>90000</v>
      </c>
      <c r="M2624" t="s">
        <v>16</v>
      </c>
      <c r="N2624">
        <v>2</v>
      </c>
    </row>
    <row r="2625" hidden="1" spans="1:14">
      <c r="A2625">
        <v>3012</v>
      </c>
      <c r="B2625">
        <v>0</v>
      </c>
      <c r="C2625" t="s">
        <v>524</v>
      </c>
      <c r="E2625">
        <v>115.907</v>
      </c>
      <c r="F2625">
        <v>4.96798</v>
      </c>
      <c r="G2625">
        <v>61718.44</v>
      </c>
      <c r="H2625" s="1">
        <v>39086</v>
      </c>
      <c r="I2625" s="1">
        <v>39104</v>
      </c>
      <c r="J2625" t="s">
        <v>15</v>
      </c>
      <c r="K2625">
        <v>1</v>
      </c>
      <c r="L2625">
        <v>3532</v>
      </c>
      <c r="M2625" t="s">
        <v>23</v>
      </c>
      <c r="N2625">
        <v>1</v>
      </c>
    </row>
    <row r="2626" hidden="1" spans="1:14">
      <c r="A2626">
        <v>3017</v>
      </c>
      <c r="B2626" t="s">
        <v>648</v>
      </c>
      <c r="C2626" t="s">
        <v>524</v>
      </c>
      <c r="D2626">
        <v>0</v>
      </c>
      <c r="E2626">
        <v>103.368</v>
      </c>
      <c r="F2626">
        <v>2.19171</v>
      </c>
      <c r="G2626">
        <v>26378.46</v>
      </c>
      <c r="H2626" s="1">
        <v>39093</v>
      </c>
      <c r="I2626" s="1">
        <v>39114</v>
      </c>
      <c r="J2626" t="s">
        <v>15</v>
      </c>
      <c r="K2626">
        <v>2</v>
      </c>
      <c r="L2626">
        <v>148000</v>
      </c>
      <c r="M2626" t="s">
        <v>23</v>
      </c>
      <c r="N2626">
        <v>1.5</v>
      </c>
    </row>
    <row r="2627" hidden="1" spans="1:14">
      <c r="A2627">
        <v>3238</v>
      </c>
      <c r="B2627" t="s">
        <v>649</v>
      </c>
      <c r="C2627" t="s">
        <v>524</v>
      </c>
      <c r="E2627">
        <v>102.928</v>
      </c>
      <c r="F2627">
        <v>3.89418</v>
      </c>
      <c r="G2627">
        <v>82566.02</v>
      </c>
      <c r="H2627" s="1">
        <v>39423</v>
      </c>
      <c r="I2627" s="1">
        <v>39444</v>
      </c>
      <c r="J2627" t="s">
        <v>15</v>
      </c>
      <c r="K2627">
        <v>32</v>
      </c>
      <c r="L2627">
        <v>66000</v>
      </c>
      <c r="M2627" t="s">
        <v>23</v>
      </c>
      <c r="N2627">
        <v>1</v>
      </c>
    </row>
    <row r="2628" hidden="1" spans="1:14">
      <c r="A2628">
        <v>3281</v>
      </c>
      <c r="B2628">
        <v>0</v>
      </c>
      <c r="C2628" t="s">
        <v>524</v>
      </c>
      <c r="E2628">
        <v>114.981</v>
      </c>
      <c r="F2628">
        <v>4.57525</v>
      </c>
      <c r="G2628">
        <v>36069.76</v>
      </c>
      <c r="H2628" s="1">
        <v>39512</v>
      </c>
      <c r="I2628" s="1">
        <v>39521</v>
      </c>
      <c r="J2628" t="s">
        <v>15</v>
      </c>
      <c r="K2628">
        <v>0</v>
      </c>
      <c r="L2628">
        <v>2400</v>
      </c>
      <c r="M2628" t="s">
        <v>16</v>
      </c>
      <c r="N2628">
        <v>1</v>
      </c>
    </row>
    <row r="2629" hidden="1" spans="1:14">
      <c r="A2629">
        <v>3375</v>
      </c>
      <c r="B2629">
        <v>0</v>
      </c>
      <c r="C2629" t="s">
        <v>524</v>
      </c>
      <c r="D2629">
        <v>0</v>
      </c>
      <c r="E2629">
        <v>102.124</v>
      </c>
      <c r="F2629">
        <v>4.07765</v>
      </c>
      <c r="G2629">
        <v>127690.73</v>
      </c>
      <c r="H2629" s="1">
        <v>39696</v>
      </c>
      <c r="I2629" s="1">
        <v>39698</v>
      </c>
      <c r="J2629" t="s">
        <v>15</v>
      </c>
      <c r="K2629">
        <v>0</v>
      </c>
      <c r="L2629">
        <v>125000</v>
      </c>
      <c r="M2629" t="s">
        <v>52</v>
      </c>
      <c r="N2629">
        <v>1.5</v>
      </c>
    </row>
    <row r="2630" hidden="1" spans="1:14">
      <c r="A2630">
        <v>3417</v>
      </c>
      <c r="B2630">
        <v>0</v>
      </c>
      <c r="C2630" t="s">
        <v>524</v>
      </c>
      <c r="D2630">
        <v>0</v>
      </c>
      <c r="E2630">
        <v>101.823</v>
      </c>
      <c r="F2630">
        <v>4.93715</v>
      </c>
      <c r="G2630">
        <v>58097.15</v>
      </c>
      <c r="H2630" s="1">
        <v>39772</v>
      </c>
      <c r="I2630" s="1">
        <v>39792</v>
      </c>
      <c r="J2630" t="s">
        <v>15</v>
      </c>
      <c r="K2630">
        <v>21</v>
      </c>
      <c r="L2630">
        <v>200000</v>
      </c>
      <c r="M2630" t="s">
        <v>49</v>
      </c>
      <c r="N2630">
        <v>2</v>
      </c>
    </row>
    <row r="2631" hidden="1" spans="1:14">
      <c r="A2631">
        <v>3429</v>
      </c>
      <c r="B2631">
        <v>0</v>
      </c>
      <c r="C2631" t="s">
        <v>524</v>
      </c>
      <c r="D2631">
        <v>0</v>
      </c>
      <c r="E2631">
        <v>101.098</v>
      </c>
      <c r="F2631">
        <v>6.64146</v>
      </c>
      <c r="G2631">
        <v>76573.83</v>
      </c>
      <c r="H2631" s="1">
        <v>39810</v>
      </c>
      <c r="I2631" s="1">
        <v>39825</v>
      </c>
      <c r="J2631" t="s">
        <v>15</v>
      </c>
      <c r="K2631">
        <v>0</v>
      </c>
      <c r="L2631">
        <v>0</v>
      </c>
      <c r="M2631" t="s">
        <v>650</v>
      </c>
      <c r="N2631">
        <v>1.5</v>
      </c>
    </row>
    <row r="2632" hidden="1" spans="1:14">
      <c r="A2632">
        <v>3443</v>
      </c>
      <c r="B2632">
        <v>0</v>
      </c>
      <c r="C2632" t="s">
        <v>524</v>
      </c>
      <c r="D2632">
        <v>0</v>
      </c>
      <c r="E2632">
        <v>113.773</v>
      </c>
      <c r="F2632">
        <v>3.3451</v>
      </c>
      <c r="G2632">
        <v>52061.79</v>
      </c>
      <c r="H2632" s="1">
        <v>39841</v>
      </c>
      <c r="I2632" s="1">
        <v>39846</v>
      </c>
      <c r="J2632" t="s">
        <v>15</v>
      </c>
      <c r="K2632">
        <v>18</v>
      </c>
      <c r="L2632">
        <v>12000</v>
      </c>
      <c r="M2632" t="s">
        <v>49</v>
      </c>
      <c r="N2632">
        <v>1</v>
      </c>
    </row>
    <row r="2633" hidden="1" spans="1:14">
      <c r="A2633">
        <v>3463</v>
      </c>
      <c r="B2633">
        <v>0</v>
      </c>
      <c r="C2633" t="s">
        <v>524</v>
      </c>
      <c r="E2633">
        <v>114.671</v>
      </c>
      <c r="F2633">
        <v>4.27379</v>
      </c>
      <c r="G2633">
        <v>15410.67</v>
      </c>
      <c r="H2633" s="1">
        <v>39873</v>
      </c>
      <c r="I2633" s="1">
        <v>39891</v>
      </c>
      <c r="J2633" t="s">
        <v>15</v>
      </c>
      <c r="K2633">
        <v>90</v>
      </c>
      <c r="L2633">
        <v>20000</v>
      </c>
      <c r="M2633" t="s">
        <v>49</v>
      </c>
      <c r="N2633">
        <v>1</v>
      </c>
    </row>
    <row r="2634" hidden="1" spans="1:14">
      <c r="A2634">
        <v>3505</v>
      </c>
      <c r="B2634">
        <v>0</v>
      </c>
      <c r="C2634" t="s">
        <v>524</v>
      </c>
      <c r="D2634">
        <v>0</v>
      </c>
      <c r="E2634">
        <v>101.833</v>
      </c>
      <c r="F2634">
        <v>4.54934</v>
      </c>
      <c r="G2634">
        <v>136568.23</v>
      </c>
      <c r="H2634" s="1">
        <v>40006</v>
      </c>
      <c r="I2634" s="1">
        <v>40011</v>
      </c>
      <c r="J2634">
        <v>0</v>
      </c>
      <c r="K2634">
        <v>0</v>
      </c>
      <c r="L2634">
        <v>300</v>
      </c>
      <c r="M2634" t="s">
        <v>49</v>
      </c>
      <c r="N2634">
        <v>1</v>
      </c>
    </row>
    <row r="2635" hidden="1" spans="1:14">
      <c r="A2635">
        <v>3570</v>
      </c>
      <c r="B2635">
        <v>0</v>
      </c>
      <c r="C2635" t="s">
        <v>524</v>
      </c>
      <c r="D2635">
        <v>0</v>
      </c>
      <c r="E2635">
        <v>100.96</v>
      </c>
      <c r="F2635">
        <v>5.74257</v>
      </c>
      <c r="G2635">
        <v>14486.49</v>
      </c>
      <c r="H2635" s="1">
        <v>40127</v>
      </c>
      <c r="I2635" s="1">
        <v>40133</v>
      </c>
      <c r="J2635">
        <v>0</v>
      </c>
      <c r="K2635">
        <v>0</v>
      </c>
      <c r="L2635">
        <v>1793</v>
      </c>
      <c r="M2635" t="s">
        <v>49</v>
      </c>
      <c r="N2635">
        <v>1</v>
      </c>
    </row>
    <row r="2636" hidden="1" spans="1:14">
      <c r="A2636">
        <v>3578</v>
      </c>
      <c r="B2636" t="s">
        <v>651</v>
      </c>
      <c r="C2636" t="s">
        <v>524</v>
      </c>
      <c r="D2636">
        <v>0</v>
      </c>
      <c r="E2636">
        <v>102.358</v>
      </c>
      <c r="F2636">
        <v>4.99247</v>
      </c>
      <c r="G2636">
        <v>37559.51</v>
      </c>
      <c r="H2636" s="1">
        <v>40138</v>
      </c>
      <c r="I2636" s="1">
        <v>40144</v>
      </c>
      <c r="J2636">
        <v>0</v>
      </c>
      <c r="K2636">
        <v>0</v>
      </c>
      <c r="L2636">
        <v>9062</v>
      </c>
      <c r="M2636" t="s">
        <v>49</v>
      </c>
      <c r="N2636">
        <v>1</v>
      </c>
    </row>
    <row r="2637" hidden="1" spans="1:14">
      <c r="A2637">
        <v>3743</v>
      </c>
      <c r="B2637">
        <v>0</v>
      </c>
      <c r="C2637" t="s">
        <v>524</v>
      </c>
      <c r="D2637">
        <v>0</v>
      </c>
      <c r="E2637">
        <v>101.922</v>
      </c>
      <c r="F2637">
        <v>5.61628</v>
      </c>
      <c r="G2637">
        <v>44792.72</v>
      </c>
      <c r="H2637" s="1">
        <v>40483</v>
      </c>
      <c r="I2637" s="1">
        <v>40487</v>
      </c>
      <c r="J2637" t="s">
        <v>15</v>
      </c>
      <c r="K2637">
        <v>0</v>
      </c>
      <c r="L2637">
        <v>40000</v>
      </c>
      <c r="M2637" t="s">
        <v>49</v>
      </c>
      <c r="N2637">
        <v>1</v>
      </c>
    </row>
    <row r="2638" hidden="1" spans="1:14">
      <c r="A2638">
        <v>3774</v>
      </c>
      <c r="B2638" t="s">
        <v>652</v>
      </c>
      <c r="C2638" t="s">
        <v>524</v>
      </c>
      <c r="E2638">
        <v>104.669</v>
      </c>
      <c r="F2638">
        <v>-4.05208</v>
      </c>
      <c r="G2638">
        <v>62167.77</v>
      </c>
      <c r="H2638" s="1">
        <v>40571</v>
      </c>
      <c r="I2638" s="1">
        <v>40574</v>
      </c>
      <c r="J2638" t="s">
        <v>15</v>
      </c>
      <c r="K2638">
        <v>2</v>
      </c>
      <c r="L2638">
        <v>20000</v>
      </c>
      <c r="M2638" t="s">
        <v>49</v>
      </c>
      <c r="N2638">
        <v>1.5</v>
      </c>
    </row>
    <row r="2639" hidden="1" spans="1:14">
      <c r="A2639">
        <v>3780</v>
      </c>
      <c r="B2639" t="s">
        <v>652</v>
      </c>
      <c r="C2639" t="s">
        <v>524</v>
      </c>
      <c r="E2639">
        <v>102.77</v>
      </c>
      <c r="F2639">
        <v>2.65259</v>
      </c>
      <c r="G2639">
        <v>36529.58</v>
      </c>
      <c r="H2639" s="1">
        <v>40575</v>
      </c>
      <c r="I2639" s="1">
        <v>40590</v>
      </c>
      <c r="J2639" t="s">
        <v>15</v>
      </c>
      <c r="K2639">
        <v>0</v>
      </c>
      <c r="L2639">
        <v>24000</v>
      </c>
      <c r="M2639" t="s">
        <v>49</v>
      </c>
      <c r="N2639">
        <v>1</v>
      </c>
    </row>
    <row r="2640" hidden="1" spans="1:14">
      <c r="A2640">
        <v>3794</v>
      </c>
      <c r="C2640" t="s">
        <v>524</v>
      </c>
      <c r="E2640">
        <v>101.212</v>
      </c>
      <c r="F2640">
        <v>4.85749</v>
      </c>
      <c r="G2640">
        <v>7361.19</v>
      </c>
      <c r="H2640" s="1">
        <v>40626</v>
      </c>
      <c r="I2640" s="1">
        <v>40627</v>
      </c>
      <c r="J2640" t="s">
        <v>15</v>
      </c>
      <c r="K2640">
        <v>0</v>
      </c>
      <c r="L2640">
        <v>406</v>
      </c>
      <c r="M2640" t="s">
        <v>52</v>
      </c>
      <c r="N2640">
        <v>1.5</v>
      </c>
    </row>
    <row r="2641" hidden="1" spans="1:14">
      <c r="A2641">
        <v>3797</v>
      </c>
      <c r="C2641" t="s">
        <v>524</v>
      </c>
      <c r="E2641">
        <v>100.482</v>
      </c>
      <c r="F2641">
        <v>6.08029</v>
      </c>
      <c r="G2641">
        <v>31580.94</v>
      </c>
      <c r="H2641" s="1">
        <v>40633</v>
      </c>
      <c r="I2641" s="1">
        <v>40634</v>
      </c>
      <c r="J2641" t="s">
        <v>15</v>
      </c>
      <c r="K2641">
        <v>0</v>
      </c>
      <c r="L2641">
        <v>4230</v>
      </c>
      <c r="M2641" t="s">
        <v>49</v>
      </c>
      <c r="N2641">
        <v>1</v>
      </c>
    </row>
    <row r="2642" hidden="1" spans="1:14">
      <c r="A2642">
        <v>3885</v>
      </c>
      <c r="C2642" t="s">
        <v>524</v>
      </c>
      <c r="E2642">
        <v>103.007</v>
      </c>
      <c r="F2642">
        <v>2.5574</v>
      </c>
      <c r="G2642">
        <v>20021.76</v>
      </c>
      <c r="H2642" s="1">
        <v>40894</v>
      </c>
      <c r="I2642" s="1">
        <v>40899</v>
      </c>
      <c r="J2642" t="s">
        <v>15</v>
      </c>
      <c r="K2642">
        <v>0</v>
      </c>
      <c r="L2642">
        <v>3265</v>
      </c>
      <c r="M2642" t="s">
        <v>52</v>
      </c>
      <c r="N2642">
        <v>1</v>
      </c>
    </row>
    <row r="2643" hidden="1" spans="1:14">
      <c r="A2643">
        <v>4002</v>
      </c>
      <c r="C2643" t="s">
        <v>524</v>
      </c>
      <c r="E2643">
        <v>102.61</v>
      </c>
      <c r="F2643">
        <v>2.87071</v>
      </c>
      <c r="G2643">
        <v>55785.44</v>
      </c>
      <c r="H2643" s="1">
        <v>41217</v>
      </c>
      <c r="I2643" s="1">
        <v>41221</v>
      </c>
      <c r="J2643" t="s">
        <v>15</v>
      </c>
      <c r="K2643">
        <v>0</v>
      </c>
      <c r="L2643">
        <v>4000</v>
      </c>
      <c r="M2643" t="s">
        <v>49</v>
      </c>
      <c r="N2643">
        <v>1</v>
      </c>
    </row>
    <row r="2644" hidden="1" spans="1:14">
      <c r="A2644">
        <v>4008</v>
      </c>
      <c r="C2644" t="s">
        <v>524</v>
      </c>
      <c r="E2644">
        <v>103.073</v>
      </c>
      <c r="F2644">
        <v>2.61996</v>
      </c>
      <c r="G2644">
        <v>31978.97</v>
      </c>
      <c r="H2644" s="1">
        <v>41244</v>
      </c>
      <c r="I2644" s="1">
        <v>41247</v>
      </c>
      <c r="J2644" t="s">
        <v>15</v>
      </c>
      <c r="K2644">
        <v>0</v>
      </c>
      <c r="L2644">
        <v>150</v>
      </c>
      <c r="M2644" t="s">
        <v>52</v>
      </c>
      <c r="N2644">
        <v>1</v>
      </c>
    </row>
    <row r="2645" hidden="1" spans="1:14">
      <c r="A2645">
        <v>4014</v>
      </c>
      <c r="C2645" t="s">
        <v>524</v>
      </c>
      <c r="D2645" t="s">
        <v>653</v>
      </c>
      <c r="E2645">
        <v>101.661</v>
      </c>
      <c r="F2645">
        <v>5.48006</v>
      </c>
      <c r="G2645">
        <v>29317.81</v>
      </c>
      <c r="H2645" s="1">
        <v>41277</v>
      </c>
      <c r="I2645" s="1">
        <v>41284</v>
      </c>
      <c r="J2645" t="s">
        <v>15</v>
      </c>
      <c r="K2645">
        <v>0</v>
      </c>
      <c r="L2645">
        <v>600</v>
      </c>
      <c r="M2645" t="s">
        <v>52</v>
      </c>
      <c r="N2645">
        <v>1</v>
      </c>
    </row>
    <row r="2646" hidden="1" spans="1:14">
      <c r="A2646">
        <v>4033</v>
      </c>
      <c r="C2646" t="s">
        <v>524</v>
      </c>
      <c r="E2646">
        <v>102.026</v>
      </c>
      <c r="F2646">
        <v>4.29951</v>
      </c>
      <c r="G2646">
        <v>30584.22</v>
      </c>
      <c r="H2646" s="1">
        <v>41315</v>
      </c>
      <c r="I2646" s="1">
        <v>41337</v>
      </c>
      <c r="J2646" t="s">
        <v>15</v>
      </c>
      <c r="K2646">
        <v>0</v>
      </c>
      <c r="L2646">
        <v>5167</v>
      </c>
      <c r="M2646" t="s">
        <v>654</v>
      </c>
      <c r="N2646">
        <v>1</v>
      </c>
    </row>
    <row r="2647" hidden="1" spans="1:14">
      <c r="A2647">
        <v>4107</v>
      </c>
      <c r="B2647" t="s">
        <v>655</v>
      </c>
      <c r="C2647" t="s">
        <v>524</v>
      </c>
      <c r="E2647">
        <v>102.362</v>
      </c>
      <c r="F2647">
        <v>3.58444</v>
      </c>
      <c r="G2647">
        <v>106697.53</v>
      </c>
      <c r="H2647" s="1">
        <v>41609</v>
      </c>
      <c r="I2647" s="1">
        <v>41616</v>
      </c>
      <c r="J2647" t="s">
        <v>15</v>
      </c>
      <c r="K2647">
        <v>1</v>
      </c>
      <c r="L2647">
        <v>19000</v>
      </c>
      <c r="M2647" t="s">
        <v>54</v>
      </c>
      <c r="N2647">
        <v>1.5</v>
      </c>
    </row>
    <row r="2648" hidden="1" spans="1:14">
      <c r="A2648">
        <v>4190</v>
      </c>
      <c r="C2648" t="s">
        <v>524</v>
      </c>
      <c r="E2648">
        <v>117.183</v>
      </c>
      <c r="F2648">
        <v>6.0074</v>
      </c>
      <c r="G2648">
        <v>31695.74</v>
      </c>
      <c r="H2648" s="1">
        <v>41916</v>
      </c>
      <c r="I2648" s="1">
        <v>41923</v>
      </c>
      <c r="J2648" t="s">
        <v>15</v>
      </c>
      <c r="K2648">
        <v>0</v>
      </c>
      <c r="L2648">
        <v>100</v>
      </c>
      <c r="M2648" t="s">
        <v>52</v>
      </c>
      <c r="N2648">
        <v>1</v>
      </c>
    </row>
    <row r="2649" hidden="1" spans="1:14">
      <c r="A2649">
        <v>4216</v>
      </c>
      <c r="B2649" t="s">
        <v>656</v>
      </c>
      <c r="C2649" t="s">
        <v>524</v>
      </c>
      <c r="D2649" t="s">
        <v>230</v>
      </c>
      <c r="E2649">
        <v>102.164</v>
      </c>
      <c r="F2649">
        <v>4.72508</v>
      </c>
      <c r="G2649">
        <v>90680.38</v>
      </c>
      <c r="H2649" s="1">
        <v>41993</v>
      </c>
      <c r="I2649" s="1">
        <v>42005</v>
      </c>
      <c r="J2649" t="s">
        <v>15</v>
      </c>
      <c r="K2649">
        <v>34</v>
      </c>
      <c r="L2649">
        <v>215000</v>
      </c>
      <c r="M2649" t="s">
        <v>54</v>
      </c>
      <c r="N2649">
        <v>2</v>
      </c>
    </row>
    <row r="2650" hidden="1" spans="1:14">
      <c r="A2650">
        <v>4376</v>
      </c>
      <c r="C2650" t="s">
        <v>524</v>
      </c>
      <c r="E2650">
        <v>101.075</v>
      </c>
      <c r="F2650">
        <v>5.1723</v>
      </c>
      <c r="G2650">
        <v>36060.09</v>
      </c>
      <c r="H2650" s="1">
        <v>42569</v>
      </c>
      <c r="I2650" s="1">
        <v>42570</v>
      </c>
      <c r="J2650" t="s">
        <v>15</v>
      </c>
      <c r="K2650">
        <v>0</v>
      </c>
      <c r="L2650">
        <v>441</v>
      </c>
      <c r="M2650" t="s">
        <v>52</v>
      </c>
      <c r="N2650">
        <v>1</v>
      </c>
    </row>
    <row r="2651" hidden="1" spans="1:14">
      <c r="A2651">
        <v>4424</v>
      </c>
      <c r="C2651" t="s">
        <v>524</v>
      </c>
      <c r="E2651">
        <v>102.56</v>
      </c>
      <c r="F2651">
        <v>5.12197</v>
      </c>
      <c r="G2651">
        <v>20485.81</v>
      </c>
      <c r="H2651" s="1">
        <v>42702</v>
      </c>
      <c r="I2651" s="1">
        <v>42711</v>
      </c>
      <c r="J2651" t="s">
        <v>15</v>
      </c>
      <c r="K2651">
        <v>0</v>
      </c>
      <c r="L2651">
        <v>400</v>
      </c>
      <c r="M2651" t="s">
        <v>49</v>
      </c>
      <c r="N2651">
        <v>1</v>
      </c>
    </row>
    <row r="2652" hidden="1" spans="1:14">
      <c r="A2652">
        <v>4431</v>
      </c>
      <c r="C2652" t="s">
        <v>524</v>
      </c>
      <c r="E2652">
        <v>102.411</v>
      </c>
      <c r="F2652">
        <v>4.70029</v>
      </c>
      <c r="G2652">
        <v>43580.48</v>
      </c>
      <c r="H2652" s="1">
        <v>42735</v>
      </c>
      <c r="I2652" s="1">
        <v>42740</v>
      </c>
      <c r="J2652" t="s">
        <v>15</v>
      </c>
      <c r="K2652">
        <v>0</v>
      </c>
      <c r="L2652">
        <v>25000</v>
      </c>
      <c r="M2652" t="s">
        <v>49</v>
      </c>
      <c r="N2652">
        <v>1.5</v>
      </c>
    </row>
    <row r="2653" hidden="1" spans="1:14">
      <c r="A2653">
        <v>4443</v>
      </c>
      <c r="C2653" t="s">
        <v>524</v>
      </c>
      <c r="E2653">
        <v>102.461</v>
      </c>
      <c r="F2653">
        <v>3.93172</v>
      </c>
      <c r="G2653">
        <v>78809.78</v>
      </c>
      <c r="H2653" s="1">
        <v>42758</v>
      </c>
      <c r="I2653" s="1">
        <v>42773</v>
      </c>
      <c r="J2653" t="s">
        <v>15</v>
      </c>
      <c r="K2653">
        <v>0</v>
      </c>
      <c r="L2653">
        <v>5000</v>
      </c>
      <c r="M2653" t="s">
        <v>49</v>
      </c>
      <c r="N2653">
        <v>1</v>
      </c>
    </row>
    <row r="2654" hidden="1" spans="1:14">
      <c r="A2654">
        <v>4534</v>
      </c>
      <c r="C2654" t="s">
        <v>524</v>
      </c>
      <c r="E2654">
        <v>101.026</v>
      </c>
      <c r="F2654">
        <v>5.2466</v>
      </c>
      <c r="G2654">
        <v>37944</v>
      </c>
      <c r="H2654" s="1">
        <v>43042</v>
      </c>
      <c r="I2654" s="1">
        <v>43047</v>
      </c>
      <c r="J2654" t="s">
        <v>15</v>
      </c>
      <c r="K2654">
        <v>7</v>
      </c>
      <c r="L2654">
        <v>10000</v>
      </c>
      <c r="M2654" t="s">
        <v>49</v>
      </c>
      <c r="N2654">
        <v>2</v>
      </c>
    </row>
    <row r="2655" hidden="1" spans="1:14">
      <c r="A2655">
        <v>4545</v>
      </c>
      <c r="C2655" t="s">
        <v>524</v>
      </c>
      <c r="E2655">
        <v>102.362</v>
      </c>
      <c r="F2655">
        <v>5.22121</v>
      </c>
      <c r="G2655">
        <v>30370.85</v>
      </c>
      <c r="H2655" s="1">
        <v>43064</v>
      </c>
      <c r="I2655" s="1">
        <v>43068</v>
      </c>
      <c r="J2655" t="s">
        <v>15</v>
      </c>
      <c r="K2655">
        <v>2</v>
      </c>
      <c r="L2655">
        <v>13000</v>
      </c>
      <c r="M2655" t="s">
        <v>49</v>
      </c>
      <c r="N2655">
        <v>1</v>
      </c>
    </row>
    <row r="2656" hidden="1" spans="1:14">
      <c r="A2656">
        <v>4558</v>
      </c>
      <c r="C2656" t="s">
        <v>524</v>
      </c>
      <c r="E2656">
        <v>102.337</v>
      </c>
      <c r="F2656">
        <v>3.65883</v>
      </c>
      <c r="G2656">
        <v>117492.07</v>
      </c>
      <c r="H2656" s="1">
        <v>43101</v>
      </c>
      <c r="I2656" s="1">
        <v>43105</v>
      </c>
      <c r="J2656" t="s">
        <v>15</v>
      </c>
      <c r="K2656">
        <v>2</v>
      </c>
      <c r="L2656">
        <v>12000</v>
      </c>
      <c r="M2656" t="s">
        <v>54</v>
      </c>
      <c r="N2656">
        <v>1.5</v>
      </c>
    </row>
    <row r="2657" hidden="1" spans="1:14">
      <c r="A2657">
        <v>4567</v>
      </c>
      <c r="C2657" t="s">
        <v>524</v>
      </c>
      <c r="E2657">
        <v>113.447</v>
      </c>
      <c r="F2657">
        <v>3.13294</v>
      </c>
      <c r="G2657">
        <v>74295.74</v>
      </c>
      <c r="H2657" s="1">
        <v>43134</v>
      </c>
      <c r="I2657" s="1">
        <v>43143</v>
      </c>
      <c r="J2657" t="s">
        <v>56</v>
      </c>
      <c r="K2657">
        <v>0</v>
      </c>
      <c r="L2657">
        <v>4900</v>
      </c>
      <c r="M2657" t="s">
        <v>49</v>
      </c>
      <c r="N2657">
        <v>1</v>
      </c>
    </row>
    <row r="2658" hidden="1" spans="1:14">
      <c r="A2658">
        <v>4833</v>
      </c>
      <c r="C2658" t="s">
        <v>524</v>
      </c>
      <c r="E2658">
        <v>102.584</v>
      </c>
      <c r="F2658">
        <v>4.41537</v>
      </c>
      <c r="G2658">
        <v>38171.31</v>
      </c>
      <c r="H2658" s="1">
        <v>43799</v>
      </c>
      <c r="I2658" s="1">
        <v>43805</v>
      </c>
      <c r="J2658" t="s">
        <v>9</v>
      </c>
      <c r="K2658">
        <v>2</v>
      </c>
      <c r="L2658">
        <v>15000</v>
      </c>
      <c r="M2658" t="s">
        <v>49</v>
      </c>
      <c r="N2658">
        <v>1.5</v>
      </c>
    </row>
    <row r="2659" hidden="1" spans="1:14">
      <c r="A2659">
        <v>4935</v>
      </c>
      <c r="C2659" t="s">
        <v>524</v>
      </c>
      <c r="E2659">
        <v>103.055</v>
      </c>
      <c r="F2659">
        <v>2.4561</v>
      </c>
      <c r="G2659">
        <v>30344.28</v>
      </c>
      <c r="H2659" s="1">
        <v>44002</v>
      </c>
      <c r="I2659" s="1">
        <v>44007</v>
      </c>
      <c r="J2659" t="s">
        <v>56</v>
      </c>
      <c r="K2659">
        <v>0</v>
      </c>
      <c r="L2659">
        <v>1000</v>
      </c>
      <c r="M2659" t="s">
        <v>49</v>
      </c>
      <c r="N2659">
        <v>1.5</v>
      </c>
    </row>
    <row r="2660" hidden="1" spans="1:14">
      <c r="A2660">
        <v>5007</v>
      </c>
      <c r="C2660" t="s">
        <v>524</v>
      </c>
      <c r="E2660">
        <v>101.867</v>
      </c>
      <c r="F2660">
        <v>5.48748</v>
      </c>
      <c r="G2660">
        <v>27184.43</v>
      </c>
      <c r="H2660" s="1">
        <v>44182</v>
      </c>
      <c r="I2660" s="1">
        <v>44193</v>
      </c>
      <c r="J2660" t="s">
        <v>56</v>
      </c>
      <c r="K2660">
        <v>0</v>
      </c>
      <c r="L2660">
        <v>8000</v>
      </c>
      <c r="M2660" t="s">
        <v>54</v>
      </c>
      <c r="N2660">
        <v>1.5</v>
      </c>
    </row>
    <row r="2661" hidden="1" spans="1:14">
      <c r="A2661">
        <v>5011</v>
      </c>
      <c r="C2661" t="s">
        <v>524</v>
      </c>
      <c r="E2661">
        <v>117.282</v>
      </c>
      <c r="F2661">
        <v>5.73427</v>
      </c>
      <c r="G2661">
        <v>41803.98</v>
      </c>
      <c r="H2661" s="1">
        <v>44207</v>
      </c>
      <c r="I2661" s="1">
        <v>44209</v>
      </c>
      <c r="J2661" t="s">
        <v>56</v>
      </c>
      <c r="K2661">
        <v>0</v>
      </c>
      <c r="L2661">
        <v>2000</v>
      </c>
      <c r="M2661" t="s">
        <v>49</v>
      </c>
      <c r="N2661">
        <v>1.5</v>
      </c>
    </row>
    <row r="2662" hidden="1" spans="1:14">
      <c r="A2662">
        <v>5012</v>
      </c>
      <c r="C2662" t="s">
        <v>524</v>
      </c>
      <c r="E2662">
        <v>102.164</v>
      </c>
      <c r="F2662">
        <v>4.03109</v>
      </c>
      <c r="G2662">
        <v>77111.7</v>
      </c>
      <c r="H2662" s="1">
        <v>44197</v>
      </c>
      <c r="I2662" s="1">
        <v>44208</v>
      </c>
      <c r="J2662" t="s">
        <v>56</v>
      </c>
      <c r="K2662">
        <v>20</v>
      </c>
      <c r="L2662">
        <v>19500</v>
      </c>
      <c r="M2662" t="s">
        <v>49</v>
      </c>
      <c r="N2662">
        <v>1.5</v>
      </c>
    </row>
    <row r="2663" hidden="1" spans="1:14">
      <c r="A2663">
        <v>1821</v>
      </c>
      <c r="B2663">
        <v>0</v>
      </c>
      <c r="C2663" t="s">
        <v>657</v>
      </c>
      <c r="D2663">
        <v>0</v>
      </c>
      <c r="E2663">
        <v>102.092</v>
      </c>
      <c r="F2663">
        <v>4.11128</v>
      </c>
      <c r="G2663">
        <v>7155.21</v>
      </c>
      <c r="H2663" s="1">
        <v>37200</v>
      </c>
      <c r="I2663" s="1">
        <v>37207</v>
      </c>
      <c r="J2663" t="s">
        <v>15</v>
      </c>
      <c r="K2663">
        <v>1</v>
      </c>
      <c r="L2663">
        <v>0</v>
      </c>
      <c r="M2663" t="s">
        <v>16</v>
      </c>
      <c r="N2663">
        <v>1</v>
      </c>
    </row>
    <row r="2664" hidden="1" spans="1:14">
      <c r="A2664">
        <v>1688</v>
      </c>
      <c r="B2664">
        <v>0</v>
      </c>
      <c r="C2664" t="s">
        <v>658</v>
      </c>
      <c r="D2664">
        <v>0</v>
      </c>
      <c r="E2664">
        <v>102.631</v>
      </c>
      <c r="F2664">
        <v>5.38603</v>
      </c>
      <c r="G2664">
        <v>17458.8</v>
      </c>
      <c r="H2664" s="1">
        <v>36907</v>
      </c>
      <c r="I2664" s="1">
        <v>36912</v>
      </c>
      <c r="J2664" t="s">
        <v>15</v>
      </c>
      <c r="K2664">
        <v>2</v>
      </c>
      <c r="L2664">
        <v>5000</v>
      </c>
      <c r="M2664" t="s">
        <v>23</v>
      </c>
      <c r="N2664">
        <v>1</v>
      </c>
    </row>
    <row r="2665" hidden="1" spans="1:14">
      <c r="A2665">
        <v>1701</v>
      </c>
      <c r="B2665">
        <v>0</v>
      </c>
      <c r="C2665" t="s">
        <v>658</v>
      </c>
      <c r="D2665">
        <v>0</v>
      </c>
      <c r="E2665">
        <v>101.591</v>
      </c>
      <c r="F2665">
        <v>3.46568</v>
      </c>
      <c r="G2665">
        <v>373.233</v>
      </c>
      <c r="H2665" s="1">
        <v>36958</v>
      </c>
      <c r="I2665" s="1">
        <v>36958</v>
      </c>
      <c r="J2665" t="s">
        <v>15</v>
      </c>
      <c r="K2665">
        <v>0</v>
      </c>
      <c r="L2665">
        <v>12000</v>
      </c>
      <c r="M2665" t="s">
        <v>16</v>
      </c>
      <c r="N2665">
        <v>2</v>
      </c>
    </row>
    <row r="2666" hidden="1" spans="1:14">
      <c r="A2666">
        <v>1716</v>
      </c>
      <c r="B2666">
        <v>0</v>
      </c>
      <c r="C2666" t="s">
        <v>658</v>
      </c>
      <c r="D2666">
        <v>0</v>
      </c>
      <c r="E2666">
        <v>101.717</v>
      </c>
      <c r="F2666">
        <v>3.14709</v>
      </c>
      <c r="G2666">
        <v>855.753</v>
      </c>
      <c r="H2666" s="1">
        <v>37007</v>
      </c>
      <c r="I2666" s="1">
        <v>37007</v>
      </c>
      <c r="J2666" t="s">
        <v>15</v>
      </c>
      <c r="K2666">
        <v>2</v>
      </c>
      <c r="L2666">
        <v>0</v>
      </c>
      <c r="M2666" t="s">
        <v>18</v>
      </c>
      <c r="N2666">
        <v>1</v>
      </c>
    </row>
    <row r="2667" hidden="1" spans="1:14">
      <c r="A2667">
        <v>1832</v>
      </c>
      <c r="B2667">
        <v>0</v>
      </c>
      <c r="C2667" t="s">
        <v>658</v>
      </c>
      <c r="D2667">
        <v>0</v>
      </c>
      <c r="E2667">
        <v>115.875</v>
      </c>
      <c r="F2667">
        <v>5.42363</v>
      </c>
      <c r="G2667">
        <v>745.636</v>
      </c>
      <c r="H2667" s="1">
        <v>37229</v>
      </c>
      <c r="I2667" s="1">
        <v>37232</v>
      </c>
      <c r="J2667" t="s">
        <v>15</v>
      </c>
      <c r="K2667">
        <v>0</v>
      </c>
      <c r="L2667">
        <v>6000</v>
      </c>
      <c r="M2667" t="s">
        <v>16</v>
      </c>
      <c r="N2667">
        <v>1</v>
      </c>
    </row>
    <row r="2668" hidden="1" spans="1:14">
      <c r="A2668">
        <v>1842</v>
      </c>
      <c r="B2668">
        <v>0</v>
      </c>
      <c r="C2668" t="s">
        <v>658</v>
      </c>
      <c r="D2668">
        <v>0</v>
      </c>
      <c r="E2668">
        <v>102.631</v>
      </c>
      <c r="F2668">
        <v>5.38603</v>
      </c>
      <c r="G2668">
        <v>17458.8</v>
      </c>
      <c r="H2668" s="1">
        <v>37241</v>
      </c>
      <c r="I2668" s="1">
        <v>37244</v>
      </c>
      <c r="J2668" t="s">
        <v>15</v>
      </c>
      <c r="K2668">
        <v>0</v>
      </c>
      <c r="L2668">
        <v>1000</v>
      </c>
      <c r="M2668" t="s">
        <v>16</v>
      </c>
      <c r="N2668">
        <v>1</v>
      </c>
    </row>
    <row r="2669" hidden="1" spans="1:14">
      <c r="A2669">
        <v>4312</v>
      </c>
      <c r="B2669" t="s">
        <v>659</v>
      </c>
      <c r="C2669" t="s">
        <v>660</v>
      </c>
      <c r="E2669">
        <v>73.1892</v>
      </c>
      <c r="F2669">
        <v>-0.144295</v>
      </c>
      <c r="G2669">
        <v>6371.38</v>
      </c>
      <c r="H2669" s="1">
        <v>42333</v>
      </c>
      <c r="I2669" s="1">
        <v>42342</v>
      </c>
      <c r="J2669" t="s">
        <v>15</v>
      </c>
      <c r="K2669">
        <v>0</v>
      </c>
      <c r="L2669">
        <v>0</v>
      </c>
      <c r="M2669" t="s">
        <v>52</v>
      </c>
      <c r="N2669">
        <v>1.5</v>
      </c>
    </row>
    <row r="2670" hidden="1" spans="1:14">
      <c r="A2670">
        <v>2320</v>
      </c>
      <c r="B2670">
        <v>0</v>
      </c>
      <c r="C2670" t="s">
        <v>450</v>
      </c>
      <c r="D2670">
        <v>0</v>
      </c>
      <c r="E2670">
        <v>-3.10202</v>
      </c>
      <c r="F2670">
        <v>14.2117</v>
      </c>
      <c r="G2670">
        <v>1028149.43</v>
      </c>
      <c r="H2670" s="1">
        <v>37843</v>
      </c>
      <c r="I2670" s="1">
        <v>37913</v>
      </c>
      <c r="J2670" t="s">
        <v>15</v>
      </c>
      <c r="K2670">
        <v>31</v>
      </c>
      <c r="L2670">
        <v>10000</v>
      </c>
      <c r="M2670" t="s">
        <v>16</v>
      </c>
      <c r="N2670">
        <v>1</v>
      </c>
    </row>
    <row r="2671" hidden="1" spans="1:14">
      <c r="A2671">
        <v>3343</v>
      </c>
      <c r="C2671" t="s">
        <v>450</v>
      </c>
      <c r="E2671">
        <v>-3.15507</v>
      </c>
      <c r="F2671">
        <v>13.3089</v>
      </c>
      <c r="G2671">
        <v>1089830.51</v>
      </c>
      <c r="H2671" s="1">
        <v>39644</v>
      </c>
      <c r="I2671" s="1">
        <v>39664</v>
      </c>
      <c r="J2671" t="s">
        <v>15</v>
      </c>
      <c r="K2671">
        <v>9</v>
      </c>
      <c r="L2671">
        <v>0</v>
      </c>
      <c r="M2671" t="s">
        <v>661</v>
      </c>
      <c r="N2671">
        <v>1.5</v>
      </c>
    </row>
    <row r="2672" hidden="1" spans="1:14">
      <c r="A2672">
        <v>4391</v>
      </c>
      <c r="C2672" t="s">
        <v>450</v>
      </c>
      <c r="E2672">
        <v>5.09507</v>
      </c>
      <c r="F2672">
        <v>15.485</v>
      </c>
      <c r="G2672">
        <v>41985.87</v>
      </c>
      <c r="H2672" s="1">
        <v>42627</v>
      </c>
      <c r="I2672" s="1">
        <v>42635</v>
      </c>
      <c r="J2672" t="s">
        <v>15</v>
      </c>
      <c r="K2672">
        <v>0</v>
      </c>
      <c r="L2672">
        <v>0</v>
      </c>
      <c r="M2672" t="s">
        <v>49</v>
      </c>
      <c r="N2672">
        <v>1.5</v>
      </c>
    </row>
    <row r="2673" hidden="1" spans="1:14">
      <c r="A2673">
        <v>4959</v>
      </c>
      <c r="C2673" t="s">
        <v>450</v>
      </c>
      <c r="E2673">
        <v>-0.694903</v>
      </c>
      <c r="F2673">
        <v>16.1702</v>
      </c>
      <c r="G2673">
        <v>178502.15</v>
      </c>
      <c r="H2673" s="1">
        <v>44032</v>
      </c>
      <c r="I2673" s="1">
        <v>44070</v>
      </c>
      <c r="J2673" t="s">
        <v>56</v>
      </c>
      <c r="K2673">
        <v>0</v>
      </c>
      <c r="L2673">
        <v>5400</v>
      </c>
      <c r="M2673" t="s">
        <v>49</v>
      </c>
      <c r="N2673">
        <v>1.5</v>
      </c>
    </row>
    <row r="2674" hidden="1" spans="1:14">
      <c r="A2674">
        <v>4568</v>
      </c>
      <c r="C2674" t="s">
        <v>662</v>
      </c>
      <c r="E2674">
        <v>14.4729</v>
      </c>
      <c r="F2674">
        <v>35.8663</v>
      </c>
      <c r="G2674">
        <v>139.894</v>
      </c>
      <c r="H2674" s="1">
        <v>43141</v>
      </c>
      <c r="I2674" s="1">
        <v>43142</v>
      </c>
      <c r="J2674" t="s">
        <v>56</v>
      </c>
      <c r="K2674">
        <v>0</v>
      </c>
      <c r="L2674">
        <v>0</v>
      </c>
      <c r="M2674" t="s">
        <v>52</v>
      </c>
      <c r="N2674">
        <v>1.5</v>
      </c>
    </row>
    <row r="2675" hidden="1" spans="1:14">
      <c r="A2675">
        <v>993</v>
      </c>
      <c r="B2675">
        <v>0</v>
      </c>
      <c r="C2675" t="s">
        <v>663</v>
      </c>
      <c r="D2675">
        <v>0</v>
      </c>
      <c r="E2675">
        <v>-61.3214</v>
      </c>
      <c r="F2675">
        <v>15.3651</v>
      </c>
      <c r="G2675">
        <v>51662.9</v>
      </c>
      <c r="H2675" s="1">
        <v>34947</v>
      </c>
      <c r="I2675" s="1">
        <v>34960</v>
      </c>
      <c r="J2675" t="s">
        <v>15</v>
      </c>
      <c r="K2675">
        <v>20</v>
      </c>
      <c r="L2675">
        <v>24000</v>
      </c>
      <c r="M2675" t="s">
        <v>86</v>
      </c>
      <c r="N2675">
        <v>1</v>
      </c>
    </row>
    <row r="2676" hidden="1" spans="1:14">
      <c r="A2676">
        <v>3172</v>
      </c>
      <c r="B2676">
        <v>0</v>
      </c>
      <c r="C2676" t="s">
        <v>663</v>
      </c>
      <c r="E2676">
        <v>-61.0242</v>
      </c>
      <c r="F2676">
        <v>14.6415</v>
      </c>
      <c r="G2676">
        <v>2562.43</v>
      </c>
      <c r="H2676" s="1">
        <v>39311</v>
      </c>
      <c r="I2676" s="1">
        <v>39318</v>
      </c>
      <c r="J2676" t="s">
        <v>15</v>
      </c>
      <c r="K2676">
        <v>25</v>
      </c>
      <c r="L2676">
        <v>20000</v>
      </c>
      <c r="M2676" t="s">
        <v>86</v>
      </c>
      <c r="N2676">
        <v>1</v>
      </c>
    </row>
    <row r="2677" hidden="1" spans="1:14">
      <c r="A2677">
        <v>1007</v>
      </c>
      <c r="B2677">
        <v>0</v>
      </c>
      <c r="C2677" t="s">
        <v>664</v>
      </c>
      <c r="D2677">
        <v>0</v>
      </c>
      <c r="E2677">
        <v>-14.5482</v>
      </c>
      <c r="F2677">
        <v>18.5395</v>
      </c>
      <c r="G2677">
        <v>144865.22</v>
      </c>
      <c r="H2677" s="1">
        <v>34966</v>
      </c>
      <c r="I2677" s="1">
        <v>34973</v>
      </c>
      <c r="J2677" t="s">
        <v>15</v>
      </c>
      <c r="K2677">
        <v>0</v>
      </c>
      <c r="L2677">
        <v>95000</v>
      </c>
      <c r="M2677" t="s">
        <v>16</v>
      </c>
      <c r="N2677">
        <v>1</v>
      </c>
    </row>
    <row r="2678" hidden="1" spans="1:14">
      <c r="A2678">
        <v>2742</v>
      </c>
      <c r="B2678">
        <v>0</v>
      </c>
      <c r="C2678" t="s">
        <v>664</v>
      </c>
      <c r="D2678">
        <v>0</v>
      </c>
      <c r="E2678">
        <v>-11.9832</v>
      </c>
      <c r="F2678">
        <v>17.0464</v>
      </c>
      <c r="G2678">
        <v>147088.34</v>
      </c>
      <c r="H2678" s="1">
        <v>38622</v>
      </c>
      <c r="I2678" s="1">
        <v>38632</v>
      </c>
      <c r="J2678" t="s">
        <v>15</v>
      </c>
      <c r="K2678">
        <v>0</v>
      </c>
      <c r="L2678">
        <v>3000</v>
      </c>
      <c r="M2678" t="s">
        <v>16</v>
      </c>
      <c r="N2678">
        <v>2</v>
      </c>
    </row>
    <row r="2679" hidden="1" spans="1:14">
      <c r="A2679">
        <v>2929</v>
      </c>
      <c r="B2679" t="s">
        <v>665</v>
      </c>
      <c r="C2679" t="s">
        <v>664</v>
      </c>
      <c r="D2679">
        <v>0</v>
      </c>
      <c r="E2679">
        <v>-15.0048</v>
      </c>
      <c r="F2679">
        <v>17.7499</v>
      </c>
      <c r="G2679">
        <v>218.833</v>
      </c>
      <c r="H2679" s="1">
        <v>38920</v>
      </c>
      <c r="I2679" s="1">
        <v>38922</v>
      </c>
      <c r="J2679" t="s">
        <v>15</v>
      </c>
      <c r="K2679">
        <v>7</v>
      </c>
      <c r="L2679">
        <v>1200</v>
      </c>
      <c r="M2679" t="s">
        <v>16</v>
      </c>
      <c r="N2679">
        <v>1</v>
      </c>
    </row>
    <row r="2680" hidden="1" spans="1:14">
      <c r="A2680">
        <v>3153</v>
      </c>
      <c r="B2680" t="s">
        <v>666</v>
      </c>
      <c r="C2680" t="s">
        <v>664</v>
      </c>
      <c r="D2680">
        <v>0</v>
      </c>
      <c r="E2680">
        <v>-11.3224</v>
      </c>
      <c r="F2680">
        <v>16.5463</v>
      </c>
      <c r="G2680">
        <v>9447.72</v>
      </c>
      <c r="H2680" s="1">
        <v>39301</v>
      </c>
      <c r="I2680" s="1">
        <v>39330</v>
      </c>
      <c r="J2680" t="s">
        <v>15</v>
      </c>
      <c r="K2680">
        <v>2</v>
      </c>
      <c r="L2680">
        <v>15820</v>
      </c>
      <c r="M2680" t="s">
        <v>16</v>
      </c>
      <c r="N2680">
        <v>1</v>
      </c>
    </row>
    <row r="2681" hidden="1" spans="1:14">
      <c r="A2681">
        <v>3534</v>
      </c>
      <c r="B2681">
        <v>0</v>
      </c>
      <c r="C2681" t="s">
        <v>664</v>
      </c>
      <c r="D2681">
        <v>0</v>
      </c>
      <c r="E2681">
        <v>2.93676</v>
      </c>
      <c r="F2681">
        <v>16.454</v>
      </c>
      <c r="G2681">
        <v>4814280.64</v>
      </c>
      <c r="H2681" s="1">
        <v>40035</v>
      </c>
      <c r="I2681" s="1">
        <v>40058</v>
      </c>
      <c r="J2681">
        <v>0</v>
      </c>
      <c r="K2681">
        <v>12</v>
      </c>
      <c r="L2681">
        <v>300000</v>
      </c>
      <c r="M2681" t="s">
        <v>49</v>
      </c>
      <c r="N2681">
        <v>1</v>
      </c>
    </row>
    <row r="2682" hidden="1" spans="1:14">
      <c r="A2682">
        <v>3709</v>
      </c>
      <c r="B2682" t="s">
        <v>667</v>
      </c>
      <c r="C2682" t="s">
        <v>664</v>
      </c>
      <c r="D2682">
        <v>0</v>
      </c>
      <c r="E2682">
        <v>-7.65</v>
      </c>
      <c r="F2682">
        <v>16.245</v>
      </c>
      <c r="G2682">
        <v>11046.27</v>
      </c>
      <c r="H2682" s="1">
        <v>40409</v>
      </c>
      <c r="I2682" s="1">
        <v>40411</v>
      </c>
      <c r="J2682" t="s">
        <v>15</v>
      </c>
      <c r="K2682">
        <v>0</v>
      </c>
      <c r="L2682">
        <v>4000</v>
      </c>
      <c r="M2682" t="s">
        <v>52</v>
      </c>
      <c r="N2682">
        <v>1.5</v>
      </c>
    </row>
    <row r="2683" hidden="1" spans="1:14">
      <c r="A2683">
        <v>4787</v>
      </c>
      <c r="C2683" t="s">
        <v>664</v>
      </c>
      <c r="E2683">
        <v>-12.4481</v>
      </c>
      <c r="F2683">
        <v>15.6427</v>
      </c>
      <c r="G2683">
        <v>25276.68</v>
      </c>
      <c r="H2683" s="1">
        <v>43702</v>
      </c>
      <c r="I2683" s="1">
        <v>43706</v>
      </c>
      <c r="J2683" t="s">
        <v>58</v>
      </c>
      <c r="K2683">
        <v>5</v>
      </c>
      <c r="L2683">
        <v>0</v>
      </c>
      <c r="M2683" t="s">
        <v>668</v>
      </c>
      <c r="N2683">
        <v>1</v>
      </c>
    </row>
    <row r="2684" hidden="1" spans="1:14">
      <c r="A2684">
        <v>4045</v>
      </c>
      <c r="C2684" t="s">
        <v>669</v>
      </c>
      <c r="E2684">
        <v>57.5238</v>
      </c>
      <c r="F2684">
        <v>-20.2305</v>
      </c>
      <c r="G2684">
        <v>1679.67</v>
      </c>
      <c r="H2684" s="1">
        <v>41364</v>
      </c>
      <c r="I2684" s="1">
        <v>41367</v>
      </c>
      <c r="J2684" t="s">
        <v>15</v>
      </c>
      <c r="K2684">
        <v>11</v>
      </c>
      <c r="L2684">
        <v>0</v>
      </c>
      <c r="M2684" t="s">
        <v>52</v>
      </c>
      <c r="N2684">
        <v>1.5</v>
      </c>
    </row>
    <row r="2685" hidden="1" spans="1:14">
      <c r="A2685">
        <v>4561</v>
      </c>
      <c r="C2685" t="s">
        <v>669</v>
      </c>
      <c r="D2685" t="s">
        <v>670</v>
      </c>
      <c r="E2685">
        <v>55.5594</v>
      </c>
      <c r="F2685">
        <v>-21.1105</v>
      </c>
      <c r="G2685">
        <v>4748.54</v>
      </c>
      <c r="H2685" s="1">
        <v>43118</v>
      </c>
      <c r="I2685" s="1">
        <v>43121</v>
      </c>
      <c r="J2685" t="s">
        <v>15</v>
      </c>
      <c r="K2685">
        <v>0</v>
      </c>
      <c r="L2685">
        <v>223</v>
      </c>
      <c r="M2685" t="s">
        <v>671</v>
      </c>
      <c r="N2685">
        <v>1</v>
      </c>
    </row>
    <row r="2686" hidden="1" spans="1:14">
      <c r="A2686">
        <v>58</v>
      </c>
      <c r="B2686">
        <v>0</v>
      </c>
      <c r="C2686" t="s">
        <v>158</v>
      </c>
      <c r="E2686">
        <v>-105.8</v>
      </c>
      <c r="F2686">
        <v>33.1369</v>
      </c>
      <c r="G2686">
        <v>225143.84</v>
      </c>
      <c r="H2686" s="1">
        <v>31329</v>
      </c>
      <c r="I2686" s="1">
        <v>31332</v>
      </c>
      <c r="J2686" t="s">
        <v>15</v>
      </c>
      <c r="K2686">
        <v>1</v>
      </c>
      <c r="L2686">
        <v>460</v>
      </c>
      <c r="M2686" t="s">
        <v>49</v>
      </c>
      <c r="N2686">
        <v>1</v>
      </c>
    </row>
    <row r="2687" hidden="1" spans="1:14">
      <c r="A2687">
        <v>152</v>
      </c>
      <c r="B2687">
        <v>0</v>
      </c>
      <c r="C2687" t="s">
        <v>158</v>
      </c>
      <c r="D2687">
        <v>0</v>
      </c>
      <c r="E2687">
        <v>-99.122</v>
      </c>
      <c r="F2687">
        <v>19.4762</v>
      </c>
      <c r="G2687">
        <v>2772.64</v>
      </c>
      <c r="H2687" s="1">
        <v>32048</v>
      </c>
      <c r="I2687" s="1">
        <v>32049</v>
      </c>
      <c r="J2687" t="s">
        <v>15</v>
      </c>
      <c r="K2687">
        <v>15</v>
      </c>
      <c r="L2687">
        <v>3000</v>
      </c>
      <c r="M2687" t="s">
        <v>16</v>
      </c>
      <c r="N2687">
        <v>1</v>
      </c>
    </row>
    <row r="2688" hidden="1" spans="1:14">
      <c r="A2688">
        <v>243</v>
      </c>
      <c r="B2688">
        <v>0</v>
      </c>
      <c r="C2688" t="s">
        <v>158</v>
      </c>
      <c r="D2688">
        <v>0</v>
      </c>
      <c r="E2688">
        <v>-93.4599</v>
      </c>
      <c r="F2688">
        <v>15.749</v>
      </c>
      <c r="G2688">
        <v>25819.64</v>
      </c>
      <c r="H2688" s="1">
        <v>32387</v>
      </c>
      <c r="I2688" s="1">
        <v>32391</v>
      </c>
      <c r="J2688" t="s">
        <v>15</v>
      </c>
      <c r="K2688">
        <v>17</v>
      </c>
      <c r="L2688">
        <v>20000</v>
      </c>
      <c r="M2688" t="s">
        <v>86</v>
      </c>
      <c r="N2688">
        <v>1</v>
      </c>
    </row>
    <row r="2689" hidden="1" spans="1:14">
      <c r="A2689">
        <v>244</v>
      </c>
      <c r="B2689">
        <v>0</v>
      </c>
      <c r="C2689" t="s">
        <v>158</v>
      </c>
      <c r="D2689">
        <v>0</v>
      </c>
      <c r="E2689">
        <v>-97.5615</v>
      </c>
      <c r="F2689">
        <v>20.7098</v>
      </c>
      <c r="G2689">
        <v>12600.87</v>
      </c>
      <c r="H2689" s="1">
        <v>32388</v>
      </c>
      <c r="I2689" s="1">
        <v>32392</v>
      </c>
      <c r="J2689" t="s">
        <v>15</v>
      </c>
      <c r="K2689">
        <v>31</v>
      </c>
      <c r="L2689">
        <v>30000</v>
      </c>
      <c r="M2689" t="s">
        <v>86</v>
      </c>
      <c r="N2689">
        <v>1</v>
      </c>
    </row>
    <row r="2690" hidden="1" spans="1:14">
      <c r="A2690">
        <v>248</v>
      </c>
      <c r="B2690">
        <v>0</v>
      </c>
      <c r="C2690" t="s">
        <v>158</v>
      </c>
      <c r="E2690">
        <v>-88.6221</v>
      </c>
      <c r="F2690">
        <v>20.9216</v>
      </c>
      <c r="G2690">
        <v>105084.42</v>
      </c>
      <c r="H2690" s="1">
        <v>32396</v>
      </c>
      <c r="I2690" s="1">
        <v>32404</v>
      </c>
      <c r="J2690" t="s">
        <v>15</v>
      </c>
      <c r="K2690">
        <v>237</v>
      </c>
      <c r="L2690">
        <v>821400</v>
      </c>
      <c r="M2690" t="s">
        <v>86</v>
      </c>
      <c r="N2690">
        <v>2</v>
      </c>
    </row>
    <row r="2691" hidden="1" spans="1:14">
      <c r="A2691">
        <v>285</v>
      </c>
      <c r="B2691">
        <v>0</v>
      </c>
      <c r="C2691" t="s">
        <v>158</v>
      </c>
      <c r="D2691">
        <v>0</v>
      </c>
      <c r="E2691">
        <v>-99.9696</v>
      </c>
      <c r="F2691">
        <v>25.0375</v>
      </c>
      <c r="G2691">
        <v>374.951</v>
      </c>
      <c r="H2691" s="1">
        <v>32544</v>
      </c>
      <c r="I2691" s="1">
        <v>32547</v>
      </c>
      <c r="J2691" t="s">
        <v>15</v>
      </c>
      <c r="K2691">
        <v>0</v>
      </c>
      <c r="L2691">
        <v>0</v>
      </c>
      <c r="M2691" t="s">
        <v>16</v>
      </c>
      <c r="N2691">
        <v>1</v>
      </c>
    </row>
    <row r="2692" hidden="1" spans="1:14">
      <c r="A2692">
        <v>362</v>
      </c>
      <c r="B2692">
        <v>0</v>
      </c>
      <c r="C2692" t="s">
        <v>158</v>
      </c>
      <c r="D2692">
        <v>0</v>
      </c>
      <c r="E2692">
        <v>-93.7688</v>
      </c>
      <c r="F2692">
        <v>17.9191</v>
      </c>
      <c r="G2692">
        <v>249826.1</v>
      </c>
      <c r="H2692" s="1">
        <v>32760</v>
      </c>
      <c r="I2692" s="1">
        <v>32775</v>
      </c>
      <c r="J2692" t="s">
        <v>15</v>
      </c>
      <c r="K2692">
        <v>22</v>
      </c>
      <c r="L2692">
        <v>21063</v>
      </c>
      <c r="M2692" t="s">
        <v>86</v>
      </c>
      <c r="N2692">
        <v>1</v>
      </c>
    </row>
    <row r="2693" hidden="1" spans="1:14">
      <c r="A2693">
        <v>445</v>
      </c>
      <c r="B2693">
        <v>0</v>
      </c>
      <c r="C2693" t="s">
        <v>158</v>
      </c>
      <c r="D2693">
        <v>0</v>
      </c>
      <c r="E2693">
        <v>-98.5972</v>
      </c>
      <c r="F2693">
        <v>21.6683</v>
      </c>
      <c r="G2693">
        <v>256019.22</v>
      </c>
      <c r="H2693" s="1">
        <v>33092</v>
      </c>
      <c r="I2693" s="1">
        <v>33093</v>
      </c>
      <c r="J2693" t="s">
        <v>15</v>
      </c>
      <c r="K2693">
        <v>35</v>
      </c>
      <c r="L2693">
        <v>3500</v>
      </c>
      <c r="M2693" t="s">
        <v>86</v>
      </c>
      <c r="N2693">
        <v>1</v>
      </c>
    </row>
    <row r="2694" hidden="1" spans="1:14">
      <c r="A2694">
        <v>462</v>
      </c>
      <c r="B2694">
        <v>0</v>
      </c>
      <c r="C2694" t="s">
        <v>158</v>
      </c>
      <c r="D2694">
        <v>0</v>
      </c>
      <c r="E2694">
        <v>-106.048</v>
      </c>
      <c r="F2694">
        <v>28.6222</v>
      </c>
      <c r="G2694">
        <v>41286.99</v>
      </c>
      <c r="H2694" s="1">
        <v>33138</v>
      </c>
      <c r="I2694" s="1">
        <v>33141</v>
      </c>
      <c r="J2694" t="s">
        <v>15</v>
      </c>
      <c r="K2694">
        <v>45</v>
      </c>
      <c r="L2694">
        <v>5000</v>
      </c>
      <c r="M2694" t="s">
        <v>16</v>
      </c>
      <c r="N2694">
        <v>2</v>
      </c>
    </row>
    <row r="2695" hidden="1" spans="1:14">
      <c r="A2695">
        <v>577</v>
      </c>
      <c r="B2695">
        <v>0</v>
      </c>
      <c r="C2695" t="s">
        <v>158</v>
      </c>
      <c r="D2695">
        <v>0</v>
      </c>
      <c r="E2695">
        <v>-107.422</v>
      </c>
      <c r="F2695">
        <v>26.6059</v>
      </c>
      <c r="G2695">
        <v>656950.53</v>
      </c>
      <c r="H2695" s="1">
        <v>33477</v>
      </c>
      <c r="I2695" s="1">
        <v>33486</v>
      </c>
      <c r="J2695" t="s">
        <v>15</v>
      </c>
      <c r="K2695">
        <v>12</v>
      </c>
      <c r="L2695">
        <v>8500</v>
      </c>
      <c r="M2695" t="s">
        <v>16</v>
      </c>
      <c r="N2695">
        <v>1</v>
      </c>
    </row>
    <row r="2696" hidden="1" spans="1:14">
      <c r="A2696">
        <v>618</v>
      </c>
      <c r="B2696">
        <v>0</v>
      </c>
      <c r="C2696" t="s">
        <v>158</v>
      </c>
      <c r="D2696">
        <v>0</v>
      </c>
      <c r="E2696">
        <v>-103.421</v>
      </c>
      <c r="F2696">
        <v>25.5033</v>
      </c>
      <c r="G2696">
        <v>478328.71</v>
      </c>
      <c r="H2696" s="1">
        <v>33620</v>
      </c>
      <c r="I2696" s="1">
        <v>33621</v>
      </c>
      <c r="J2696" t="s">
        <v>15</v>
      </c>
      <c r="K2696">
        <v>50</v>
      </c>
      <c r="L2696">
        <v>13000</v>
      </c>
      <c r="M2696" t="s">
        <v>38</v>
      </c>
      <c r="N2696">
        <v>1</v>
      </c>
    </row>
    <row r="2697" hidden="1" spans="1:14">
      <c r="A2697">
        <v>682</v>
      </c>
      <c r="B2697">
        <v>0</v>
      </c>
      <c r="C2697" t="s">
        <v>158</v>
      </c>
      <c r="D2697">
        <v>0</v>
      </c>
      <c r="E2697">
        <v>-111.562</v>
      </c>
      <c r="F2697">
        <v>25.4554</v>
      </c>
      <c r="G2697">
        <v>85944.59</v>
      </c>
      <c r="H2697" s="1">
        <v>33839</v>
      </c>
      <c r="I2697" s="1">
        <v>33839</v>
      </c>
      <c r="J2697" t="s">
        <v>15</v>
      </c>
      <c r="K2697">
        <v>3</v>
      </c>
      <c r="L2697">
        <v>10000</v>
      </c>
      <c r="M2697" t="s">
        <v>104</v>
      </c>
      <c r="N2697">
        <v>1</v>
      </c>
    </row>
    <row r="2698" hidden="1" spans="1:14">
      <c r="A2698">
        <v>695</v>
      </c>
      <c r="B2698">
        <v>0</v>
      </c>
      <c r="C2698" t="s">
        <v>158</v>
      </c>
      <c r="D2698">
        <v>0</v>
      </c>
      <c r="E2698">
        <v>-90.1363</v>
      </c>
      <c r="F2698">
        <v>19.3548</v>
      </c>
      <c r="G2698">
        <v>182383.3</v>
      </c>
      <c r="H2698" s="1">
        <v>33864</v>
      </c>
      <c r="I2698" s="1">
        <v>33865</v>
      </c>
      <c r="J2698" t="s">
        <v>15</v>
      </c>
      <c r="K2698">
        <v>2</v>
      </c>
      <c r="L2698">
        <v>0</v>
      </c>
      <c r="M2698" t="s">
        <v>16</v>
      </c>
      <c r="N2698">
        <v>1</v>
      </c>
    </row>
    <row r="2699" hidden="1" spans="1:14">
      <c r="A2699">
        <v>724</v>
      </c>
      <c r="B2699">
        <v>0</v>
      </c>
      <c r="C2699" t="s">
        <v>158</v>
      </c>
      <c r="D2699" t="s">
        <v>128</v>
      </c>
      <c r="E2699">
        <v>-116.876</v>
      </c>
      <c r="F2699">
        <v>33.0191</v>
      </c>
      <c r="G2699">
        <v>24073.8</v>
      </c>
      <c r="H2699" s="1">
        <v>33975</v>
      </c>
      <c r="I2699" s="1">
        <v>33989</v>
      </c>
      <c r="J2699" t="s">
        <v>15</v>
      </c>
      <c r="K2699">
        <v>36</v>
      </c>
      <c r="L2699">
        <v>11215</v>
      </c>
      <c r="M2699" t="s">
        <v>16</v>
      </c>
      <c r="N2699">
        <v>1</v>
      </c>
    </row>
    <row r="2700" hidden="1" spans="1:14">
      <c r="A2700">
        <v>756</v>
      </c>
      <c r="B2700">
        <v>0</v>
      </c>
      <c r="C2700" t="s">
        <v>158</v>
      </c>
      <c r="D2700">
        <v>0</v>
      </c>
      <c r="E2700">
        <v>-99.7422</v>
      </c>
      <c r="F2700">
        <v>17.9374</v>
      </c>
      <c r="G2700">
        <v>147720.82</v>
      </c>
      <c r="H2700" s="1">
        <v>34155</v>
      </c>
      <c r="I2700" s="1">
        <v>34157</v>
      </c>
      <c r="J2700" t="s">
        <v>15</v>
      </c>
      <c r="K2700">
        <v>28</v>
      </c>
      <c r="L2700">
        <v>30000</v>
      </c>
      <c r="M2700" t="s">
        <v>16</v>
      </c>
      <c r="N2700">
        <v>1</v>
      </c>
    </row>
    <row r="2701" hidden="1" spans="1:14">
      <c r="A2701">
        <v>773</v>
      </c>
      <c r="B2701">
        <v>0</v>
      </c>
      <c r="C2701" t="s">
        <v>158</v>
      </c>
      <c r="D2701">
        <v>0</v>
      </c>
      <c r="E2701">
        <v>-95.2258</v>
      </c>
      <c r="F2701">
        <v>18.0128</v>
      </c>
      <c r="G2701">
        <v>22339.48</v>
      </c>
      <c r="H2701" s="1">
        <v>34202</v>
      </c>
      <c r="I2701" s="1">
        <v>34204</v>
      </c>
      <c r="J2701" t="s">
        <v>15</v>
      </c>
      <c r="K2701">
        <v>0</v>
      </c>
      <c r="L2701">
        <v>3000</v>
      </c>
      <c r="M2701" t="s">
        <v>86</v>
      </c>
      <c r="N2701">
        <v>1</v>
      </c>
    </row>
    <row r="2702" hidden="1" spans="1:14">
      <c r="A2702">
        <v>784</v>
      </c>
      <c r="B2702">
        <v>0</v>
      </c>
      <c r="C2702" t="s">
        <v>158</v>
      </c>
      <c r="D2702">
        <v>0</v>
      </c>
      <c r="E2702">
        <v>-98.4013</v>
      </c>
      <c r="F2702">
        <v>22.1952</v>
      </c>
      <c r="G2702">
        <v>13916.18</v>
      </c>
      <c r="H2702" s="1">
        <v>34240</v>
      </c>
      <c r="I2702" s="1">
        <v>34241</v>
      </c>
      <c r="J2702" t="s">
        <v>15</v>
      </c>
      <c r="K2702">
        <v>0</v>
      </c>
      <c r="L2702">
        <v>100000</v>
      </c>
      <c r="M2702" t="s">
        <v>16</v>
      </c>
      <c r="N2702">
        <v>1</v>
      </c>
    </row>
    <row r="2703" hidden="1" spans="1:14">
      <c r="A2703">
        <v>996</v>
      </c>
      <c r="B2703">
        <v>0</v>
      </c>
      <c r="C2703" t="s">
        <v>158</v>
      </c>
      <c r="D2703">
        <v>0</v>
      </c>
      <c r="E2703">
        <v>-111.414</v>
      </c>
      <c r="F2703">
        <v>29.2882</v>
      </c>
      <c r="G2703">
        <v>168617.63</v>
      </c>
      <c r="H2703" s="1">
        <v>34956</v>
      </c>
      <c r="I2703" s="1">
        <v>34964</v>
      </c>
      <c r="J2703" t="s">
        <v>15</v>
      </c>
      <c r="K2703">
        <v>50</v>
      </c>
      <c r="L2703">
        <v>25000</v>
      </c>
      <c r="M2703" t="s">
        <v>86</v>
      </c>
      <c r="N2703">
        <v>1</v>
      </c>
    </row>
    <row r="2704" hidden="1" spans="1:14">
      <c r="A2704">
        <v>1015</v>
      </c>
      <c r="B2704">
        <v>0</v>
      </c>
      <c r="C2704" t="s">
        <v>158</v>
      </c>
      <c r="D2704">
        <v>0</v>
      </c>
      <c r="E2704">
        <v>-90.4962</v>
      </c>
      <c r="F2704">
        <v>18.9399</v>
      </c>
      <c r="G2704">
        <v>196526.71</v>
      </c>
      <c r="H2704" s="1">
        <v>34972</v>
      </c>
      <c r="I2704" s="1">
        <v>34974</v>
      </c>
      <c r="J2704" t="s">
        <v>15</v>
      </c>
      <c r="K2704">
        <v>10</v>
      </c>
      <c r="L2704">
        <v>100000</v>
      </c>
      <c r="M2704" t="s">
        <v>86</v>
      </c>
      <c r="N2704">
        <v>1</v>
      </c>
    </row>
    <row r="2705" hidden="1" spans="1:14">
      <c r="A2705">
        <v>1024</v>
      </c>
      <c r="B2705">
        <v>0</v>
      </c>
      <c r="C2705" t="s">
        <v>158</v>
      </c>
      <c r="D2705">
        <v>0</v>
      </c>
      <c r="E2705">
        <v>-90.4142</v>
      </c>
      <c r="F2705">
        <v>18.147</v>
      </c>
      <c r="G2705">
        <v>224975.12</v>
      </c>
      <c r="H2705" s="1">
        <v>34984</v>
      </c>
      <c r="I2705" s="1">
        <v>34991</v>
      </c>
      <c r="J2705" t="s">
        <v>15</v>
      </c>
      <c r="K2705">
        <v>17</v>
      </c>
      <c r="L2705">
        <v>70000</v>
      </c>
      <c r="M2705" t="s">
        <v>86</v>
      </c>
      <c r="N2705">
        <v>1</v>
      </c>
    </row>
    <row r="2706" hidden="1" spans="1:14">
      <c r="A2706">
        <v>1114</v>
      </c>
      <c r="B2706">
        <v>0</v>
      </c>
      <c r="C2706" t="s">
        <v>158</v>
      </c>
      <c r="D2706">
        <v>0</v>
      </c>
      <c r="E2706">
        <v>-110.047</v>
      </c>
      <c r="F2706">
        <v>23.595</v>
      </c>
      <c r="G2706">
        <v>9305.78</v>
      </c>
      <c r="H2706" s="1">
        <v>35321</v>
      </c>
      <c r="I2706" s="1">
        <v>35322</v>
      </c>
      <c r="J2706" t="s">
        <v>15</v>
      </c>
      <c r="K2706">
        <v>1</v>
      </c>
      <c r="L2706">
        <v>300</v>
      </c>
      <c r="M2706" t="s">
        <v>103</v>
      </c>
      <c r="N2706">
        <v>1</v>
      </c>
    </row>
    <row r="2707" hidden="1" spans="1:14">
      <c r="A2707">
        <v>1121</v>
      </c>
      <c r="B2707">
        <v>0</v>
      </c>
      <c r="C2707" t="s">
        <v>158</v>
      </c>
      <c r="D2707">
        <v>0</v>
      </c>
      <c r="E2707">
        <v>-101.877</v>
      </c>
      <c r="F2707">
        <v>25.8792</v>
      </c>
      <c r="G2707">
        <v>366782.14</v>
      </c>
      <c r="H2707" s="1">
        <v>35344</v>
      </c>
      <c r="I2707" s="1">
        <v>35348</v>
      </c>
      <c r="J2707" t="s">
        <v>15</v>
      </c>
      <c r="K2707">
        <v>0</v>
      </c>
      <c r="L2707">
        <v>9000</v>
      </c>
      <c r="M2707" t="s">
        <v>49</v>
      </c>
      <c r="N2707">
        <v>1</v>
      </c>
    </row>
    <row r="2708" hidden="1" spans="1:14">
      <c r="A2708">
        <v>1185</v>
      </c>
      <c r="B2708">
        <v>0</v>
      </c>
      <c r="C2708" t="s">
        <v>158</v>
      </c>
      <c r="D2708" t="s">
        <v>128</v>
      </c>
      <c r="E2708">
        <v>-115.892</v>
      </c>
      <c r="F2708">
        <v>31.4717</v>
      </c>
      <c r="G2708">
        <v>71560.63</v>
      </c>
      <c r="H2708" s="1">
        <v>35698</v>
      </c>
      <c r="I2708" s="1">
        <v>35700</v>
      </c>
      <c r="J2708" t="s">
        <v>15</v>
      </c>
      <c r="K2708">
        <v>0</v>
      </c>
      <c r="L2708">
        <v>240</v>
      </c>
      <c r="M2708" t="s">
        <v>86</v>
      </c>
      <c r="N2708">
        <v>1</v>
      </c>
    </row>
    <row r="2709" hidden="1" spans="1:14">
      <c r="A2709">
        <v>1186</v>
      </c>
      <c r="B2709">
        <v>0</v>
      </c>
      <c r="C2709" t="s">
        <v>158</v>
      </c>
      <c r="D2709">
        <v>0</v>
      </c>
      <c r="E2709">
        <v>-92.6201</v>
      </c>
      <c r="F2709">
        <v>15.9418</v>
      </c>
      <c r="G2709">
        <v>97067.58</v>
      </c>
      <c r="H2709" s="1">
        <v>35698</v>
      </c>
      <c r="I2709" s="1">
        <v>35702</v>
      </c>
      <c r="J2709" t="s">
        <v>15</v>
      </c>
      <c r="K2709">
        <v>12</v>
      </c>
      <c r="L2709">
        <v>0</v>
      </c>
      <c r="M2709" t="s">
        <v>86</v>
      </c>
      <c r="N2709">
        <v>1</v>
      </c>
    </row>
    <row r="2710" hidden="1" spans="1:14">
      <c r="A2710">
        <v>1190</v>
      </c>
      <c r="B2710">
        <v>0</v>
      </c>
      <c r="C2710" t="s">
        <v>158</v>
      </c>
      <c r="D2710">
        <v>0</v>
      </c>
      <c r="E2710">
        <v>-98.4104</v>
      </c>
      <c r="F2710">
        <v>16.8657</v>
      </c>
      <c r="G2710">
        <v>73534.35</v>
      </c>
      <c r="H2710" s="1">
        <v>35709</v>
      </c>
      <c r="I2710" s="1">
        <v>35715</v>
      </c>
      <c r="J2710" t="s">
        <v>15</v>
      </c>
      <c r="K2710">
        <v>400</v>
      </c>
      <c r="L2710">
        <v>3000</v>
      </c>
      <c r="M2710" t="s">
        <v>86</v>
      </c>
      <c r="N2710">
        <v>1</v>
      </c>
    </row>
    <row r="2711" hidden="1" spans="1:14">
      <c r="A2711">
        <v>1196</v>
      </c>
      <c r="B2711">
        <v>0</v>
      </c>
      <c r="C2711" t="s">
        <v>158</v>
      </c>
      <c r="D2711">
        <v>0</v>
      </c>
      <c r="E2711">
        <v>-92.2262</v>
      </c>
      <c r="F2711">
        <v>16.2641</v>
      </c>
      <c r="G2711">
        <v>72854.48</v>
      </c>
      <c r="H2711" s="1">
        <v>35730</v>
      </c>
      <c r="I2711" s="1">
        <v>35734</v>
      </c>
      <c r="J2711" t="s">
        <v>15</v>
      </c>
      <c r="K2711">
        <v>8</v>
      </c>
      <c r="L2711">
        <v>1200</v>
      </c>
      <c r="M2711" t="s">
        <v>16</v>
      </c>
      <c r="N2711">
        <v>1</v>
      </c>
    </row>
    <row r="2712" hidden="1" spans="1:14">
      <c r="A2712">
        <v>1317</v>
      </c>
      <c r="B2712">
        <v>0</v>
      </c>
      <c r="C2712" t="s">
        <v>158</v>
      </c>
      <c r="D2712">
        <v>0</v>
      </c>
      <c r="E2712">
        <v>-116.395</v>
      </c>
      <c r="F2712">
        <v>31.3876</v>
      </c>
      <c r="G2712">
        <v>8447.57</v>
      </c>
      <c r="H2712" s="1">
        <v>35849</v>
      </c>
      <c r="I2712" s="1">
        <v>35850</v>
      </c>
      <c r="J2712" t="s">
        <v>15</v>
      </c>
      <c r="K2712">
        <v>4</v>
      </c>
      <c r="L2712">
        <v>800</v>
      </c>
      <c r="M2712" t="s">
        <v>16</v>
      </c>
      <c r="N2712">
        <v>1</v>
      </c>
    </row>
    <row r="2713" hidden="1" spans="1:14">
      <c r="A2713">
        <v>1407</v>
      </c>
      <c r="B2713">
        <v>0</v>
      </c>
      <c r="C2713" t="s">
        <v>158</v>
      </c>
      <c r="D2713">
        <v>0</v>
      </c>
      <c r="E2713">
        <v>-99.2196</v>
      </c>
      <c r="F2713">
        <v>17.2264</v>
      </c>
      <c r="G2713">
        <v>58057.89</v>
      </c>
      <c r="H2713" s="1">
        <v>35965</v>
      </c>
      <c r="I2713" s="1">
        <v>35969</v>
      </c>
      <c r="J2713" t="s">
        <v>15</v>
      </c>
      <c r="K2713">
        <v>0</v>
      </c>
      <c r="L2713">
        <v>400</v>
      </c>
      <c r="M2713" t="s">
        <v>16</v>
      </c>
      <c r="N2713">
        <v>1</v>
      </c>
    </row>
    <row r="2714" hidden="1" spans="1:14">
      <c r="A2714">
        <v>1412</v>
      </c>
      <c r="B2714">
        <v>0</v>
      </c>
      <c r="C2714" t="s">
        <v>158</v>
      </c>
      <c r="D2714">
        <v>0</v>
      </c>
      <c r="E2714">
        <v>-98.8272</v>
      </c>
      <c r="F2714">
        <v>18.0078</v>
      </c>
      <c r="G2714">
        <v>78599.82</v>
      </c>
      <c r="H2714" s="1">
        <v>35978</v>
      </c>
      <c r="I2714" s="1">
        <v>35979</v>
      </c>
      <c r="J2714" t="s">
        <v>15</v>
      </c>
      <c r="K2714">
        <v>1</v>
      </c>
      <c r="L2714">
        <v>520</v>
      </c>
      <c r="M2714" t="s">
        <v>16</v>
      </c>
      <c r="N2714">
        <v>1</v>
      </c>
    </row>
    <row r="2715" hidden="1" spans="1:14">
      <c r="A2715">
        <v>1438</v>
      </c>
      <c r="B2715">
        <v>0</v>
      </c>
      <c r="C2715" t="s">
        <v>158</v>
      </c>
      <c r="D2715" t="s">
        <v>387</v>
      </c>
      <c r="E2715">
        <v>-92.6243</v>
      </c>
      <c r="F2715">
        <v>15.978</v>
      </c>
      <c r="G2715">
        <v>447483.11</v>
      </c>
      <c r="H2715" s="1">
        <v>36041</v>
      </c>
      <c r="I2715" s="1">
        <v>36050</v>
      </c>
      <c r="J2715" t="s">
        <v>15</v>
      </c>
      <c r="K2715">
        <v>407</v>
      </c>
      <c r="L2715">
        <v>400000</v>
      </c>
      <c r="M2715" t="s">
        <v>86</v>
      </c>
      <c r="N2715">
        <v>2</v>
      </c>
    </row>
    <row r="2716" hidden="1" spans="1:14">
      <c r="A2716">
        <v>1514</v>
      </c>
      <c r="B2716">
        <v>0</v>
      </c>
      <c r="C2716" t="s">
        <v>158</v>
      </c>
      <c r="D2716">
        <v>0</v>
      </c>
      <c r="E2716">
        <v>-102.409</v>
      </c>
      <c r="F2716">
        <v>29.9758</v>
      </c>
      <c r="G2716">
        <v>162984.68</v>
      </c>
      <c r="H2716" s="1">
        <v>36325</v>
      </c>
      <c r="I2716" s="1">
        <v>36327</v>
      </c>
      <c r="J2716" t="s">
        <v>15</v>
      </c>
      <c r="K2716">
        <v>12</v>
      </c>
      <c r="L2716">
        <v>0</v>
      </c>
      <c r="M2716" t="s">
        <v>16</v>
      </c>
      <c r="N2716">
        <v>1</v>
      </c>
    </row>
    <row r="2717" hidden="1" spans="1:14">
      <c r="A2717">
        <v>1518</v>
      </c>
      <c r="B2717">
        <v>0</v>
      </c>
      <c r="C2717" t="s">
        <v>158</v>
      </c>
      <c r="D2717">
        <v>0</v>
      </c>
      <c r="E2717">
        <v>-99.0399</v>
      </c>
      <c r="F2717">
        <v>18.0065</v>
      </c>
      <c r="G2717">
        <v>53032.65</v>
      </c>
      <c r="H2717" s="1">
        <v>36335</v>
      </c>
      <c r="I2717" s="1">
        <v>36339</v>
      </c>
      <c r="J2717" t="s">
        <v>15</v>
      </c>
      <c r="K2717">
        <v>4</v>
      </c>
      <c r="L2717">
        <v>15000</v>
      </c>
      <c r="M2717" t="s">
        <v>86</v>
      </c>
      <c r="N2717">
        <v>1</v>
      </c>
    </row>
    <row r="2718" hidden="1" spans="1:14">
      <c r="A2718">
        <v>1546</v>
      </c>
      <c r="B2718">
        <v>0</v>
      </c>
      <c r="C2718" t="s">
        <v>158</v>
      </c>
      <c r="D2718">
        <v>0</v>
      </c>
      <c r="E2718">
        <v>-102.778</v>
      </c>
      <c r="F2718">
        <v>19.2674</v>
      </c>
      <c r="G2718">
        <v>126001.58</v>
      </c>
      <c r="H2718" s="1">
        <v>36410</v>
      </c>
      <c r="I2718" s="1">
        <v>36411</v>
      </c>
      <c r="J2718" t="s">
        <v>15</v>
      </c>
      <c r="K2718">
        <v>10</v>
      </c>
      <c r="L2718">
        <v>1400</v>
      </c>
      <c r="M2718" t="s">
        <v>86</v>
      </c>
      <c r="N2718">
        <v>1</v>
      </c>
    </row>
    <row r="2719" hidden="1" spans="1:14">
      <c r="A2719">
        <v>1558</v>
      </c>
      <c r="B2719">
        <v>0</v>
      </c>
      <c r="C2719" t="s">
        <v>158</v>
      </c>
      <c r="D2719" t="s">
        <v>385</v>
      </c>
      <c r="E2719">
        <v>-86.0563</v>
      </c>
      <c r="F2719">
        <v>14.8551</v>
      </c>
      <c r="G2719">
        <v>1159286.45</v>
      </c>
      <c r="H2719" s="1">
        <v>36415</v>
      </c>
      <c r="I2719" s="1">
        <v>36445</v>
      </c>
      <c r="J2719" t="s">
        <v>15</v>
      </c>
      <c r="K2719">
        <v>160</v>
      </c>
      <c r="L2719">
        <v>268200</v>
      </c>
      <c r="M2719" t="s">
        <v>86</v>
      </c>
      <c r="N2719">
        <v>2</v>
      </c>
    </row>
    <row r="2720" hidden="1" spans="1:14">
      <c r="A2720">
        <v>1561</v>
      </c>
      <c r="B2720">
        <v>0</v>
      </c>
      <c r="C2720" t="s">
        <v>158</v>
      </c>
      <c r="D2720">
        <v>0</v>
      </c>
      <c r="E2720">
        <v>-93.2456</v>
      </c>
      <c r="F2720">
        <v>18.4562</v>
      </c>
      <c r="G2720">
        <v>60539.63</v>
      </c>
      <c r="H2720" s="1">
        <v>36445</v>
      </c>
      <c r="I2720" s="1">
        <v>36462</v>
      </c>
      <c r="J2720" t="s">
        <v>15</v>
      </c>
      <c r="K2720">
        <v>425</v>
      </c>
      <c r="L2720">
        <v>300000</v>
      </c>
      <c r="M2720" t="s">
        <v>18</v>
      </c>
      <c r="N2720">
        <v>2</v>
      </c>
    </row>
    <row r="2721" hidden="1" spans="1:14">
      <c r="A2721">
        <v>1799</v>
      </c>
      <c r="B2721">
        <v>0</v>
      </c>
      <c r="C2721" t="s">
        <v>158</v>
      </c>
      <c r="D2721">
        <v>0</v>
      </c>
      <c r="E2721">
        <v>-102.052</v>
      </c>
      <c r="F2721">
        <v>18.0925</v>
      </c>
      <c r="G2721">
        <v>35716.61</v>
      </c>
      <c r="H2721" s="1">
        <v>37158</v>
      </c>
      <c r="I2721" s="1">
        <v>37166</v>
      </c>
      <c r="J2721" t="s">
        <v>15</v>
      </c>
      <c r="K2721">
        <v>3</v>
      </c>
      <c r="L2721">
        <v>38000</v>
      </c>
      <c r="M2721" t="s">
        <v>86</v>
      </c>
      <c r="N2721">
        <v>1</v>
      </c>
    </row>
    <row r="2722" hidden="1" spans="1:14">
      <c r="A2722">
        <v>2032</v>
      </c>
      <c r="B2722">
        <v>0</v>
      </c>
      <c r="C2722" t="s">
        <v>158</v>
      </c>
      <c r="D2722">
        <v>0</v>
      </c>
      <c r="E2722">
        <v>-100.932</v>
      </c>
      <c r="F2722">
        <v>21.818</v>
      </c>
      <c r="G2722">
        <v>1008.6</v>
      </c>
      <c r="H2722" s="1">
        <v>37483</v>
      </c>
      <c r="I2722" s="1">
        <v>37485</v>
      </c>
      <c r="J2722" t="s">
        <v>15</v>
      </c>
      <c r="K2722">
        <v>21</v>
      </c>
      <c r="L2722">
        <v>5000</v>
      </c>
      <c r="M2722" t="s">
        <v>25</v>
      </c>
      <c r="N2722">
        <v>1</v>
      </c>
    </row>
    <row r="2723" hidden="1" spans="1:14">
      <c r="A2723">
        <v>2054</v>
      </c>
      <c r="B2723">
        <v>0</v>
      </c>
      <c r="C2723" t="s">
        <v>158</v>
      </c>
      <c r="D2723">
        <v>0</v>
      </c>
      <c r="E2723">
        <v>-99.3953</v>
      </c>
      <c r="F2723">
        <v>25.5052</v>
      </c>
      <c r="G2723">
        <v>35142.76</v>
      </c>
      <c r="H2723" s="1">
        <v>37516</v>
      </c>
      <c r="I2723" s="1">
        <v>37520</v>
      </c>
      <c r="J2723" t="s">
        <v>15</v>
      </c>
      <c r="K2723">
        <v>10</v>
      </c>
      <c r="L2723">
        <v>0</v>
      </c>
      <c r="M2723" t="s">
        <v>16</v>
      </c>
      <c r="N2723">
        <v>1</v>
      </c>
    </row>
    <row r="2724" hidden="1" spans="1:14">
      <c r="A2724">
        <v>2243</v>
      </c>
      <c r="B2724">
        <v>0</v>
      </c>
      <c r="C2724" t="s">
        <v>158</v>
      </c>
      <c r="D2724">
        <v>0</v>
      </c>
      <c r="E2724">
        <v>-97.089</v>
      </c>
      <c r="F2724">
        <v>18.8378</v>
      </c>
      <c r="G2724">
        <v>1202.55</v>
      </c>
      <c r="H2724" s="1">
        <v>37777</v>
      </c>
      <c r="I2724" s="1">
        <v>37778</v>
      </c>
      <c r="J2724" t="s">
        <v>15</v>
      </c>
      <c r="K2724">
        <v>4</v>
      </c>
      <c r="L2724">
        <v>3000</v>
      </c>
      <c r="M2724" t="s">
        <v>16</v>
      </c>
      <c r="N2724">
        <v>1</v>
      </c>
    </row>
    <row r="2725" hidden="1" spans="1:14">
      <c r="A2725">
        <v>2249</v>
      </c>
      <c r="B2725">
        <v>0</v>
      </c>
      <c r="C2725" t="s">
        <v>158</v>
      </c>
      <c r="D2725">
        <v>0</v>
      </c>
      <c r="E2725">
        <v>-98.1744</v>
      </c>
      <c r="F2725">
        <v>19.0724</v>
      </c>
      <c r="G2725">
        <v>67.7191</v>
      </c>
      <c r="H2725" s="1">
        <v>37784</v>
      </c>
      <c r="I2725" s="1">
        <v>37787</v>
      </c>
      <c r="J2725" t="s">
        <v>15</v>
      </c>
      <c r="K2725">
        <v>0</v>
      </c>
      <c r="L2725">
        <v>800</v>
      </c>
      <c r="M2725" t="s">
        <v>18</v>
      </c>
      <c r="N2725">
        <v>1</v>
      </c>
    </row>
    <row r="2726" hidden="1" spans="1:14">
      <c r="A2726">
        <v>2274</v>
      </c>
      <c r="B2726">
        <v>0</v>
      </c>
      <c r="C2726" t="s">
        <v>158</v>
      </c>
      <c r="D2726">
        <v>0</v>
      </c>
      <c r="E2726">
        <v>-99.1635</v>
      </c>
      <c r="F2726">
        <v>18.9389</v>
      </c>
      <c r="G2726">
        <v>1021.37</v>
      </c>
      <c r="H2726" s="1">
        <v>37805</v>
      </c>
      <c r="I2726" s="1">
        <v>37806</v>
      </c>
      <c r="J2726" t="s">
        <v>15</v>
      </c>
      <c r="K2726">
        <v>0</v>
      </c>
      <c r="L2726">
        <v>0</v>
      </c>
      <c r="M2726" t="s">
        <v>16</v>
      </c>
      <c r="N2726">
        <v>1</v>
      </c>
    </row>
    <row r="2727" hidden="1" spans="1:14">
      <c r="A2727">
        <v>2281</v>
      </c>
      <c r="B2727">
        <v>0</v>
      </c>
      <c r="C2727" t="s">
        <v>158</v>
      </c>
      <c r="D2727">
        <v>0</v>
      </c>
      <c r="E2727">
        <v>-96.7656</v>
      </c>
      <c r="F2727">
        <v>18.1132</v>
      </c>
      <c r="G2727">
        <v>1218.83</v>
      </c>
      <c r="H2727" s="1">
        <v>37819</v>
      </c>
      <c r="I2727" s="1">
        <v>37820</v>
      </c>
      <c r="J2727" t="s">
        <v>15</v>
      </c>
      <c r="K2727">
        <v>10</v>
      </c>
      <c r="L2727">
        <v>200</v>
      </c>
      <c r="M2727" t="s">
        <v>16</v>
      </c>
      <c r="N2727">
        <v>1</v>
      </c>
    </row>
    <row r="2728" hidden="1" spans="1:14">
      <c r="A2728">
        <v>2327</v>
      </c>
      <c r="B2728">
        <v>0</v>
      </c>
      <c r="C2728" t="s">
        <v>158</v>
      </c>
      <c r="D2728">
        <v>0</v>
      </c>
      <c r="E2728">
        <v>-110.799</v>
      </c>
      <c r="F2728">
        <v>24.417</v>
      </c>
      <c r="G2728">
        <v>5832.81</v>
      </c>
      <c r="H2728" s="1">
        <v>37857</v>
      </c>
      <c r="I2728" s="1">
        <v>37860</v>
      </c>
      <c r="J2728" t="s">
        <v>15</v>
      </c>
      <c r="K2728">
        <v>2</v>
      </c>
      <c r="L2728">
        <v>3000</v>
      </c>
      <c r="M2728" t="s">
        <v>103</v>
      </c>
      <c r="N2728">
        <v>1</v>
      </c>
    </row>
    <row r="2729" hidden="1" spans="1:14">
      <c r="A2729">
        <v>2356</v>
      </c>
      <c r="B2729">
        <v>0</v>
      </c>
      <c r="C2729" t="s">
        <v>158</v>
      </c>
      <c r="D2729">
        <v>0</v>
      </c>
      <c r="E2729">
        <v>-110.096</v>
      </c>
      <c r="F2729">
        <v>23.6058</v>
      </c>
      <c r="G2729">
        <v>113990.59</v>
      </c>
      <c r="H2729" s="1">
        <v>37886</v>
      </c>
      <c r="I2729" s="1">
        <v>37895</v>
      </c>
      <c r="J2729" t="s">
        <v>15</v>
      </c>
      <c r="K2729">
        <v>2</v>
      </c>
      <c r="L2729">
        <v>6000</v>
      </c>
      <c r="M2729" t="s">
        <v>103</v>
      </c>
      <c r="N2729">
        <v>1</v>
      </c>
    </row>
    <row r="2730" hidden="1" spans="1:14">
      <c r="A2730">
        <v>2365</v>
      </c>
      <c r="B2730">
        <v>0</v>
      </c>
      <c r="C2730" t="s">
        <v>158</v>
      </c>
      <c r="D2730">
        <v>0</v>
      </c>
      <c r="E2730">
        <v>-93.6014</v>
      </c>
      <c r="F2730">
        <v>17.915</v>
      </c>
      <c r="G2730">
        <v>14779.07</v>
      </c>
      <c r="H2730" s="1">
        <v>37899</v>
      </c>
      <c r="I2730" s="1">
        <v>37906</v>
      </c>
      <c r="J2730" t="s">
        <v>15</v>
      </c>
      <c r="K2730">
        <v>0</v>
      </c>
      <c r="L2730">
        <v>1500</v>
      </c>
      <c r="M2730" t="s">
        <v>103</v>
      </c>
      <c r="N2730">
        <v>1</v>
      </c>
    </row>
    <row r="2731" hidden="1" spans="1:14">
      <c r="A2731">
        <v>2464</v>
      </c>
      <c r="B2731">
        <v>0</v>
      </c>
      <c r="C2731" t="s">
        <v>158</v>
      </c>
      <c r="D2731">
        <v>0</v>
      </c>
      <c r="E2731">
        <v>-100.312</v>
      </c>
      <c r="F2731">
        <v>28.4909</v>
      </c>
      <c r="G2731">
        <v>18401.51</v>
      </c>
      <c r="H2731" s="1">
        <v>38081</v>
      </c>
      <c r="I2731" s="1">
        <v>38083</v>
      </c>
      <c r="J2731" t="s">
        <v>15</v>
      </c>
      <c r="K2731">
        <v>37</v>
      </c>
      <c r="L2731">
        <v>3500</v>
      </c>
      <c r="M2731" t="s">
        <v>16</v>
      </c>
      <c r="N2731">
        <v>1</v>
      </c>
    </row>
    <row r="2732" hidden="1" spans="1:14">
      <c r="A2732">
        <v>2499</v>
      </c>
      <c r="B2732">
        <v>0</v>
      </c>
      <c r="C2732" t="s">
        <v>158</v>
      </c>
      <c r="D2732">
        <v>0</v>
      </c>
      <c r="E2732">
        <v>-86.8897</v>
      </c>
      <c r="F2732">
        <v>20.4286</v>
      </c>
      <c r="G2732">
        <v>420.299</v>
      </c>
      <c r="H2732" s="1">
        <v>38150</v>
      </c>
      <c r="I2732" s="1">
        <v>38153</v>
      </c>
      <c r="J2732" t="s">
        <v>15</v>
      </c>
      <c r="K2732">
        <v>1</v>
      </c>
      <c r="L2732">
        <v>350</v>
      </c>
      <c r="M2732" t="s">
        <v>16</v>
      </c>
      <c r="N2732">
        <v>1</v>
      </c>
    </row>
    <row r="2733" hidden="1" spans="1:14">
      <c r="A2733">
        <v>2681</v>
      </c>
      <c r="B2733">
        <v>0</v>
      </c>
      <c r="C2733" t="s">
        <v>158</v>
      </c>
      <c r="D2733">
        <v>0</v>
      </c>
      <c r="E2733">
        <v>-97.65</v>
      </c>
      <c r="F2733">
        <v>21.3534</v>
      </c>
      <c r="G2733">
        <v>968.76</v>
      </c>
      <c r="H2733" s="1">
        <v>38532</v>
      </c>
      <c r="I2733" s="1">
        <v>38533</v>
      </c>
      <c r="J2733" t="s">
        <v>15</v>
      </c>
      <c r="K2733">
        <v>2</v>
      </c>
      <c r="L2733">
        <v>0</v>
      </c>
      <c r="M2733" t="s">
        <v>16</v>
      </c>
      <c r="N2733">
        <v>1</v>
      </c>
    </row>
    <row r="2734" hidden="1" spans="1:14">
      <c r="A2734">
        <v>2717</v>
      </c>
      <c r="B2734">
        <v>0</v>
      </c>
      <c r="C2734" t="s">
        <v>158</v>
      </c>
      <c r="D2734">
        <v>0</v>
      </c>
      <c r="E2734">
        <v>-98.6578</v>
      </c>
      <c r="F2734">
        <v>18.8116</v>
      </c>
      <c r="G2734">
        <v>242699.51</v>
      </c>
      <c r="H2734" s="1">
        <v>38585</v>
      </c>
      <c r="I2734" s="1">
        <v>38594</v>
      </c>
      <c r="J2734" t="s">
        <v>15</v>
      </c>
      <c r="K2734">
        <v>30</v>
      </c>
      <c r="L2734">
        <v>10000</v>
      </c>
      <c r="M2734" t="s">
        <v>16</v>
      </c>
      <c r="N2734">
        <v>1</v>
      </c>
    </row>
    <row r="2735" hidden="1" spans="1:14">
      <c r="A2735">
        <v>2740</v>
      </c>
      <c r="B2735">
        <v>0</v>
      </c>
      <c r="C2735" t="s">
        <v>158</v>
      </c>
      <c r="D2735">
        <v>0</v>
      </c>
      <c r="E2735">
        <v>-93.2683</v>
      </c>
      <c r="F2735">
        <v>15.9783</v>
      </c>
      <c r="G2735">
        <v>62548.04</v>
      </c>
      <c r="H2735" s="1">
        <v>38621</v>
      </c>
      <c r="I2735" s="1">
        <v>38624</v>
      </c>
      <c r="J2735" t="s">
        <v>15</v>
      </c>
      <c r="K2735">
        <v>3</v>
      </c>
      <c r="L2735">
        <v>3000</v>
      </c>
      <c r="M2735" t="s">
        <v>16</v>
      </c>
      <c r="N2735">
        <v>1</v>
      </c>
    </row>
    <row r="2736" hidden="1" spans="1:14">
      <c r="A2736">
        <v>2960</v>
      </c>
      <c r="B2736" t="s">
        <v>672</v>
      </c>
      <c r="C2736" t="s">
        <v>158</v>
      </c>
      <c r="D2736">
        <v>0</v>
      </c>
      <c r="E2736">
        <v>-111.809</v>
      </c>
      <c r="F2736">
        <v>25.3544</v>
      </c>
      <c r="G2736">
        <v>25147.77</v>
      </c>
      <c r="H2736" s="1">
        <v>38962</v>
      </c>
      <c r="I2736" s="1">
        <v>38964</v>
      </c>
      <c r="J2736" t="s">
        <v>15</v>
      </c>
      <c r="K2736">
        <v>5</v>
      </c>
      <c r="L2736">
        <v>10000</v>
      </c>
      <c r="M2736" t="s">
        <v>103</v>
      </c>
      <c r="N2736">
        <v>1</v>
      </c>
    </row>
    <row r="2737" hidden="1" spans="1:14">
      <c r="A2737">
        <v>2963</v>
      </c>
      <c r="B2737" t="s">
        <v>673</v>
      </c>
      <c r="C2737" t="s">
        <v>158</v>
      </c>
      <c r="D2737">
        <v>0</v>
      </c>
      <c r="E2737">
        <v>-107.039</v>
      </c>
      <c r="F2737">
        <v>24.4662</v>
      </c>
      <c r="G2737">
        <v>44308.65</v>
      </c>
      <c r="H2737" s="1">
        <v>38976</v>
      </c>
      <c r="I2737" s="1">
        <v>38978</v>
      </c>
      <c r="J2737" t="s">
        <v>15</v>
      </c>
      <c r="K2737">
        <v>4</v>
      </c>
      <c r="L2737">
        <v>7000</v>
      </c>
      <c r="M2737" t="s">
        <v>23</v>
      </c>
      <c r="N2737">
        <v>1</v>
      </c>
    </row>
    <row r="2738" hidden="1" spans="1:14">
      <c r="A2738">
        <v>2982</v>
      </c>
      <c r="B2738">
        <v>0</v>
      </c>
      <c r="C2738" t="s">
        <v>158</v>
      </c>
      <c r="D2738">
        <v>0</v>
      </c>
      <c r="E2738">
        <v>-107.535</v>
      </c>
      <c r="F2738">
        <v>24.926</v>
      </c>
      <c r="G2738">
        <v>54978.54</v>
      </c>
      <c r="H2738" s="1">
        <v>39015</v>
      </c>
      <c r="I2738" s="1">
        <v>39018</v>
      </c>
      <c r="J2738" t="s">
        <v>15</v>
      </c>
      <c r="K2738">
        <v>0</v>
      </c>
      <c r="L2738">
        <v>20000</v>
      </c>
      <c r="M2738" t="s">
        <v>16</v>
      </c>
      <c r="N2738">
        <v>1</v>
      </c>
    </row>
    <row r="2739" hidden="1" spans="1:14">
      <c r="A2739">
        <v>3199</v>
      </c>
      <c r="B2739">
        <v>0</v>
      </c>
      <c r="C2739" t="s">
        <v>158</v>
      </c>
      <c r="D2739">
        <v>0</v>
      </c>
      <c r="E2739">
        <v>-97.8506</v>
      </c>
      <c r="F2739">
        <v>20.9316</v>
      </c>
      <c r="G2739">
        <v>51992.31</v>
      </c>
      <c r="H2739" s="1">
        <v>39353</v>
      </c>
      <c r="I2739" s="1">
        <v>39356</v>
      </c>
      <c r="J2739" t="s">
        <v>15</v>
      </c>
      <c r="K2739">
        <v>5</v>
      </c>
      <c r="L2739">
        <v>33000</v>
      </c>
      <c r="M2739" t="s">
        <v>86</v>
      </c>
      <c r="N2739">
        <v>1</v>
      </c>
    </row>
    <row r="2740" hidden="1" spans="1:14">
      <c r="A2740">
        <v>3220</v>
      </c>
      <c r="B2740" t="s">
        <v>674</v>
      </c>
      <c r="C2740" t="s">
        <v>158</v>
      </c>
      <c r="D2740">
        <v>0</v>
      </c>
      <c r="E2740">
        <v>-92.413</v>
      </c>
      <c r="F2740">
        <v>17.6693</v>
      </c>
      <c r="G2740">
        <v>35809.25</v>
      </c>
      <c r="H2740" s="1">
        <v>39383</v>
      </c>
      <c r="I2740" s="1">
        <v>39417</v>
      </c>
      <c r="J2740" t="s">
        <v>15</v>
      </c>
      <c r="K2740">
        <v>19</v>
      </c>
      <c r="L2740">
        <v>800000</v>
      </c>
      <c r="M2740" t="s">
        <v>16</v>
      </c>
      <c r="N2740">
        <v>1.5</v>
      </c>
    </row>
    <row r="2741" hidden="1" spans="1:14">
      <c r="A2741">
        <v>3332</v>
      </c>
      <c r="B2741">
        <v>0</v>
      </c>
      <c r="C2741" t="s">
        <v>158</v>
      </c>
      <c r="D2741">
        <v>0</v>
      </c>
      <c r="E2741">
        <v>-98.1487</v>
      </c>
      <c r="F2741">
        <v>21.3597</v>
      </c>
      <c r="G2741">
        <v>193742.15</v>
      </c>
      <c r="H2741" s="1">
        <v>39644</v>
      </c>
      <c r="I2741" s="1">
        <v>39645</v>
      </c>
      <c r="J2741" t="s">
        <v>15</v>
      </c>
      <c r="K2741">
        <v>3</v>
      </c>
      <c r="L2741">
        <v>0</v>
      </c>
      <c r="M2741" t="s">
        <v>49</v>
      </c>
      <c r="N2741">
        <v>1</v>
      </c>
    </row>
    <row r="2742" hidden="1" spans="1:14">
      <c r="A2742">
        <v>3336</v>
      </c>
      <c r="B2742" t="s">
        <v>675</v>
      </c>
      <c r="C2742" t="s">
        <v>158</v>
      </c>
      <c r="E2742">
        <v>-102.791</v>
      </c>
      <c r="F2742">
        <v>29.7956</v>
      </c>
      <c r="G2742">
        <v>457328.35</v>
      </c>
      <c r="H2742" s="1">
        <v>39650</v>
      </c>
      <c r="I2742" s="1">
        <v>39658</v>
      </c>
      <c r="J2742" t="s">
        <v>15</v>
      </c>
      <c r="K2742">
        <v>1</v>
      </c>
      <c r="L2742">
        <v>180</v>
      </c>
      <c r="M2742" t="s">
        <v>676</v>
      </c>
      <c r="N2742">
        <v>2</v>
      </c>
    </row>
    <row r="2743" hidden="1" spans="1:14">
      <c r="A2743">
        <v>3388</v>
      </c>
      <c r="B2743" t="s">
        <v>677</v>
      </c>
      <c r="C2743" t="s">
        <v>158</v>
      </c>
      <c r="D2743">
        <v>0</v>
      </c>
      <c r="E2743">
        <v>-96.7984</v>
      </c>
      <c r="F2743">
        <v>19.5718</v>
      </c>
      <c r="G2743">
        <v>17012.58</v>
      </c>
      <c r="H2743" s="1">
        <v>39722</v>
      </c>
      <c r="I2743" s="1">
        <v>39727</v>
      </c>
      <c r="J2743" t="s">
        <v>15</v>
      </c>
      <c r="K2743">
        <v>0</v>
      </c>
      <c r="L2743">
        <v>7500</v>
      </c>
      <c r="M2743" t="s">
        <v>49</v>
      </c>
      <c r="N2743">
        <v>2</v>
      </c>
    </row>
    <row r="2744" hidden="1" spans="1:14">
      <c r="A2744">
        <v>3502</v>
      </c>
      <c r="B2744" t="s">
        <v>678</v>
      </c>
      <c r="C2744" t="s">
        <v>158</v>
      </c>
      <c r="D2744">
        <v>0</v>
      </c>
      <c r="E2744">
        <v>-96.9696</v>
      </c>
      <c r="F2744">
        <v>16.4489</v>
      </c>
      <c r="G2744">
        <v>51611.74</v>
      </c>
      <c r="H2744" s="1">
        <v>40008</v>
      </c>
      <c r="I2744" s="1">
        <v>40010</v>
      </c>
      <c r="J2744">
        <v>0</v>
      </c>
      <c r="K2744">
        <v>11</v>
      </c>
      <c r="L2744">
        <v>0</v>
      </c>
      <c r="M2744" t="s">
        <v>49</v>
      </c>
      <c r="N2744">
        <v>1</v>
      </c>
    </row>
    <row r="2745" hidden="1" spans="1:14">
      <c r="A2745">
        <v>3538</v>
      </c>
      <c r="B2745" t="s">
        <v>679</v>
      </c>
      <c r="C2745" t="s">
        <v>158</v>
      </c>
      <c r="D2745">
        <v>0</v>
      </c>
      <c r="E2745">
        <v>-99.25</v>
      </c>
      <c r="F2745">
        <v>19.5</v>
      </c>
      <c r="G2745">
        <v>34563.01</v>
      </c>
      <c r="H2745" s="1">
        <v>40057</v>
      </c>
      <c r="I2745" s="1">
        <v>40066</v>
      </c>
      <c r="J2745">
        <v>0</v>
      </c>
      <c r="K2745">
        <v>0</v>
      </c>
      <c r="L2745">
        <v>0</v>
      </c>
      <c r="M2745" t="s">
        <v>49</v>
      </c>
      <c r="N2745">
        <v>1</v>
      </c>
    </row>
    <row r="2746" hidden="1" spans="1:14">
      <c r="A2746">
        <v>3543</v>
      </c>
      <c r="B2746">
        <v>0</v>
      </c>
      <c r="C2746" t="s">
        <v>158</v>
      </c>
      <c r="D2746">
        <v>0</v>
      </c>
      <c r="E2746">
        <v>-95.3112</v>
      </c>
      <c r="F2746">
        <v>18.5257</v>
      </c>
      <c r="G2746">
        <v>33560.99</v>
      </c>
      <c r="H2746" s="1">
        <v>40066</v>
      </c>
      <c r="I2746" s="1">
        <v>40075</v>
      </c>
      <c r="J2746">
        <v>0</v>
      </c>
      <c r="K2746">
        <v>0</v>
      </c>
      <c r="L2746">
        <v>0</v>
      </c>
      <c r="M2746" t="s">
        <v>49</v>
      </c>
      <c r="N2746">
        <v>2</v>
      </c>
    </row>
    <row r="2747" hidden="1" spans="1:14">
      <c r="A2747">
        <v>3562</v>
      </c>
      <c r="B2747">
        <v>0</v>
      </c>
      <c r="C2747" t="s">
        <v>158</v>
      </c>
      <c r="D2747">
        <v>0</v>
      </c>
      <c r="E2747">
        <v>-91.0498</v>
      </c>
      <c r="F2747">
        <v>18.484</v>
      </c>
      <c r="G2747">
        <v>44315.33</v>
      </c>
      <c r="H2747" s="1">
        <v>40118</v>
      </c>
      <c r="I2747" s="1">
        <v>40129</v>
      </c>
      <c r="J2747">
        <v>0</v>
      </c>
      <c r="K2747">
        <v>0</v>
      </c>
      <c r="L2747">
        <v>200000</v>
      </c>
      <c r="M2747" t="s">
        <v>49</v>
      </c>
      <c r="N2747">
        <v>1.5</v>
      </c>
    </row>
    <row r="2748" hidden="1" spans="1:14">
      <c r="A2748">
        <v>3602</v>
      </c>
      <c r="B2748">
        <v>0</v>
      </c>
      <c r="C2748" t="s">
        <v>158</v>
      </c>
      <c r="D2748">
        <v>0</v>
      </c>
      <c r="E2748">
        <v>-99.0036</v>
      </c>
      <c r="F2748">
        <v>19.9433</v>
      </c>
      <c r="G2748">
        <v>122621.4</v>
      </c>
      <c r="H2748" s="1">
        <v>40204</v>
      </c>
      <c r="I2748" s="1">
        <v>40222</v>
      </c>
      <c r="J2748">
        <v>0</v>
      </c>
      <c r="K2748">
        <v>41</v>
      </c>
      <c r="L2748">
        <v>20000</v>
      </c>
      <c r="M2748" t="s">
        <v>49</v>
      </c>
      <c r="N2748">
        <v>1</v>
      </c>
    </row>
    <row r="2749" hidden="1" spans="1:14">
      <c r="A2749">
        <v>3671</v>
      </c>
      <c r="B2749" t="s">
        <v>680</v>
      </c>
      <c r="C2749" t="s">
        <v>158</v>
      </c>
      <c r="D2749">
        <v>0</v>
      </c>
      <c r="E2749">
        <v>-100.417</v>
      </c>
      <c r="F2749">
        <v>24.3112</v>
      </c>
      <c r="G2749">
        <v>209024.88</v>
      </c>
      <c r="H2749" s="1">
        <v>40359</v>
      </c>
      <c r="I2749" s="1">
        <v>40366</v>
      </c>
      <c r="J2749">
        <v>0</v>
      </c>
      <c r="K2749">
        <v>6</v>
      </c>
      <c r="L2749">
        <v>50000</v>
      </c>
      <c r="M2749" t="s">
        <v>681</v>
      </c>
      <c r="N2749">
        <v>2</v>
      </c>
    </row>
    <row r="2750" hidden="1" spans="1:14">
      <c r="A2750">
        <v>3684</v>
      </c>
      <c r="B2750">
        <v>0</v>
      </c>
      <c r="C2750" t="s">
        <v>158</v>
      </c>
      <c r="D2750">
        <v>0</v>
      </c>
      <c r="E2750">
        <v>-100.55</v>
      </c>
      <c r="F2750">
        <v>25.5767</v>
      </c>
      <c r="G2750">
        <v>68346.59</v>
      </c>
      <c r="H2750" s="1">
        <v>40360</v>
      </c>
      <c r="I2750" s="1">
        <v>40373</v>
      </c>
      <c r="J2750">
        <v>0</v>
      </c>
      <c r="K2750">
        <v>0</v>
      </c>
      <c r="L2750">
        <v>0</v>
      </c>
      <c r="M2750" t="s">
        <v>545</v>
      </c>
      <c r="N2750">
        <v>1.5</v>
      </c>
    </row>
    <row r="2751" hidden="1" spans="1:14">
      <c r="A2751">
        <v>3707</v>
      </c>
      <c r="B2751">
        <v>0</v>
      </c>
      <c r="C2751" t="s">
        <v>158</v>
      </c>
      <c r="E2751">
        <v>-92.25</v>
      </c>
      <c r="F2751">
        <v>17.91</v>
      </c>
      <c r="G2751">
        <v>14761.29</v>
      </c>
      <c r="H2751" s="1">
        <v>40405</v>
      </c>
      <c r="I2751" s="1">
        <v>40457</v>
      </c>
      <c r="J2751" t="s">
        <v>15</v>
      </c>
      <c r="K2751">
        <v>100</v>
      </c>
      <c r="L2751">
        <v>50000</v>
      </c>
      <c r="M2751" t="s">
        <v>429</v>
      </c>
      <c r="N2751">
        <v>2</v>
      </c>
    </row>
    <row r="2752" hidden="1" spans="1:14">
      <c r="A2752">
        <v>3721</v>
      </c>
      <c r="B2752">
        <v>0</v>
      </c>
      <c r="C2752" t="s">
        <v>158</v>
      </c>
      <c r="E2752">
        <v>-87.57</v>
      </c>
      <c r="F2752">
        <v>14.4</v>
      </c>
      <c r="G2752">
        <v>98327.2</v>
      </c>
      <c r="H2752" s="1">
        <v>40439</v>
      </c>
      <c r="I2752" s="1">
        <v>40451</v>
      </c>
      <c r="J2752" t="s">
        <v>15</v>
      </c>
      <c r="K2752">
        <v>19</v>
      </c>
      <c r="L2752">
        <v>0</v>
      </c>
      <c r="M2752" t="s">
        <v>682</v>
      </c>
      <c r="N2752">
        <v>2</v>
      </c>
    </row>
    <row r="2753" hidden="1" spans="1:14">
      <c r="A2753">
        <v>3728</v>
      </c>
      <c r="B2753">
        <v>0</v>
      </c>
      <c r="C2753" t="s">
        <v>158</v>
      </c>
      <c r="D2753">
        <v>0</v>
      </c>
      <c r="E2753">
        <v>-92.0198</v>
      </c>
      <c r="F2753">
        <v>17.9576</v>
      </c>
      <c r="G2753">
        <v>23269.99</v>
      </c>
      <c r="H2753" s="1">
        <v>40452</v>
      </c>
      <c r="I2753" s="1">
        <v>40457</v>
      </c>
      <c r="J2753" t="s">
        <v>15</v>
      </c>
      <c r="K2753">
        <v>0</v>
      </c>
      <c r="L2753">
        <v>0</v>
      </c>
      <c r="M2753" t="s">
        <v>52</v>
      </c>
      <c r="N2753">
        <v>1</v>
      </c>
    </row>
    <row r="2754" hidden="1" spans="1:14">
      <c r="A2754">
        <v>3837</v>
      </c>
      <c r="C2754" t="s">
        <v>158</v>
      </c>
      <c r="E2754">
        <v>-98.7502</v>
      </c>
      <c r="F2754">
        <v>22.1168</v>
      </c>
      <c r="G2754">
        <v>185791.33</v>
      </c>
      <c r="H2754" s="1">
        <v>40725</v>
      </c>
      <c r="I2754" s="1">
        <v>40730</v>
      </c>
      <c r="J2754" t="s">
        <v>15</v>
      </c>
      <c r="K2754">
        <v>11</v>
      </c>
      <c r="L2754">
        <v>300000</v>
      </c>
      <c r="M2754" t="s">
        <v>683</v>
      </c>
      <c r="N2754">
        <v>1.5</v>
      </c>
    </row>
    <row r="2755" hidden="1" spans="1:14">
      <c r="A2755">
        <v>3871</v>
      </c>
      <c r="C2755" t="s">
        <v>158</v>
      </c>
      <c r="D2755" t="s">
        <v>684</v>
      </c>
      <c r="E2755">
        <v>-100.833</v>
      </c>
      <c r="F2755">
        <v>18.2802</v>
      </c>
      <c r="G2755">
        <v>311970.53</v>
      </c>
      <c r="H2755" s="1">
        <v>40826</v>
      </c>
      <c r="I2755" s="1">
        <v>40848</v>
      </c>
      <c r="J2755" t="s">
        <v>15</v>
      </c>
      <c r="K2755">
        <v>120</v>
      </c>
      <c r="L2755">
        <v>60000</v>
      </c>
      <c r="M2755" t="s">
        <v>685</v>
      </c>
      <c r="N2755">
        <v>2</v>
      </c>
    </row>
    <row r="2756" hidden="1" spans="1:14">
      <c r="A2756">
        <v>4148</v>
      </c>
      <c r="B2756" t="s">
        <v>686</v>
      </c>
      <c r="C2756" t="s">
        <v>158</v>
      </c>
      <c r="D2756" t="s">
        <v>387</v>
      </c>
      <c r="E2756">
        <v>-94.0274</v>
      </c>
      <c r="F2756">
        <v>16.5997</v>
      </c>
      <c r="G2756">
        <v>113685.43</v>
      </c>
      <c r="H2756" s="1">
        <v>41791</v>
      </c>
      <c r="I2756" s="1">
        <v>41800</v>
      </c>
      <c r="J2756" t="s">
        <v>15</v>
      </c>
      <c r="K2756">
        <v>22</v>
      </c>
      <c r="L2756">
        <v>25000</v>
      </c>
      <c r="M2756" t="s">
        <v>54</v>
      </c>
      <c r="N2756">
        <v>1.5</v>
      </c>
    </row>
    <row r="2757" hidden="1" spans="1:14">
      <c r="A2757">
        <v>4197</v>
      </c>
      <c r="C2757" t="s">
        <v>158</v>
      </c>
      <c r="E2757">
        <v>-98.4317</v>
      </c>
      <c r="F2757">
        <v>21.7845</v>
      </c>
      <c r="G2757">
        <v>187176.03</v>
      </c>
      <c r="H2757" s="1">
        <v>41930</v>
      </c>
      <c r="I2757" s="1">
        <v>41939</v>
      </c>
      <c r="J2757" t="s">
        <v>15</v>
      </c>
      <c r="K2757">
        <v>6</v>
      </c>
      <c r="L2757">
        <v>4000</v>
      </c>
      <c r="M2757" t="s">
        <v>687</v>
      </c>
      <c r="N2757">
        <v>1.5</v>
      </c>
    </row>
    <row r="2758" hidden="1" spans="1:14">
      <c r="A2758">
        <v>4229</v>
      </c>
      <c r="C2758" t="s">
        <v>158</v>
      </c>
      <c r="E2758">
        <v>-103.43</v>
      </c>
      <c r="F2758">
        <v>19.4811</v>
      </c>
      <c r="G2758">
        <v>60978.86</v>
      </c>
      <c r="H2758" s="1">
        <v>42076</v>
      </c>
      <c r="I2758" s="1">
        <v>42086</v>
      </c>
      <c r="J2758" t="s">
        <v>15</v>
      </c>
      <c r="K2758">
        <v>0</v>
      </c>
      <c r="L2758">
        <v>800</v>
      </c>
      <c r="M2758" t="s">
        <v>49</v>
      </c>
      <c r="N2758">
        <v>1</v>
      </c>
    </row>
    <row r="2759" hidden="1" spans="1:14">
      <c r="A2759">
        <v>4302</v>
      </c>
      <c r="B2759" t="s">
        <v>688</v>
      </c>
      <c r="C2759" t="s">
        <v>158</v>
      </c>
      <c r="D2759" t="s">
        <v>128</v>
      </c>
      <c r="E2759">
        <v>-101.772</v>
      </c>
      <c r="F2759">
        <v>28.3812</v>
      </c>
      <c r="G2759">
        <v>1432949.6</v>
      </c>
      <c r="H2759" s="1">
        <v>42300</v>
      </c>
      <c r="I2759" s="1">
        <v>42305</v>
      </c>
      <c r="J2759" t="s">
        <v>15</v>
      </c>
      <c r="K2759">
        <v>0</v>
      </c>
      <c r="L2759">
        <v>0</v>
      </c>
      <c r="M2759" t="s">
        <v>689</v>
      </c>
      <c r="N2759">
        <v>1.5</v>
      </c>
    </row>
    <row r="2760" hidden="1" spans="1:14">
      <c r="A2760">
        <v>4392</v>
      </c>
      <c r="C2760" t="s">
        <v>158</v>
      </c>
      <c r="E2760">
        <v>-93.8047</v>
      </c>
      <c r="F2760">
        <v>17.0711</v>
      </c>
      <c r="G2760">
        <v>127233.91</v>
      </c>
      <c r="H2760" s="1">
        <v>42627</v>
      </c>
      <c r="I2760" s="1">
        <v>42635</v>
      </c>
      <c r="J2760" t="s">
        <v>15</v>
      </c>
      <c r="K2760">
        <v>13</v>
      </c>
      <c r="L2760">
        <v>600</v>
      </c>
      <c r="M2760" t="s">
        <v>49</v>
      </c>
      <c r="N2760">
        <v>1</v>
      </c>
    </row>
    <row r="2761" hidden="1" spans="1:14">
      <c r="A2761">
        <v>4401</v>
      </c>
      <c r="C2761" t="s">
        <v>158</v>
      </c>
      <c r="E2761">
        <v>-104.964</v>
      </c>
      <c r="F2761">
        <v>23.6723</v>
      </c>
      <c r="G2761">
        <v>22329.12</v>
      </c>
      <c r="H2761" s="1">
        <v>42642</v>
      </c>
      <c r="I2761" s="1">
        <v>42648</v>
      </c>
      <c r="J2761" t="s">
        <v>15</v>
      </c>
      <c r="K2761">
        <v>5</v>
      </c>
      <c r="L2761">
        <v>3000</v>
      </c>
      <c r="M2761" t="s">
        <v>690</v>
      </c>
      <c r="N2761">
        <v>1</v>
      </c>
    </row>
    <row r="2762" hidden="1" spans="1:14">
      <c r="A2762">
        <v>4414</v>
      </c>
      <c r="C2762" t="s">
        <v>158</v>
      </c>
      <c r="E2762">
        <v>-99.7926</v>
      </c>
      <c r="F2762">
        <v>23.273</v>
      </c>
      <c r="G2762">
        <v>322162.36</v>
      </c>
      <c r="H2762" s="1">
        <v>42677</v>
      </c>
      <c r="I2762" s="1">
        <v>42684</v>
      </c>
      <c r="J2762" t="s">
        <v>15</v>
      </c>
      <c r="K2762">
        <v>2</v>
      </c>
      <c r="L2762">
        <v>300</v>
      </c>
      <c r="M2762" t="s">
        <v>49</v>
      </c>
      <c r="N2762">
        <v>1</v>
      </c>
    </row>
    <row r="2763" hidden="1" spans="1:14">
      <c r="A2763">
        <v>4480</v>
      </c>
      <c r="C2763" t="s">
        <v>158</v>
      </c>
      <c r="E2763">
        <v>-96.4275</v>
      </c>
      <c r="F2763">
        <v>16.8247</v>
      </c>
      <c r="G2763">
        <v>89840.6</v>
      </c>
      <c r="H2763" s="1">
        <v>42887</v>
      </c>
      <c r="I2763" s="1">
        <v>42891</v>
      </c>
      <c r="J2763" t="s">
        <v>15</v>
      </c>
      <c r="K2763">
        <v>0</v>
      </c>
      <c r="L2763">
        <v>0</v>
      </c>
      <c r="M2763" t="s">
        <v>691</v>
      </c>
      <c r="N2763">
        <v>1</v>
      </c>
    </row>
    <row r="2764" hidden="1" spans="1:14">
      <c r="A2764">
        <v>4505</v>
      </c>
      <c r="B2764" t="s">
        <v>692</v>
      </c>
      <c r="C2764" t="s">
        <v>158</v>
      </c>
      <c r="E2764">
        <v>-99.5452</v>
      </c>
      <c r="F2764">
        <v>21.4878</v>
      </c>
      <c r="G2764">
        <v>193523.81</v>
      </c>
      <c r="H2764" s="1">
        <v>42956</v>
      </c>
      <c r="I2764" s="1">
        <v>42957</v>
      </c>
      <c r="J2764" t="s">
        <v>15</v>
      </c>
      <c r="K2764">
        <v>0</v>
      </c>
      <c r="L2764">
        <v>0</v>
      </c>
      <c r="M2764" t="s">
        <v>693</v>
      </c>
      <c r="N2764">
        <v>1</v>
      </c>
    </row>
    <row r="2765" hidden="1" spans="1:14">
      <c r="A2765">
        <v>4525</v>
      </c>
      <c r="C2765" t="s">
        <v>158</v>
      </c>
      <c r="E2765">
        <v>-98.308</v>
      </c>
      <c r="F2765">
        <v>23.9167</v>
      </c>
      <c r="G2765">
        <v>57674.59</v>
      </c>
      <c r="H2765" s="1">
        <v>43004</v>
      </c>
      <c r="I2765" s="1">
        <v>43015</v>
      </c>
      <c r="J2765" t="s">
        <v>15</v>
      </c>
      <c r="K2765">
        <v>2</v>
      </c>
      <c r="L2765">
        <v>800</v>
      </c>
      <c r="M2765" t="s">
        <v>49</v>
      </c>
      <c r="N2765">
        <v>1.5</v>
      </c>
    </row>
    <row r="2766" hidden="1" spans="1:14">
      <c r="A2766">
        <v>4671</v>
      </c>
      <c r="C2766" t="s">
        <v>158</v>
      </c>
      <c r="E2766">
        <v>-100.733</v>
      </c>
      <c r="F2766">
        <v>28.6536</v>
      </c>
      <c r="G2766">
        <v>7484.27</v>
      </c>
      <c r="H2766" s="1">
        <v>43346</v>
      </c>
      <c r="I2766" s="1">
        <v>43350</v>
      </c>
      <c r="J2766" t="s">
        <v>56</v>
      </c>
      <c r="K2766">
        <v>0</v>
      </c>
      <c r="L2766">
        <v>20</v>
      </c>
      <c r="M2766" t="s">
        <v>52</v>
      </c>
      <c r="N2766">
        <v>1</v>
      </c>
    </row>
    <row r="2767" hidden="1" spans="1:14">
      <c r="A2767">
        <v>4695</v>
      </c>
      <c r="C2767" t="s">
        <v>158</v>
      </c>
      <c r="E2767">
        <v>-105.236</v>
      </c>
      <c r="F2767">
        <v>23.7218</v>
      </c>
      <c r="G2767">
        <v>284823.97</v>
      </c>
      <c r="H2767" s="1">
        <v>43396</v>
      </c>
      <c r="I2767" s="1">
        <v>43400</v>
      </c>
      <c r="J2767" t="s">
        <v>694</v>
      </c>
      <c r="K2767">
        <v>0</v>
      </c>
      <c r="L2767">
        <v>0</v>
      </c>
      <c r="M2767" t="s">
        <v>695</v>
      </c>
      <c r="N2767">
        <v>1.5</v>
      </c>
    </row>
    <row r="2768" hidden="1" spans="1:14">
      <c r="A2768">
        <v>4758</v>
      </c>
      <c r="C2768" t="s">
        <v>158</v>
      </c>
      <c r="E2768">
        <v>-103.182</v>
      </c>
      <c r="F2768">
        <v>20.1758</v>
      </c>
      <c r="G2768">
        <v>34619.97</v>
      </c>
      <c r="H2768" s="1">
        <v>43618</v>
      </c>
      <c r="I2768" s="1">
        <v>43622</v>
      </c>
      <c r="J2768" t="s">
        <v>58</v>
      </c>
      <c r="K2768">
        <v>5</v>
      </c>
      <c r="L2768">
        <v>2000</v>
      </c>
      <c r="M2768" t="s">
        <v>52</v>
      </c>
      <c r="N2768">
        <v>1.5</v>
      </c>
    </row>
    <row r="2769" hidden="1" spans="1:14">
      <c r="A2769">
        <v>4810</v>
      </c>
      <c r="C2769" t="s">
        <v>158</v>
      </c>
      <c r="E2769">
        <v>-96.5636</v>
      </c>
      <c r="F2769">
        <v>16.0814</v>
      </c>
      <c r="G2769">
        <v>9327.84</v>
      </c>
      <c r="H2769" s="1">
        <v>43735</v>
      </c>
      <c r="I2769" s="1">
        <v>43743</v>
      </c>
      <c r="J2769" t="s">
        <v>56</v>
      </c>
      <c r="K2769">
        <v>2</v>
      </c>
      <c r="L2769">
        <v>500</v>
      </c>
      <c r="M2769" t="s">
        <v>696</v>
      </c>
      <c r="N2769">
        <v>1.5</v>
      </c>
    </row>
    <row r="2770" hidden="1" spans="1:14">
      <c r="A2770">
        <v>4834</v>
      </c>
      <c r="C2770" t="s">
        <v>158</v>
      </c>
      <c r="D2770" t="s">
        <v>128</v>
      </c>
      <c r="E2770">
        <v>-107.661</v>
      </c>
      <c r="F2770">
        <v>28.4836</v>
      </c>
      <c r="G2770">
        <v>397450.44</v>
      </c>
      <c r="H2770" s="1">
        <v>43796</v>
      </c>
      <c r="I2770" s="1">
        <v>43803</v>
      </c>
      <c r="J2770" t="s">
        <v>56</v>
      </c>
      <c r="K2770">
        <v>3</v>
      </c>
      <c r="L2770">
        <v>500</v>
      </c>
      <c r="M2770" t="s">
        <v>49</v>
      </c>
      <c r="N2770">
        <v>1</v>
      </c>
    </row>
    <row r="2771" hidden="1" spans="1:14">
      <c r="A2771">
        <v>4951</v>
      </c>
      <c r="C2771" t="s">
        <v>158</v>
      </c>
      <c r="D2771" t="s">
        <v>128</v>
      </c>
      <c r="E2771">
        <v>-100.09</v>
      </c>
      <c r="F2771">
        <v>26.7687</v>
      </c>
      <c r="G2771">
        <v>199637.34</v>
      </c>
      <c r="H2771" s="1">
        <v>44037</v>
      </c>
      <c r="I2771" s="1">
        <v>44041</v>
      </c>
      <c r="J2771" t="s">
        <v>56</v>
      </c>
      <c r="K2771">
        <v>2</v>
      </c>
      <c r="L2771">
        <v>0</v>
      </c>
      <c r="M2771" t="s">
        <v>697</v>
      </c>
      <c r="N2771">
        <v>1.5</v>
      </c>
    </row>
    <row r="2772" hidden="1" spans="1:14">
      <c r="A2772">
        <v>5086</v>
      </c>
      <c r="C2772" t="s">
        <v>158</v>
      </c>
      <c r="E2772">
        <v>-96.8234</v>
      </c>
      <c r="F2772">
        <v>17.2343</v>
      </c>
      <c r="G2772">
        <v>35803.72</v>
      </c>
      <c r="H2772" s="1">
        <v>44362</v>
      </c>
      <c r="I2772" s="1">
        <v>44365</v>
      </c>
      <c r="J2772" t="s">
        <v>56</v>
      </c>
      <c r="K2772">
        <v>0</v>
      </c>
      <c r="L2772">
        <v>0</v>
      </c>
      <c r="M2772" t="s">
        <v>49</v>
      </c>
      <c r="N2772">
        <v>1.5</v>
      </c>
    </row>
    <row r="2773" hidden="1" spans="1:14">
      <c r="A2773">
        <v>5098</v>
      </c>
      <c r="C2773" t="s">
        <v>158</v>
      </c>
      <c r="E2773">
        <v>-111.014</v>
      </c>
      <c r="F2773">
        <v>31.2745</v>
      </c>
      <c r="G2773">
        <v>1261.95</v>
      </c>
      <c r="H2773" s="1">
        <v>44399</v>
      </c>
      <c r="I2773" s="1">
        <v>44405</v>
      </c>
      <c r="J2773" t="s">
        <v>56</v>
      </c>
      <c r="K2773">
        <v>1</v>
      </c>
      <c r="L2773">
        <v>0</v>
      </c>
      <c r="M2773" t="s">
        <v>52</v>
      </c>
      <c r="N2773">
        <v>1.5</v>
      </c>
    </row>
    <row r="2774" hidden="1" spans="1:14">
      <c r="A2774">
        <v>5129</v>
      </c>
      <c r="C2774" t="s">
        <v>158</v>
      </c>
      <c r="E2774">
        <v>-100.832</v>
      </c>
      <c r="F2774">
        <v>19.9508</v>
      </c>
      <c r="G2774">
        <v>69141.86</v>
      </c>
      <c r="H2774" s="1">
        <v>44470</v>
      </c>
      <c r="I2774" s="1">
        <v>44478</v>
      </c>
      <c r="J2774" t="s">
        <v>56</v>
      </c>
      <c r="K2774">
        <v>4</v>
      </c>
      <c r="L2774">
        <v>2440</v>
      </c>
      <c r="M2774" t="s">
        <v>49</v>
      </c>
      <c r="N2774">
        <v>1.5</v>
      </c>
    </row>
    <row r="2775" hidden="1" spans="1:14">
      <c r="A2775">
        <v>103</v>
      </c>
      <c r="B2775">
        <v>0</v>
      </c>
      <c r="C2775" t="s">
        <v>698</v>
      </c>
      <c r="D2775">
        <v>0</v>
      </c>
      <c r="E2775">
        <v>-99.8429</v>
      </c>
      <c r="F2775">
        <v>25.6963</v>
      </c>
      <c r="G2775">
        <v>14136.46</v>
      </c>
      <c r="H2775" s="1">
        <v>31659</v>
      </c>
      <c r="I2775" s="1">
        <v>31663</v>
      </c>
      <c r="J2775" t="s">
        <v>15</v>
      </c>
      <c r="K2775">
        <v>20</v>
      </c>
      <c r="L2775">
        <v>5000</v>
      </c>
      <c r="M2775" t="s">
        <v>16</v>
      </c>
      <c r="N2775">
        <v>1</v>
      </c>
    </row>
    <row r="2776" hidden="1" spans="1:14">
      <c r="A2776">
        <v>221</v>
      </c>
      <c r="B2776">
        <v>0</v>
      </c>
      <c r="C2776" t="s">
        <v>698</v>
      </c>
      <c r="D2776">
        <v>0</v>
      </c>
      <c r="E2776">
        <v>-96.0178</v>
      </c>
      <c r="F2776">
        <v>18.4042</v>
      </c>
      <c r="G2776">
        <v>10351.47</v>
      </c>
      <c r="H2776" s="1">
        <v>32368</v>
      </c>
      <c r="I2776" s="1">
        <v>32370</v>
      </c>
      <c r="J2776" t="s">
        <v>15</v>
      </c>
      <c r="K2776">
        <v>0</v>
      </c>
      <c r="L2776">
        <v>4000</v>
      </c>
      <c r="M2776" t="s">
        <v>64</v>
      </c>
      <c r="N2776">
        <v>1</v>
      </c>
    </row>
    <row r="2777" hidden="1" spans="1:14">
      <c r="A2777">
        <v>232</v>
      </c>
      <c r="B2777">
        <v>0</v>
      </c>
      <c r="C2777" t="s">
        <v>698</v>
      </c>
      <c r="D2777">
        <v>0</v>
      </c>
      <c r="E2777">
        <v>-104.497</v>
      </c>
      <c r="F2777">
        <v>21.5773</v>
      </c>
      <c r="G2777">
        <v>2219.14</v>
      </c>
      <c r="H2777" s="1">
        <v>32377</v>
      </c>
      <c r="I2777" s="1">
        <v>32378</v>
      </c>
      <c r="J2777" t="s">
        <v>15</v>
      </c>
      <c r="K2777">
        <v>18</v>
      </c>
      <c r="L2777">
        <v>130000</v>
      </c>
      <c r="M2777" t="s">
        <v>64</v>
      </c>
      <c r="N2777">
        <v>1</v>
      </c>
    </row>
    <row r="2778" hidden="1" spans="1:14">
      <c r="A2778">
        <v>796</v>
      </c>
      <c r="B2778">
        <v>0</v>
      </c>
      <c r="C2778" t="s">
        <v>698</v>
      </c>
      <c r="D2778">
        <v>0</v>
      </c>
      <c r="E2778">
        <v>-109.813</v>
      </c>
      <c r="F2778">
        <v>23.0797</v>
      </c>
      <c r="G2778">
        <v>1666.75</v>
      </c>
      <c r="H2778" s="1">
        <v>34277</v>
      </c>
      <c r="I2778" s="1">
        <v>34279</v>
      </c>
      <c r="J2778" t="s">
        <v>15</v>
      </c>
      <c r="K2778">
        <v>0</v>
      </c>
      <c r="L2778">
        <v>10000</v>
      </c>
      <c r="M2778" t="s">
        <v>16</v>
      </c>
      <c r="N2778">
        <v>1</v>
      </c>
    </row>
    <row r="2779" hidden="1" spans="1:14">
      <c r="A2779">
        <v>1647</v>
      </c>
      <c r="B2779">
        <v>0</v>
      </c>
      <c r="C2779" t="s">
        <v>698</v>
      </c>
      <c r="D2779">
        <v>0</v>
      </c>
      <c r="E2779">
        <v>-93.006</v>
      </c>
      <c r="F2779">
        <v>18.0568</v>
      </c>
      <c r="G2779">
        <v>3036.54</v>
      </c>
      <c r="H2779" s="1">
        <v>36809</v>
      </c>
      <c r="I2779" s="1">
        <v>36816</v>
      </c>
      <c r="J2779" t="s">
        <v>15</v>
      </c>
      <c r="K2779">
        <v>0</v>
      </c>
      <c r="L2779">
        <v>1500</v>
      </c>
      <c r="M2779">
        <v>0</v>
      </c>
      <c r="N2779">
        <v>1</v>
      </c>
    </row>
    <row r="2780" hidden="1" spans="1:14">
      <c r="A2780">
        <v>1250</v>
      </c>
      <c r="B2780">
        <v>0</v>
      </c>
      <c r="C2780" t="s">
        <v>699</v>
      </c>
      <c r="D2780">
        <v>0</v>
      </c>
      <c r="E2780">
        <v>28.3179</v>
      </c>
      <c r="F2780">
        <v>47.2508</v>
      </c>
      <c r="G2780">
        <v>28960.87</v>
      </c>
      <c r="H2780" s="1">
        <v>35617</v>
      </c>
      <c r="I2780" s="1">
        <v>35640</v>
      </c>
      <c r="J2780" t="s">
        <v>15</v>
      </c>
      <c r="K2780">
        <v>9</v>
      </c>
      <c r="L2780">
        <v>20000</v>
      </c>
      <c r="M2780" t="s">
        <v>16</v>
      </c>
      <c r="N2780">
        <v>1</v>
      </c>
    </row>
    <row r="2781" hidden="1" spans="1:14">
      <c r="A2781">
        <v>3946</v>
      </c>
      <c r="C2781" t="s">
        <v>699</v>
      </c>
      <c r="E2781">
        <v>28.8071</v>
      </c>
      <c r="F2781">
        <v>46.8848</v>
      </c>
      <c r="G2781">
        <v>9902.76</v>
      </c>
      <c r="H2781" s="1">
        <v>41098</v>
      </c>
      <c r="I2781" s="1">
        <v>41099</v>
      </c>
      <c r="J2781" t="s">
        <v>15</v>
      </c>
      <c r="K2781">
        <v>0</v>
      </c>
      <c r="L2781">
        <v>400</v>
      </c>
      <c r="M2781" t="s">
        <v>49</v>
      </c>
      <c r="N2781">
        <v>1.5</v>
      </c>
    </row>
    <row r="2782" hidden="1" spans="1:14">
      <c r="A2782">
        <v>889</v>
      </c>
      <c r="B2782">
        <v>0</v>
      </c>
      <c r="C2782" t="s">
        <v>700</v>
      </c>
      <c r="D2782">
        <v>0</v>
      </c>
      <c r="E2782">
        <v>28.4296</v>
      </c>
      <c r="F2782">
        <v>46.9737</v>
      </c>
      <c r="G2782">
        <v>33681.92</v>
      </c>
      <c r="H2782" s="1">
        <v>34570</v>
      </c>
      <c r="I2782" s="1">
        <v>34575</v>
      </c>
      <c r="J2782" t="s">
        <v>15</v>
      </c>
      <c r="K2782">
        <v>47</v>
      </c>
      <c r="L2782">
        <v>1300</v>
      </c>
      <c r="M2782" t="s">
        <v>16</v>
      </c>
      <c r="N2782">
        <v>1</v>
      </c>
    </row>
    <row r="2783" hidden="1" spans="1:14">
      <c r="A2783">
        <v>2239</v>
      </c>
      <c r="B2783">
        <v>0</v>
      </c>
      <c r="C2783" t="s">
        <v>700</v>
      </c>
      <c r="D2783">
        <v>0</v>
      </c>
      <c r="E2783">
        <v>28.6068</v>
      </c>
      <c r="F2783">
        <v>47.3811</v>
      </c>
      <c r="G2783">
        <v>3901.12</v>
      </c>
      <c r="H2783" s="1">
        <v>37770</v>
      </c>
      <c r="I2783" s="1">
        <v>37772</v>
      </c>
      <c r="J2783" t="s">
        <v>15</v>
      </c>
      <c r="K2783">
        <v>3</v>
      </c>
      <c r="L2783">
        <v>0</v>
      </c>
      <c r="M2783" t="s">
        <v>16</v>
      </c>
      <c r="N2783">
        <v>1</v>
      </c>
    </row>
    <row r="2784" hidden="1" spans="1:14">
      <c r="A2784">
        <v>3675</v>
      </c>
      <c r="B2784" t="s">
        <v>701</v>
      </c>
      <c r="C2784" t="s">
        <v>700</v>
      </c>
      <c r="E2784">
        <v>27.9665</v>
      </c>
      <c r="F2784">
        <v>46.8243</v>
      </c>
      <c r="G2784">
        <v>12206.49</v>
      </c>
      <c r="H2784" s="1">
        <v>40364</v>
      </c>
      <c r="I2784" s="1">
        <v>40366</v>
      </c>
      <c r="J2784">
        <v>0</v>
      </c>
      <c r="K2784">
        <v>0</v>
      </c>
      <c r="L2784">
        <v>2000</v>
      </c>
      <c r="M2784" t="s">
        <v>49</v>
      </c>
      <c r="N2784">
        <v>1</v>
      </c>
    </row>
    <row r="2785" hidden="1" spans="1:14">
      <c r="A2785">
        <v>1102</v>
      </c>
      <c r="B2785">
        <v>0</v>
      </c>
      <c r="C2785" t="s">
        <v>702</v>
      </c>
      <c r="D2785">
        <v>0</v>
      </c>
      <c r="E2785">
        <v>106.98</v>
      </c>
      <c r="F2785">
        <v>47.942</v>
      </c>
      <c r="G2785">
        <v>4369.66</v>
      </c>
      <c r="H2785" s="1">
        <v>35286</v>
      </c>
      <c r="I2785" s="1">
        <v>35288</v>
      </c>
      <c r="J2785" t="s">
        <v>15</v>
      </c>
      <c r="K2785">
        <v>6</v>
      </c>
      <c r="L2785">
        <v>0</v>
      </c>
      <c r="M2785" t="s">
        <v>49</v>
      </c>
      <c r="N2785">
        <v>1</v>
      </c>
    </row>
    <row r="2786" hidden="1" spans="1:14">
      <c r="A2786">
        <v>1989</v>
      </c>
      <c r="B2786">
        <v>0</v>
      </c>
      <c r="C2786" t="s">
        <v>702</v>
      </c>
      <c r="D2786">
        <v>0</v>
      </c>
      <c r="E2786">
        <v>101.339</v>
      </c>
      <c r="F2786">
        <v>48.2057</v>
      </c>
      <c r="G2786">
        <v>32885.05</v>
      </c>
      <c r="H2786" s="1">
        <v>37451</v>
      </c>
      <c r="I2786" s="1">
        <v>37453</v>
      </c>
      <c r="J2786" t="s">
        <v>15</v>
      </c>
      <c r="K2786">
        <v>7</v>
      </c>
      <c r="L2786">
        <v>0</v>
      </c>
      <c r="M2786" t="s">
        <v>16</v>
      </c>
      <c r="N2786">
        <v>1</v>
      </c>
    </row>
    <row r="2787" hidden="1" spans="1:14">
      <c r="A2787">
        <v>2287</v>
      </c>
      <c r="B2787">
        <v>0</v>
      </c>
      <c r="C2787" t="s">
        <v>702</v>
      </c>
      <c r="D2787">
        <v>0</v>
      </c>
      <c r="E2787">
        <v>103.35</v>
      </c>
      <c r="F2787">
        <v>49.3241</v>
      </c>
      <c r="G2787">
        <v>281931.48</v>
      </c>
      <c r="H2787" s="1">
        <v>37823</v>
      </c>
      <c r="I2787" s="1">
        <v>37843</v>
      </c>
      <c r="J2787" t="s">
        <v>15</v>
      </c>
      <c r="K2787">
        <v>20</v>
      </c>
      <c r="L2787">
        <v>400</v>
      </c>
      <c r="M2787" t="s">
        <v>16</v>
      </c>
      <c r="N2787">
        <v>1</v>
      </c>
    </row>
    <row r="2788" hidden="1" spans="1:14">
      <c r="A2788">
        <v>3511</v>
      </c>
      <c r="B2788" t="s">
        <v>703</v>
      </c>
      <c r="C2788" t="s">
        <v>702</v>
      </c>
      <c r="D2788">
        <v>0</v>
      </c>
      <c r="E2788">
        <v>101.935</v>
      </c>
      <c r="F2788">
        <v>47.8205</v>
      </c>
      <c r="G2788">
        <v>138925.64</v>
      </c>
      <c r="H2788" s="1">
        <v>40010</v>
      </c>
      <c r="I2788" s="1">
        <v>40013</v>
      </c>
      <c r="J2788" t="s">
        <v>15</v>
      </c>
      <c r="K2788">
        <v>26</v>
      </c>
      <c r="L2788">
        <v>300</v>
      </c>
      <c r="M2788" t="s">
        <v>52</v>
      </c>
      <c r="N2788">
        <v>2</v>
      </c>
    </row>
    <row r="2789" hidden="1" spans="1:14">
      <c r="A2789">
        <v>4654</v>
      </c>
      <c r="C2789" t="s">
        <v>702</v>
      </c>
      <c r="E2789">
        <v>91.4251</v>
      </c>
      <c r="F2789">
        <v>47.6723</v>
      </c>
      <c r="G2789">
        <v>188249.04</v>
      </c>
      <c r="H2789" s="1">
        <v>43292</v>
      </c>
      <c r="I2789" s="1">
        <v>43300</v>
      </c>
      <c r="J2789" t="s">
        <v>56</v>
      </c>
      <c r="K2789">
        <v>0</v>
      </c>
      <c r="L2789">
        <v>30</v>
      </c>
      <c r="M2789" t="s">
        <v>49</v>
      </c>
      <c r="N2789">
        <v>1</v>
      </c>
    </row>
    <row r="2790" hidden="1" spans="1:14">
      <c r="A2790">
        <v>4766</v>
      </c>
      <c r="C2790" t="s">
        <v>702</v>
      </c>
      <c r="E2790">
        <v>111.071</v>
      </c>
      <c r="F2790">
        <v>47.2037</v>
      </c>
      <c r="G2790">
        <v>85984.41</v>
      </c>
      <c r="H2790" s="1">
        <v>43631</v>
      </c>
      <c r="I2790" s="1">
        <v>43635</v>
      </c>
      <c r="J2790" t="s">
        <v>56</v>
      </c>
      <c r="K2790">
        <v>0</v>
      </c>
      <c r="L2790">
        <v>0</v>
      </c>
      <c r="M2790" t="s">
        <v>49</v>
      </c>
      <c r="N2790">
        <v>1</v>
      </c>
    </row>
    <row r="2791" hidden="1" spans="1:14">
      <c r="A2791">
        <v>4934</v>
      </c>
      <c r="C2791" t="s">
        <v>702</v>
      </c>
      <c r="E2791">
        <v>106.222</v>
      </c>
      <c r="F2791">
        <v>46.3877</v>
      </c>
      <c r="G2791">
        <v>423250.41</v>
      </c>
      <c r="H2791" s="1">
        <v>44003</v>
      </c>
      <c r="I2791" s="1">
        <v>44007</v>
      </c>
      <c r="J2791" t="s">
        <v>56</v>
      </c>
      <c r="K2791">
        <v>2</v>
      </c>
      <c r="L2791">
        <v>300</v>
      </c>
      <c r="M2791" t="s">
        <v>49</v>
      </c>
      <c r="N2791">
        <v>1.5</v>
      </c>
    </row>
    <row r="2792" hidden="1" spans="1:14">
      <c r="A2792">
        <v>706</v>
      </c>
      <c r="B2792">
        <v>0</v>
      </c>
      <c r="C2792" t="s">
        <v>65</v>
      </c>
      <c r="D2792">
        <v>0</v>
      </c>
      <c r="E2792">
        <v>19.3521</v>
      </c>
      <c r="F2792">
        <v>42.701</v>
      </c>
      <c r="G2792">
        <v>14385.39</v>
      </c>
      <c r="H2792" s="1">
        <v>33883</v>
      </c>
      <c r="I2792" s="1">
        <v>33895</v>
      </c>
      <c r="J2792" t="s">
        <v>15</v>
      </c>
      <c r="K2792">
        <v>6</v>
      </c>
      <c r="L2792">
        <v>6140</v>
      </c>
      <c r="M2792" t="s">
        <v>16</v>
      </c>
      <c r="N2792">
        <v>1</v>
      </c>
    </row>
    <row r="2793" hidden="1" spans="1:14">
      <c r="A2793">
        <v>712</v>
      </c>
      <c r="B2793">
        <v>0</v>
      </c>
      <c r="C2793" t="s">
        <v>65</v>
      </c>
      <c r="D2793">
        <v>0</v>
      </c>
      <c r="E2793">
        <v>19.6623</v>
      </c>
      <c r="F2793">
        <v>42.9307</v>
      </c>
      <c r="G2793">
        <v>1276.97</v>
      </c>
      <c r="H2793" s="1">
        <v>33918</v>
      </c>
      <c r="I2793" s="1">
        <v>33923</v>
      </c>
      <c r="J2793" t="s">
        <v>15</v>
      </c>
      <c r="K2793">
        <v>0</v>
      </c>
      <c r="L2793">
        <v>0</v>
      </c>
      <c r="M2793" t="s">
        <v>16</v>
      </c>
      <c r="N2793">
        <v>1</v>
      </c>
    </row>
    <row r="2794" hidden="1" spans="1:14">
      <c r="A2794">
        <v>983</v>
      </c>
      <c r="B2794">
        <v>0</v>
      </c>
      <c r="C2794" t="s">
        <v>69</v>
      </c>
      <c r="D2794">
        <v>0</v>
      </c>
      <c r="E2794">
        <v>-7.83179</v>
      </c>
      <c r="F2794">
        <v>30.2769</v>
      </c>
      <c r="G2794">
        <v>132475.8</v>
      </c>
      <c r="H2794" s="1">
        <v>34928</v>
      </c>
      <c r="I2794" s="1">
        <v>34929</v>
      </c>
      <c r="J2794" t="s">
        <v>15</v>
      </c>
      <c r="K2794">
        <v>166</v>
      </c>
      <c r="L2794">
        <v>210</v>
      </c>
      <c r="M2794" t="s">
        <v>16</v>
      </c>
      <c r="N2794">
        <v>2</v>
      </c>
    </row>
    <row r="2795" hidden="1" spans="1:14">
      <c r="A2795">
        <v>991</v>
      </c>
      <c r="B2795">
        <v>0</v>
      </c>
      <c r="C2795" t="s">
        <v>69</v>
      </c>
      <c r="D2795">
        <v>0</v>
      </c>
      <c r="E2795">
        <v>-4.60431</v>
      </c>
      <c r="F2795">
        <v>34.3542</v>
      </c>
      <c r="G2795">
        <v>99919.02</v>
      </c>
      <c r="H2795" s="1">
        <v>34945</v>
      </c>
      <c r="I2795" s="1">
        <v>34948</v>
      </c>
      <c r="J2795" t="s">
        <v>15</v>
      </c>
      <c r="K2795">
        <v>43</v>
      </c>
      <c r="L2795">
        <v>228</v>
      </c>
      <c r="M2795" t="s">
        <v>16</v>
      </c>
      <c r="N2795">
        <v>1</v>
      </c>
    </row>
    <row r="2796" hidden="1" spans="1:14">
      <c r="A2796">
        <v>1049</v>
      </c>
      <c r="B2796">
        <v>0</v>
      </c>
      <c r="C2796" t="s">
        <v>69</v>
      </c>
      <c r="D2796">
        <v>0</v>
      </c>
      <c r="E2796">
        <v>-6.02507</v>
      </c>
      <c r="F2796">
        <v>32.8745</v>
      </c>
      <c r="G2796">
        <v>280206.59</v>
      </c>
      <c r="H2796" s="1">
        <v>35085</v>
      </c>
      <c r="I2796" s="1">
        <v>35096</v>
      </c>
      <c r="J2796" t="s">
        <v>15</v>
      </c>
      <c r="K2796">
        <v>23</v>
      </c>
      <c r="L2796">
        <v>2400</v>
      </c>
      <c r="M2796" t="s">
        <v>16</v>
      </c>
      <c r="N2796">
        <v>1</v>
      </c>
    </row>
    <row r="2797" hidden="1" spans="1:14">
      <c r="A2797">
        <v>1179</v>
      </c>
      <c r="B2797">
        <v>0</v>
      </c>
      <c r="C2797" t="s">
        <v>69</v>
      </c>
      <c r="D2797">
        <v>0</v>
      </c>
      <c r="E2797">
        <v>-8.05774</v>
      </c>
      <c r="F2797">
        <v>32.0529</v>
      </c>
      <c r="G2797">
        <v>65146.89</v>
      </c>
      <c r="H2797" s="1">
        <v>35666</v>
      </c>
      <c r="I2797" s="1">
        <v>35668</v>
      </c>
      <c r="J2797" t="s">
        <v>15</v>
      </c>
      <c r="K2797">
        <v>15</v>
      </c>
      <c r="L2797">
        <v>0</v>
      </c>
      <c r="M2797" t="s">
        <v>16</v>
      </c>
      <c r="N2797">
        <v>1</v>
      </c>
    </row>
    <row r="2798" hidden="1" spans="1:14">
      <c r="A2798">
        <v>1187</v>
      </c>
      <c r="B2798">
        <v>0</v>
      </c>
      <c r="C2798" t="s">
        <v>69</v>
      </c>
      <c r="D2798">
        <v>0</v>
      </c>
      <c r="E2798">
        <v>-6.53758</v>
      </c>
      <c r="F2798">
        <v>32.1426</v>
      </c>
      <c r="G2798">
        <v>83476.48</v>
      </c>
      <c r="H2798" s="1">
        <v>35701</v>
      </c>
      <c r="I2798" s="1">
        <v>35702</v>
      </c>
      <c r="J2798" t="s">
        <v>15</v>
      </c>
      <c r="K2798">
        <v>60</v>
      </c>
      <c r="L2798">
        <v>0</v>
      </c>
      <c r="M2798" t="s">
        <v>18</v>
      </c>
      <c r="N2798">
        <v>1</v>
      </c>
    </row>
    <row r="2799" hidden="1" spans="1:14">
      <c r="A2799">
        <v>1208</v>
      </c>
      <c r="B2799">
        <v>0</v>
      </c>
      <c r="C2799" t="s">
        <v>69</v>
      </c>
      <c r="D2799">
        <v>0</v>
      </c>
      <c r="E2799">
        <v>-5.92373</v>
      </c>
      <c r="F2799">
        <v>33.0225</v>
      </c>
      <c r="G2799">
        <v>9158.63</v>
      </c>
      <c r="H2799" s="1">
        <v>35435</v>
      </c>
      <c r="I2799" s="1">
        <v>35437</v>
      </c>
      <c r="J2799" t="s">
        <v>15</v>
      </c>
      <c r="K2799">
        <v>23</v>
      </c>
      <c r="L2799">
        <v>0</v>
      </c>
      <c r="M2799" t="s">
        <v>16</v>
      </c>
      <c r="N2799">
        <v>1</v>
      </c>
    </row>
    <row r="2800" hidden="1" spans="1:14">
      <c r="A2800">
        <v>1845</v>
      </c>
      <c r="B2800">
        <v>0</v>
      </c>
      <c r="C2800" t="s">
        <v>69</v>
      </c>
      <c r="D2800">
        <v>0</v>
      </c>
      <c r="E2800">
        <v>-7.25938</v>
      </c>
      <c r="F2800">
        <v>32.9774</v>
      </c>
      <c r="G2800">
        <v>6405.84</v>
      </c>
      <c r="H2800" s="1">
        <v>37248</v>
      </c>
      <c r="I2800" s="1">
        <v>37251</v>
      </c>
      <c r="J2800" t="s">
        <v>15</v>
      </c>
      <c r="K2800">
        <v>15</v>
      </c>
      <c r="L2800">
        <v>300</v>
      </c>
      <c r="M2800" t="s">
        <v>16</v>
      </c>
      <c r="N2800">
        <v>1</v>
      </c>
    </row>
    <row r="2801" hidden="1" spans="1:14">
      <c r="A2801">
        <v>2097</v>
      </c>
      <c r="B2801">
        <v>0</v>
      </c>
      <c r="C2801" t="s">
        <v>69</v>
      </c>
      <c r="D2801">
        <v>0</v>
      </c>
      <c r="E2801">
        <v>-7.0988</v>
      </c>
      <c r="F2801">
        <v>33.1091</v>
      </c>
      <c r="G2801">
        <v>40845.92</v>
      </c>
      <c r="H2801" s="1">
        <v>37584</v>
      </c>
      <c r="I2801" s="1">
        <v>37589</v>
      </c>
      <c r="J2801" t="s">
        <v>15</v>
      </c>
      <c r="K2801">
        <v>63</v>
      </c>
      <c r="L2801">
        <v>0</v>
      </c>
      <c r="M2801" t="s">
        <v>16</v>
      </c>
      <c r="N2801">
        <v>2</v>
      </c>
    </row>
    <row r="2802" hidden="1" spans="1:14">
      <c r="A2802">
        <v>2387</v>
      </c>
      <c r="B2802">
        <v>0</v>
      </c>
      <c r="C2802" t="s">
        <v>69</v>
      </c>
      <c r="D2802">
        <v>0</v>
      </c>
      <c r="E2802">
        <v>-2.91726</v>
      </c>
      <c r="F2802">
        <v>34.9615</v>
      </c>
      <c r="G2802">
        <v>21201.19</v>
      </c>
      <c r="H2802" s="1">
        <v>37942</v>
      </c>
      <c r="I2802" s="1">
        <v>37946</v>
      </c>
      <c r="J2802" t="s">
        <v>15</v>
      </c>
      <c r="K2802">
        <v>13</v>
      </c>
      <c r="L2802">
        <v>0</v>
      </c>
      <c r="M2802" t="s">
        <v>18</v>
      </c>
      <c r="N2802">
        <v>1</v>
      </c>
    </row>
    <row r="2803" hidden="1" spans="1:14">
      <c r="A2803">
        <v>2872</v>
      </c>
      <c r="B2803">
        <v>0</v>
      </c>
      <c r="C2803" t="s">
        <v>69</v>
      </c>
      <c r="D2803">
        <v>0</v>
      </c>
      <c r="E2803">
        <v>-4.04668</v>
      </c>
      <c r="F2803">
        <v>32.1463</v>
      </c>
      <c r="G2803">
        <v>33213.17</v>
      </c>
      <c r="H2803" s="1">
        <v>38863</v>
      </c>
      <c r="I2803" s="1">
        <v>38865</v>
      </c>
      <c r="J2803" t="s">
        <v>15</v>
      </c>
      <c r="K2803">
        <v>6</v>
      </c>
      <c r="L2803">
        <v>1100</v>
      </c>
      <c r="M2803" t="s">
        <v>16</v>
      </c>
      <c r="N2803">
        <v>2</v>
      </c>
    </row>
    <row r="2804" hidden="1" spans="1:14">
      <c r="A2804">
        <v>3060</v>
      </c>
      <c r="B2804" t="s">
        <v>71</v>
      </c>
      <c r="C2804" t="s">
        <v>69</v>
      </c>
      <c r="D2804">
        <v>0</v>
      </c>
      <c r="E2804">
        <v>-2.92711</v>
      </c>
      <c r="F2804">
        <v>34.7979</v>
      </c>
      <c r="G2804">
        <v>9451.39</v>
      </c>
      <c r="H2804" s="1">
        <v>39193</v>
      </c>
      <c r="I2804" s="1">
        <v>39194</v>
      </c>
      <c r="J2804" t="s">
        <v>15</v>
      </c>
      <c r="K2804">
        <v>4</v>
      </c>
      <c r="L2804">
        <v>0</v>
      </c>
      <c r="M2804" t="s">
        <v>16</v>
      </c>
      <c r="N2804">
        <v>1</v>
      </c>
    </row>
    <row r="2805" hidden="1" spans="1:14">
      <c r="A2805">
        <v>3279</v>
      </c>
      <c r="B2805">
        <v>0</v>
      </c>
      <c r="C2805" t="s">
        <v>69</v>
      </c>
      <c r="D2805">
        <v>0</v>
      </c>
      <c r="E2805">
        <v>-7.11362</v>
      </c>
      <c r="F2805">
        <v>32.111</v>
      </c>
      <c r="G2805">
        <v>23601.1</v>
      </c>
      <c r="H2805" s="1">
        <v>39504</v>
      </c>
      <c r="I2805" s="1">
        <v>39506</v>
      </c>
      <c r="J2805" t="s">
        <v>15</v>
      </c>
      <c r="K2805">
        <v>4</v>
      </c>
      <c r="L2805">
        <v>0</v>
      </c>
      <c r="M2805" t="s">
        <v>16</v>
      </c>
      <c r="N2805">
        <v>1</v>
      </c>
    </row>
    <row r="2806" hidden="1" spans="1:14">
      <c r="A2806">
        <v>3399</v>
      </c>
      <c r="B2806">
        <v>0</v>
      </c>
      <c r="C2806" t="s">
        <v>69</v>
      </c>
      <c r="D2806">
        <v>0</v>
      </c>
      <c r="E2806">
        <v>-4.77346</v>
      </c>
      <c r="F2806">
        <v>33.7318</v>
      </c>
      <c r="G2806">
        <v>146720.71</v>
      </c>
      <c r="H2806" s="1">
        <v>39744</v>
      </c>
      <c r="I2806" s="1">
        <v>39755</v>
      </c>
      <c r="J2806" t="s">
        <v>15</v>
      </c>
      <c r="K2806">
        <v>28</v>
      </c>
      <c r="L2806">
        <v>1200</v>
      </c>
      <c r="M2806" t="s">
        <v>52</v>
      </c>
      <c r="N2806">
        <v>2</v>
      </c>
    </row>
    <row r="2807" hidden="1" spans="1:14">
      <c r="A2807">
        <v>3445</v>
      </c>
      <c r="B2807" t="s">
        <v>704</v>
      </c>
      <c r="C2807" t="s">
        <v>69</v>
      </c>
      <c r="D2807">
        <v>0</v>
      </c>
      <c r="E2807">
        <v>-6.1614</v>
      </c>
      <c r="F2807">
        <v>32.6552</v>
      </c>
      <c r="G2807">
        <v>188226.85</v>
      </c>
      <c r="H2807" s="1">
        <v>39851</v>
      </c>
      <c r="I2807" s="1">
        <v>39853</v>
      </c>
      <c r="J2807" t="s">
        <v>15</v>
      </c>
      <c r="K2807">
        <v>5</v>
      </c>
      <c r="L2807">
        <v>0</v>
      </c>
      <c r="M2807" t="s">
        <v>49</v>
      </c>
      <c r="N2807">
        <v>2</v>
      </c>
    </row>
    <row r="2808" hidden="1" spans="1:14">
      <c r="A2808">
        <v>3585</v>
      </c>
      <c r="B2808">
        <v>0</v>
      </c>
      <c r="C2808" t="s">
        <v>69</v>
      </c>
      <c r="D2808">
        <v>0</v>
      </c>
      <c r="E2808">
        <v>-6.77769</v>
      </c>
      <c r="F2808">
        <v>31.8122</v>
      </c>
      <c r="G2808">
        <v>157481.42</v>
      </c>
      <c r="H2808" s="1">
        <v>40172</v>
      </c>
      <c r="I2808" s="1">
        <v>40173</v>
      </c>
      <c r="J2808">
        <v>0</v>
      </c>
      <c r="K2808">
        <v>5</v>
      </c>
      <c r="L2808">
        <v>25</v>
      </c>
      <c r="M2808" t="s">
        <v>52</v>
      </c>
      <c r="N2808">
        <v>1</v>
      </c>
    </row>
    <row r="2809" hidden="1" spans="1:14">
      <c r="A2809">
        <v>3753</v>
      </c>
      <c r="B2809">
        <v>0</v>
      </c>
      <c r="C2809" t="s">
        <v>69</v>
      </c>
      <c r="D2809">
        <v>0</v>
      </c>
      <c r="E2809">
        <v>-7.83745</v>
      </c>
      <c r="F2809">
        <v>32.5114</v>
      </c>
      <c r="G2809">
        <v>70791.19</v>
      </c>
      <c r="H2809" s="1">
        <v>40511</v>
      </c>
      <c r="I2809" s="1">
        <v>40512</v>
      </c>
      <c r="J2809" t="s">
        <v>15</v>
      </c>
      <c r="K2809">
        <v>30</v>
      </c>
      <c r="L2809">
        <v>0</v>
      </c>
      <c r="M2809" t="s">
        <v>52</v>
      </c>
      <c r="N2809">
        <v>2</v>
      </c>
    </row>
    <row r="2810" hidden="1" spans="1:14">
      <c r="A2810">
        <v>4207</v>
      </c>
      <c r="B2810" t="s">
        <v>705</v>
      </c>
      <c r="C2810" t="s">
        <v>69</v>
      </c>
      <c r="E2810">
        <v>-5.61886</v>
      </c>
      <c r="F2810">
        <v>31.5566</v>
      </c>
      <c r="G2810">
        <v>273693.63</v>
      </c>
      <c r="H2810" s="1">
        <v>41967</v>
      </c>
      <c r="I2810" s="1">
        <v>41978</v>
      </c>
      <c r="J2810" t="s">
        <v>15</v>
      </c>
      <c r="K2810">
        <v>40</v>
      </c>
      <c r="L2810">
        <v>0</v>
      </c>
      <c r="M2810" t="s">
        <v>49</v>
      </c>
      <c r="N2810">
        <v>2</v>
      </c>
    </row>
    <row r="2811" hidden="1" spans="1:14">
      <c r="A2811">
        <v>4788</v>
      </c>
      <c r="C2811" t="s">
        <v>69</v>
      </c>
      <c r="E2811">
        <v>-9.33038</v>
      </c>
      <c r="F2811">
        <v>28.6327</v>
      </c>
      <c r="G2811">
        <v>57765.53</v>
      </c>
      <c r="H2811" s="1">
        <v>43697</v>
      </c>
      <c r="I2811" s="1">
        <v>43705</v>
      </c>
      <c r="J2811" t="s">
        <v>56</v>
      </c>
      <c r="K2811">
        <v>7</v>
      </c>
      <c r="L2811">
        <v>0</v>
      </c>
      <c r="M2811" t="s">
        <v>52</v>
      </c>
      <c r="N2811">
        <v>1</v>
      </c>
    </row>
    <row r="2812" hidden="1" spans="1:14">
      <c r="A2812">
        <v>5040</v>
      </c>
      <c r="C2812" t="s">
        <v>69</v>
      </c>
      <c r="E2812">
        <v>-4.74047</v>
      </c>
      <c r="F2812">
        <v>34.8596</v>
      </c>
      <c r="G2812">
        <v>10825.94</v>
      </c>
      <c r="H2812" s="1">
        <v>44256</v>
      </c>
      <c r="I2812" s="1">
        <v>44278</v>
      </c>
      <c r="J2812" t="s">
        <v>56</v>
      </c>
      <c r="K2812">
        <v>0</v>
      </c>
      <c r="L2812">
        <v>0</v>
      </c>
      <c r="M2812" t="s">
        <v>52</v>
      </c>
      <c r="N2812">
        <v>1.5</v>
      </c>
    </row>
    <row r="2813" hidden="1" spans="1:14">
      <c r="A2813">
        <v>5</v>
      </c>
      <c r="B2813">
        <v>0</v>
      </c>
      <c r="C2813" t="s">
        <v>631</v>
      </c>
      <c r="D2813">
        <v>0</v>
      </c>
      <c r="E2813">
        <v>32.3491</v>
      </c>
      <c r="F2813">
        <v>-25.8693</v>
      </c>
      <c r="G2813">
        <v>20082.21</v>
      </c>
      <c r="H2813" s="1">
        <v>31087</v>
      </c>
      <c r="I2813" s="1">
        <v>31089</v>
      </c>
      <c r="J2813" t="s">
        <v>15</v>
      </c>
      <c r="K2813">
        <v>19</v>
      </c>
      <c r="L2813">
        <v>0</v>
      </c>
      <c r="M2813" t="s">
        <v>16</v>
      </c>
      <c r="N2813">
        <v>2</v>
      </c>
    </row>
    <row r="2814" hidden="1" spans="1:14">
      <c r="A2814">
        <v>655</v>
      </c>
      <c r="B2814">
        <v>0</v>
      </c>
      <c r="C2814" t="s">
        <v>631</v>
      </c>
      <c r="D2814">
        <v>0</v>
      </c>
      <c r="E2814">
        <v>33.1118</v>
      </c>
      <c r="F2814">
        <v>-24.1219</v>
      </c>
      <c r="G2814">
        <v>38009.41</v>
      </c>
      <c r="H2814" s="1">
        <v>33770</v>
      </c>
      <c r="I2814" s="1">
        <v>33770</v>
      </c>
      <c r="J2814" t="s">
        <v>15</v>
      </c>
      <c r="K2814">
        <v>53</v>
      </c>
      <c r="L2814">
        <v>0</v>
      </c>
      <c r="M2814" t="s">
        <v>16</v>
      </c>
      <c r="N2814">
        <v>1</v>
      </c>
    </row>
    <row r="2815" hidden="1" spans="1:14">
      <c r="A2815">
        <v>1044</v>
      </c>
      <c r="B2815">
        <v>0</v>
      </c>
      <c r="C2815" t="s">
        <v>631</v>
      </c>
      <c r="D2815">
        <v>0</v>
      </c>
      <c r="E2815">
        <v>32.4472</v>
      </c>
      <c r="F2815">
        <v>-26.0746</v>
      </c>
      <c r="G2815">
        <v>9872.23</v>
      </c>
      <c r="H2815" s="1">
        <v>35076</v>
      </c>
      <c r="I2815" s="1">
        <v>35079</v>
      </c>
      <c r="J2815" t="s">
        <v>15</v>
      </c>
      <c r="K2815">
        <v>0</v>
      </c>
      <c r="L2815">
        <v>5000</v>
      </c>
      <c r="M2815" t="s">
        <v>16</v>
      </c>
      <c r="N2815">
        <v>1</v>
      </c>
    </row>
    <row r="2816" hidden="1" spans="1:14">
      <c r="A2816">
        <v>1052</v>
      </c>
      <c r="B2816">
        <v>0</v>
      </c>
      <c r="C2816" t="s">
        <v>631</v>
      </c>
      <c r="D2816">
        <v>0</v>
      </c>
      <c r="E2816">
        <v>33.3707</v>
      </c>
      <c r="F2816">
        <v>-24.9044</v>
      </c>
      <c r="G2816">
        <v>12621.22</v>
      </c>
      <c r="H2816" s="1">
        <v>35091</v>
      </c>
      <c r="I2816" s="1">
        <v>35093</v>
      </c>
      <c r="J2816" t="s">
        <v>15</v>
      </c>
      <c r="K2816">
        <v>0</v>
      </c>
      <c r="L2816">
        <v>0</v>
      </c>
      <c r="M2816" t="s">
        <v>16</v>
      </c>
      <c r="N2816">
        <v>1</v>
      </c>
    </row>
    <row r="2817" hidden="1" spans="1:14">
      <c r="A2817">
        <v>1059</v>
      </c>
      <c r="B2817">
        <v>0</v>
      </c>
      <c r="C2817" t="s">
        <v>631</v>
      </c>
      <c r="D2817">
        <v>0</v>
      </c>
      <c r="E2817">
        <v>33.4186</v>
      </c>
      <c r="F2817">
        <v>-23.6894</v>
      </c>
      <c r="G2817">
        <v>264690.08</v>
      </c>
      <c r="H2817" s="1">
        <v>35108</v>
      </c>
      <c r="I2817" s="1">
        <v>35124</v>
      </c>
      <c r="J2817" t="s">
        <v>15</v>
      </c>
      <c r="K2817">
        <v>11</v>
      </c>
      <c r="L2817">
        <v>200000</v>
      </c>
      <c r="M2817" t="s">
        <v>103</v>
      </c>
      <c r="N2817">
        <v>1</v>
      </c>
    </row>
    <row r="2818" hidden="1" spans="1:14">
      <c r="A2818">
        <v>1469</v>
      </c>
      <c r="B2818">
        <v>0</v>
      </c>
      <c r="C2818" t="s">
        <v>631</v>
      </c>
      <c r="D2818">
        <v>0</v>
      </c>
      <c r="E2818">
        <v>34.3905</v>
      </c>
      <c r="F2818">
        <v>-19.7957</v>
      </c>
      <c r="G2818">
        <v>78988.22</v>
      </c>
      <c r="H2818" s="1">
        <v>36100</v>
      </c>
      <c r="I2818" s="1">
        <v>36109</v>
      </c>
      <c r="J2818" t="s">
        <v>15</v>
      </c>
      <c r="K2818">
        <v>2</v>
      </c>
      <c r="L2818">
        <v>0</v>
      </c>
      <c r="M2818" t="s">
        <v>16</v>
      </c>
      <c r="N2818">
        <v>1</v>
      </c>
    </row>
    <row r="2819" hidden="1" spans="1:14">
      <c r="A2819">
        <v>1497</v>
      </c>
      <c r="B2819">
        <v>0</v>
      </c>
      <c r="C2819" t="s">
        <v>631</v>
      </c>
      <c r="D2819">
        <v>0</v>
      </c>
      <c r="E2819">
        <v>33.4679</v>
      </c>
      <c r="F2819">
        <v>-23.2947</v>
      </c>
      <c r="G2819">
        <v>127726.03</v>
      </c>
      <c r="H2819" s="1">
        <v>36175</v>
      </c>
      <c r="I2819" s="1">
        <v>36234</v>
      </c>
      <c r="J2819" t="s">
        <v>15</v>
      </c>
      <c r="K2819">
        <v>15</v>
      </c>
      <c r="L2819">
        <v>200000</v>
      </c>
      <c r="M2819" t="s">
        <v>16</v>
      </c>
      <c r="N2819">
        <v>2</v>
      </c>
    </row>
    <row r="2820" hidden="1" spans="1:14">
      <c r="A2820">
        <v>1583</v>
      </c>
      <c r="B2820">
        <v>0</v>
      </c>
      <c r="C2820" t="s">
        <v>631</v>
      </c>
      <c r="D2820">
        <v>0</v>
      </c>
      <c r="E2820">
        <v>31.712</v>
      </c>
      <c r="F2820">
        <v>-27.8219</v>
      </c>
      <c r="G2820">
        <v>439042.75</v>
      </c>
      <c r="H2820" s="1">
        <v>36551</v>
      </c>
      <c r="I2820" s="1">
        <v>36612</v>
      </c>
      <c r="J2820" t="s">
        <v>15</v>
      </c>
      <c r="K2820">
        <v>929</v>
      </c>
      <c r="L2820">
        <v>733000</v>
      </c>
      <c r="M2820" t="s">
        <v>16</v>
      </c>
      <c r="N2820">
        <v>2</v>
      </c>
    </row>
    <row r="2821" hidden="1" spans="1:14">
      <c r="A2821">
        <v>1683</v>
      </c>
      <c r="B2821">
        <v>0</v>
      </c>
      <c r="C2821" t="s">
        <v>631</v>
      </c>
      <c r="D2821" t="s">
        <v>395</v>
      </c>
      <c r="E2821">
        <v>33.5624</v>
      </c>
      <c r="F2821">
        <v>-16.2016</v>
      </c>
      <c r="G2821">
        <v>202265.53</v>
      </c>
      <c r="H2821" s="1">
        <v>36892</v>
      </c>
      <c r="I2821" s="1">
        <v>37008</v>
      </c>
      <c r="J2821" t="s">
        <v>15</v>
      </c>
      <c r="K2821">
        <v>146</v>
      </c>
      <c r="L2821">
        <v>485000</v>
      </c>
      <c r="M2821" t="s">
        <v>86</v>
      </c>
      <c r="N2821">
        <v>1</v>
      </c>
    </row>
    <row r="2822" hidden="1" spans="1:14">
      <c r="A2822">
        <v>1894</v>
      </c>
      <c r="B2822">
        <v>0</v>
      </c>
      <c r="C2822" t="s">
        <v>631</v>
      </c>
      <c r="D2822">
        <v>0</v>
      </c>
      <c r="E2822">
        <v>39.3032</v>
      </c>
      <c r="F2822">
        <v>-15.132</v>
      </c>
      <c r="G2822">
        <v>1176.25</v>
      </c>
      <c r="H2822" s="1">
        <v>37333</v>
      </c>
      <c r="I2822" s="1">
        <v>37337</v>
      </c>
      <c r="J2822" t="s">
        <v>15</v>
      </c>
      <c r="K2822">
        <v>0</v>
      </c>
      <c r="L2822">
        <v>500</v>
      </c>
      <c r="M2822" t="s">
        <v>16</v>
      </c>
      <c r="N2822">
        <v>1</v>
      </c>
    </row>
    <row r="2823" hidden="1" spans="1:14">
      <c r="A2823">
        <v>2150</v>
      </c>
      <c r="B2823">
        <v>0</v>
      </c>
      <c r="C2823" t="s">
        <v>631</v>
      </c>
      <c r="D2823">
        <v>0</v>
      </c>
      <c r="E2823">
        <v>39.834</v>
      </c>
      <c r="F2823">
        <v>-12.9125</v>
      </c>
      <c r="G2823">
        <v>88563.63</v>
      </c>
      <c r="H2823" s="1">
        <v>37656</v>
      </c>
      <c r="I2823" s="1">
        <v>37669</v>
      </c>
      <c r="J2823" t="s">
        <v>15</v>
      </c>
      <c r="K2823">
        <v>32</v>
      </c>
      <c r="L2823">
        <v>400000</v>
      </c>
      <c r="M2823" t="s">
        <v>16</v>
      </c>
      <c r="N2823">
        <v>1</v>
      </c>
    </row>
    <row r="2824" hidden="1" spans="1:14">
      <c r="A2824">
        <v>2178</v>
      </c>
      <c r="B2824">
        <v>0</v>
      </c>
      <c r="C2824" t="s">
        <v>631</v>
      </c>
      <c r="D2824" t="s">
        <v>706</v>
      </c>
      <c r="E2824">
        <v>32.6645</v>
      </c>
      <c r="F2824">
        <v>-21.3783</v>
      </c>
      <c r="G2824">
        <v>137205.77</v>
      </c>
      <c r="H2824" s="1">
        <v>37685</v>
      </c>
      <c r="I2824" s="1">
        <v>37696</v>
      </c>
      <c r="J2824" t="s">
        <v>15</v>
      </c>
      <c r="K2824">
        <v>8</v>
      </c>
      <c r="L2824">
        <v>8300</v>
      </c>
      <c r="M2824" t="s">
        <v>16</v>
      </c>
      <c r="N2824">
        <v>1</v>
      </c>
    </row>
    <row r="2825" hidden="1" spans="1:14">
      <c r="A2825">
        <v>2194</v>
      </c>
      <c r="B2825">
        <v>0</v>
      </c>
      <c r="C2825" t="s">
        <v>631</v>
      </c>
      <c r="D2825">
        <v>0</v>
      </c>
      <c r="E2825">
        <v>34.9058</v>
      </c>
      <c r="F2825">
        <v>-19.7644</v>
      </c>
      <c r="G2825">
        <v>701.566</v>
      </c>
      <c r="H2825" s="1">
        <v>37706</v>
      </c>
      <c r="I2825" s="1">
        <v>37708</v>
      </c>
      <c r="J2825" t="s">
        <v>15</v>
      </c>
      <c r="K2825">
        <v>2</v>
      </c>
      <c r="L2825">
        <v>15000</v>
      </c>
      <c r="M2825" t="s">
        <v>16</v>
      </c>
      <c r="N2825">
        <v>1</v>
      </c>
    </row>
    <row r="2826" hidden="1" spans="1:14">
      <c r="A2826">
        <v>2423</v>
      </c>
      <c r="B2826">
        <v>0</v>
      </c>
      <c r="C2826" t="s">
        <v>631</v>
      </c>
      <c r="D2826">
        <v>0</v>
      </c>
      <c r="E2826">
        <v>32.8681</v>
      </c>
      <c r="F2826">
        <v>-25.399</v>
      </c>
      <c r="G2826">
        <v>1308.79</v>
      </c>
      <c r="H2826" s="1">
        <v>38011</v>
      </c>
      <c r="I2826" s="1">
        <v>38023</v>
      </c>
      <c r="J2826" t="s">
        <v>15</v>
      </c>
      <c r="K2826">
        <v>2</v>
      </c>
      <c r="L2826">
        <v>0</v>
      </c>
      <c r="M2826" t="s">
        <v>16</v>
      </c>
      <c r="N2826">
        <v>1</v>
      </c>
    </row>
    <row r="2827" hidden="1" spans="1:14">
      <c r="A2827">
        <v>2448</v>
      </c>
      <c r="B2827">
        <v>0</v>
      </c>
      <c r="C2827" t="s">
        <v>631</v>
      </c>
      <c r="D2827">
        <v>0</v>
      </c>
      <c r="E2827">
        <v>34.5575</v>
      </c>
      <c r="F2827">
        <v>-19.1865</v>
      </c>
      <c r="G2827">
        <v>3374.3</v>
      </c>
      <c r="H2827" s="1">
        <v>38051</v>
      </c>
      <c r="I2827" s="1">
        <v>38065</v>
      </c>
      <c r="J2827" t="s">
        <v>15</v>
      </c>
      <c r="K2827">
        <v>0</v>
      </c>
      <c r="L2827">
        <v>100</v>
      </c>
      <c r="M2827" t="s">
        <v>16</v>
      </c>
      <c r="N2827">
        <v>1</v>
      </c>
    </row>
    <row r="2828" hidden="1" spans="1:14">
      <c r="A2828">
        <v>2617</v>
      </c>
      <c r="B2828">
        <v>0</v>
      </c>
      <c r="C2828" t="s">
        <v>631</v>
      </c>
      <c r="D2828">
        <v>0</v>
      </c>
      <c r="E2828">
        <v>35.7074</v>
      </c>
      <c r="F2828">
        <v>-18.154</v>
      </c>
      <c r="G2828">
        <v>24295.58</v>
      </c>
      <c r="H2828" s="1">
        <v>38377</v>
      </c>
      <c r="I2828" s="1">
        <v>38392</v>
      </c>
      <c r="J2828" t="s">
        <v>15</v>
      </c>
      <c r="K2828">
        <v>0</v>
      </c>
      <c r="L2828">
        <v>0</v>
      </c>
      <c r="M2828" t="s">
        <v>16</v>
      </c>
      <c r="N2828">
        <v>1</v>
      </c>
    </row>
    <row r="2829" hidden="1" spans="1:14">
      <c r="A2829">
        <v>3011</v>
      </c>
      <c r="B2829" t="s">
        <v>707</v>
      </c>
      <c r="C2829" t="s">
        <v>631</v>
      </c>
      <c r="E2829">
        <v>35.1463</v>
      </c>
      <c r="F2829">
        <v>-17.4667</v>
      </c>
      <c r="G2829">
        <v>243408.04</v>
      </c>
      <c r="H2829" s="1">
        <v>39085</v>
      </c>
      <c r="I2829" s="1">
        <v>39151</v>
      </c>
      <c r="J2829" t="s">
        <v>15</v>
      </c>
      <c r="K2829">
        <v>46</v>
      </c>
      <c r="L2829">
        <v>165000</v>
      </c>
      <c r="M2829" t="s">
        <v>16</v>
      </c>
      <c r="N2829">
        <v>1</v>
      </c>
    </row>
    <row r="2830" hidden="1" spans="1:14">
      <c r="A2830">
        <v>3242</v>
      </c>
      <c r="B2830">
        <v>0</v>
      </c>
      <c r="C2830" t="s">
        <v>631</v>
      </c>
      <c r="D2830">
        <v>0</v>
      </c>
      <c r="E2830">
        <v>34.3565</v>
      </c>
      <c r="F2830">
        <v>-19.0634</v>
      </c>
      <c r="G2830">
        <v>354570.25</v>
      </c>
      <c r="H2830" s="1">
        <v>39427</v>
      </c>
      <c r="I2830" s="1">
        <v>39450</v>
      </c>
      <c r="J2830" t="s">
        <v>15</v>
      </c>
      <c r="K2830">
        <v>3</v>
      </c>
      <c r="L2830">
        <v>10000</v>
      </c>
      <c r="M2830" t="s">
        <v>16</v>
      </c>
      <c r="N2830">
        <v>1</v>
      </c>
    </row>
    <row r="2831" hidden="1" spans="1:14">
      <c r="A2831">
        <v>3426</v>
      </c>
      <c r="B2831">
        <v>0</v>
      </c>
      <c r="C2831" t="s">
        <v>631</v>
      </c>
      <c r="D2831">
        <v>0</v>
      </c>
      <c r="E2831">
        <v>34.0277</v>
      </c>
      <c r="F2831">
        <v>-22.9238</v>
      </c>
      <c r="G2831">
        <v>125967.31</v>
      </c>
      <c r="H2831" s="1">
        <v>39808</v>
      </c>
      <c r="I2831" s="1">
        <v>39825</v>
      </c>
      <c r="J2831" t="s">
        <v>15</v>
      </c>
      <c r="K2831">
        <v>24</v>
      </c>
      <c r="L2831">
        <v>0</v>
      </c>
      <c r="M2831" t="s">
        <v>49</v>
      </c>
      <c r="N2831">
        <v>1</v>
      </c>
    </row>
    <row r="2832" hidden="1" spans="1:14">
      <c r="A2832">
        <v>3461</v>
      </c>
      <c r="B2832">
        <v>0</v>
      </c>
      <c r="C2832" t="s">
        <v>631</v>
      </c>
      <c r="D2832">
        <v>0</v>
      </c>
      <c r="E2832">
        <v>32.1703</v>
      </c>
      <c r="F2832">
        <v>-25.1179</v>
      </c>
      <c r="G2832">
        <v>29982.11</v>
      </c>
      <c r="H2832" s="1">
        <v>39878</v>
      </c>
      <c r="I2832" s="1">
        <v>39885</v>
      </c>
      <c r="J2832" t="s">
        <v>15</v>
      </c>
      <c r="K2832">
        <v>0</v>
      </c>
      <c r="L2832">
        <v>0</v>
      </c>
      <c r="M2832" t="s">
        <v>49</v>
      </c>
      <c r="N2832">
        <v>1</v>
      </c>
    </row>
    <row r="2833" hidden="1" spans="1:14">
      <c r="A2833">
        <v>3598</v>
      </c>
      <c r="B2833">
        <v>0</v>
      </c>
      <c r="C2833" t="s">
        <v>631</v>
      </c>
      <c r="E2833">
        <v>31.6455</v>
      </c>
      <c r="F2833">
        <v>-25.593</v>
      </c>
      <c r="G2833">
        <v>72703.82</v>
      </c>
      <c r="H2833" s="1">
        <v>40203</v>
      </c>
      <c r="I2833" s="1">
        <v>40206</v>
      </c>
      <c r="J2833">
        <v>0</v>
      </c>
      <c r="K2833">
        <v>3</v>
      </c>
      <c r="L2833">
        <v>0</v>
      </c>
      <c r="M2833" t="s">
        <v>49</v>
      </c>
      <c r="N2833">
        <v>1</v>
      </c>
    </row>
    <row r="2834" hidden="1" spans="1:14">
      <c r="A2834">
        <v>3614</v>
      </c>
      <c r="B2834" t="s">
        <v>708</v>
      </c>
      <c r="C2834" t="s">
        <v>631</v>
      </c>
      <c r="D2834">
        <v>0</v>
      </c>
      <c r="E2834">
        <v>34.2547</v>
      </c>
      <c r="F2834">
        <v>-19.9647</v>
      </c>
      <c r="G2834">
        <v>26372.46</v>
      </c>
      <c r="H2834" s="1">
        <v>40231</v>
      </c>
      <c r="I2834" s="1">
        <v>40265</v>
      </c>
      <c r="J2834">
        <v>0</v>
      </c>
      <c r="K2834">
        <v>2</v>
      </c>
      <c r="L2834">
        <v>130000</v>
      </c>
      <c r="M2834" t="s">
        <v>49</v>
      </c>
      <c r="N2834">
        <v>1</v>
      </c>
    </row>
    <row r="2835" hidden="1" spans="1:14">
      <c r="A2835">
        <v>3892</v>
      </c>
      <c r="B2835" t="s">
        <v>709</v>
      </c>
      <c r="C2835" t="s">
        <v>631</v>
      </c>
      <c r="D2835" t="s">
        <v>192</v>
      </c>
      <c r="E2835">
        <v>34.0721</v>
      </c>
      <c r="F2835">
        <v>-21.4513</v>
      </c>
      <c r="G2835">
        <v>269445.71</v>
      </c>
      <c r="H2835" s="1">
        <v>40925</v>
      </c>
      <c r="I2835" s="1">
        <v>40953</v>
      </c>
      <c r="J2835" t="s">
        <v>15</v>
      </c>
      <c r="K2835">
        <v>37</v>
      </c>
      <c r="L2835">
        <v>100000</v>
      </c>
      <c r="M2835" t="s">
        <v>710</v>
      </c>
      <c r="N2835">
        <v>1.5</v>
      </c>
    </row>
    <row r="2836" hidden="1" spans="1:14">
      <c r="A2836">
        <v>4023</v>
      </c>
      <c r="C2836" t="s">
        <v>631</v>
      </c>
      <c r="D2836" t="s">
        <v>711</v>
      </c>
      <c r="E2836">
        <v>32.6773</v>
      </c>
      <c r="F2836">
        <v>-24.8006</v>
      </c>
      <c r="G2836">
        <v>83155.21</v>
      </c>
      <c r="H2836" s="1">
        <v>41291</v>
      </c>
      <c r="I2836" s="1">
        <v>41337</v>
      </c>
      <c r="J2836" t="s">
        <v>15</v>
      </c>
      <c r="K2836">
        <v>135</v>
      </c>
      <c r="L2836">
        <v>170000</v>
      </c>
      <c r="M2836" t="s">
        <v>49</v>
      </c>
      <c r="N2836">
        <v>1.5</v>
      </c>
    </row>
    <row r="2837" hidden="1" spans="1:14">
      <c r="A2837">
        <v>4123</v>
      </c>
      <c r="C2837" t="s">
        <v>631</v>
      </c>
      <c r="E2837">
        <v>31.5459</v>
      </c>
      <c r="F2837">
        <v>-24.4459</v>
      </c>
      <c r="G2837">
        <v>481907.88</v>
      </c>
      <c r="H2837" s="1">
        <v>41694</v>
      </c>
      <c r="I2837" s="1">
        <v>41708</v>
      </c>
      <c r="J2837" t="s">
        <v>15</v>
      </c>
      <c r="K2837">
        <v>4</v>
      </c>
      <c r="L2837">
        <v>20000</v>
      </c>
      <c r="M2837" t="s">
        <v>49</v>
      </c>
      <c r="N2837">
        <v>1</v>
      </c>
    </row>
    <row r="2838" hidden="1" spans="1:14">
      <c r="A2838">
        <v>4321</v>
      </c>
      <c r="C2838" t="s">
        <v>631</v>
      </c>
      <c r="E2838">
        <v>39.4638</v>
      </c>
      <c r="F2838">
        <v>-12.351</v>
      </c>
      <c r="G2838">
        <v>80571.64</v>
      </c>
      <c r="H2838" s="1">
        <v>42374</v>
      </c>
      <c r="I2838" s="1">
        <v>42398</v>
      </c>
      <c r="J2838" t="s">
        <v>15</v>
      </c>
      <c r="K2838">
        <v>16</v>
      </c>
      <c r="L2838">
        <v>6600</v>
      </c>
      <c r="M2838" t="s">
        <v>49</v>
      </c>
      <c r="N2838">
        <v>1</v>
      </c>
    </row>
    <row r="2839" hidden="1" spans="1:14">
      <c r="A2839">
        <v>4439</v>
      </c>
      <c r="B2839" t="s">
        <v>712</v>
      </c>
      <c r="C2839" t="s">
        <v>631</v>
      </c>
      <c r="E2839">
        <v>34.5151</v>
      </c>
      <c r="F2839">
        <v>-20.7778</v>
      </c>
      <c r="G2839">
        <v>128096.69</v>
      </c>
      <c r="H2839" s="1">
        <v>42736</v>
      </c>
      <c r="I2839" s="1">
        <v>42773</v>
      </c>
      <c r="J2839" t="s">
        <v>15</v>
      </c>
      <c r="K2839">
        <v>6</v>
      </c>
      <c r="L2839">
        <v>1200</v>
      </c>
      <c r="M2839" t="s">
        <v>49</v>
      </c>
      <c r="N2839">
        <v>1.5</v>
      </c>
    </row>
    <row r="2840" hidden="1" spans="1:14">
      <c r="A2840">
        <v>4564</v>
      </c>
      <c r="C2840" t="s">
        <v>631</v>
      </c>
      <c r="E2840">
        <v>38.8205</v>
      </c>
      <c r="F2840">
        <v>-14.5323</v>
      </c>
      <c r="G2840">
        <v>186617.34</v>
      </c>
      <c r="H2840" s="1">
        <v>43114</v>
      </c>
      <c r="I2840" s="1">
        <v>43152</v>
      </c>
      <c r="J2840" t="s">
        <v>713</v>
      </c>
      <c r="K2840">
        <v>14</v>
      </c>
      <c r="L2840">
        <v>28000</v>
      </c>
      <c r="M2840" t="s">
        <v>49</v>
      </c>
      <c r="N2840">
        <v>1.5</v>
      </c>
    </row>
    <row r="2841" hidden="1" spans="1:14">
      <c r="A2841">
        <v>4573</v>
      </c>
      <c r="B2841" t="s">
        <v>714</v>
      </c>
      <c r="C2841" t="s">
        <v>631</v>
      </c>
      <c r="E2841">
        <v>33.5748</v>
      </c>
      <c r="F2841">
        <v>-24.7196</v>
      </c>
      <c r="G2841">
        <v>97822.73</v>
      </c>
      <c r="H2841" s="1">
        <v>43150</v>
      </c>
      <c r="I2841" s="1">
        <v>43152</v>
      </c>
      <c r="J2841" t="s">
        <v>56</v>
      </c>
      <c r="K2841">
        <v>17</v>
      </c>
      <c r="L2841">
        <v>300</v>
      </c>
      <c r="M2841" t="s">
        <v>49</v>
      </c>
      <c r="N2841">
        <v>1</v>
      </c>
    </row>
    <row r="2842" hidden="1" spans="1:14">
      <c r="A2842">
        <v>4716</v>
      </c>
      <c r="C2842" t="s">
        <v>631</v>
      </c>
      <c r="D2842" t="s">
        <v>642</v>
      </c>
      <c r="E2842">
        <v>35.9997</v>
      </c>
      <c r="F2842">
        <v>-17.6038</v>
      </c>
      <c r="G2842">
        <v>357274.22</v>
      </c>
      <c r="H2842" s="1">
        <v>43474</v>
      </c>
      <c r="I2842" s="1">
        <v>43476</v>
      </c>
      <c r="J2842" t="s">
        <v>56</v>
      </c>
      <c r="K2842">
        <v>20</v>
      </c>
      <c r="L2842">
        <v>50</v>
      </c>
      <c r="M2842" t="s">
        <v>49</v>
      </c>
      <c r="N2842">
        <v>1.5</v>
      </c>
    </row>
    <row r="2843" hidden="1" spans="1:14">
      <c r="A2843">
        <v>4745</v>
      </c>
      <c r="C2843" t="s">
        <v>631</v>
      </c>
      <c r="E2843">
        <v>37.9792</v>
      </c>
      <c r="F2843">
        <v>-15.3746</v>
      </c>
      <c r="G2843">
        <v>194823.17</v>
      </c>
      <c r="H2843" s="1">
        <v>43585</v>
      </c>
      <c r="I2843" s="1">
        <v>43592</v>
      </c>
      <c r="J2843" t="s">
        <v>56</v>
      </c>
      <c r="K2843">
        <v>38</v>
      </c>
      <c r="L2843">
        <v>20000</v>
      </c>
      <c r="M2843" t="s">
        <v>715</v>
      </c>
      <c r="N2843">
        <v>1.5</v>
      </c>
    </row>
    <row r="2844" hidden="1" spans="1:14">
      <c r="A2844">
        <v>4842</v>
      </c>
      <c r="C2844" t="s">
        <v>631</v>
      </c>
      <c r="E2844">
        <v>38.8699</v>
      </c>
      <c r="F2844">
        <v>-12.5865</v>
      </c>
      <c r="G2844">
        <v>119825.42</v>
      </c>
      <c r="H2844" s="1">
        <v>43825</v>
      </c>
      <c r="I2844" s="1">
        <v>43838</v>
      </c>
      <c r="J2844" t="s">
        <v>56</v>
      </c>
      <c r="K2844">
        <v>5</v>
      </c>
      <c r="L2844">
        <v>8500</v>
      </c>
      <c r="M2844" t="s">
        <v>49</v>
      </c>
      <c r="N2844">
        <v>1.5</v>
      </c>
    </row>
    <row r="2845" hidden="1" spans="1:14">
      <c r="A2845">
        <v>4863</v>
      </c>
      <c r="C2845" t="s">
        <v>631</v>
      </c>
      <c r="E2845">
        <v>36.8657</v>
      </c>
      <c r="F2845">
        <v>-16.2229</v>
      </c>
      <c r="G2845">
        <v>401249.74</v>
      </c>
      <c r="H2845" s="1">
        <v>43847</v>
      </c>
      <c r="I2845" s="1">
        <v>43852</v>
      </c>
      <c r="J2845" t="s">
        <v>56</v>
      </c>
      <c r="K2845">
        <v>28</v>
      </c>
      <c r="L2845">
        <v>10000</v>
      </c>
      <c r="M2845" t="s">
        <v>49</v>
      </c>
      <c r="N2845">
        <v>1.5</v>
      </c>
    </row>
    <row r="2846" hidden="1" spans="1:14">
      <c r="A2846">
        <v>4872</v>
      </c>
      <c r="C2846" t="s">
        <v>631</v>
      </c>
      <c r="E2846">
        <v>35.2821</v>
      </c>
      <c r="F2846">
        <v>-18.0132</v>
      </c>
      <c r="G2846">
        <v>172916.51</v>
      </c>
      <c r="H2846" s="1">
        <v>43873</v>
      </c>
      <c r="I2846" s="1">
        <v>43878</v>
      </c>
      <c r="J2846" t="s">
        <v>56</v>
      </c>
      <c r="K2846">
        <v>2</v>
      </c>
      <c r="L2846">
        <v>2000</v>
      </c>
      <c r="M2846" t="s">
        <v>49</v>
      </c>
      <c r="N2846">
        <v>1.5</v>
      </c>
    </row>
    <row r="2847" hidden="1" spans="1:14">
      <c r="A2847">
        <v>4965</v>
      </c>
      <c r="C2847" t="s">
        <v>631</v>
      </c>
      <c r="E2847">
        <v>38.1276</v>
      </c>
      <c r="F2847">
        <v>-14.5813</v>
      </c>
      <c r="G2847">
        <v>293973.02</v>
      </c>
      <c r="H2847" s="1">
        <v>44106</v>
      </c>
      <c r="I2847" s="1">
        <v>44129</v>
      </c>
      <c r="J2847" t="s">
        <v>56</v>
      </c>
      <c r="K2847">
        <v>22</v>
      </c>
      <c r="L2847">
        <v>5000</v>
      </c>
      <c r="M2847" t="s">
        <v>49</v>
      </c>
      <c r="N2847">
        <v>1.5</v>
      </c>
    </row>
    <row r="2848" hidden="1" spans="1:14">
      <c r="A2848">
        <v>4995</v>
      </c>
      <c r="C2848" t="s">
        <v>631</v>
      </c>
      <c r="E2848">
        <v>34.5159</v>
      </c>
      <c r="F2848">
        <v>-20.0095</v>
      </c>
      <c r="G2848">
        <v>34213.58</v>
      </c>
      <c r="H2848" s="1">
        <v>44166</v>
      </c>
      <c r="I2848" s="1">
        <v>44175</v>
      </c>
      <c r="J2848" t="s">
        <v>56</v>
      </c>
      <c r="K2848">
        <v>1</v>
      </c>
      <c r="L2848">
        <v>0</v>
      </c>
      <c r="M2848" t="s">
        <v>52</v>
      </c>
      <c r="N2848">
        <v>1</v>
      </c>
    </row>
    <row r="2849" hidden="1" spans="1:14">
      <c r="A2849">
        <v>5015</v>
      </c>
      <c r="C2849" t="s">
        <v>631</v>
      </c>
      <c r="D2849" t="s">
        <v>706</v>
      </c>
      <c r="E2849">
        <v>30.7046</v>
      </c>
      <c r="F2849">
        <v>-23.0578</v>
      </c>
      <c r="G2849">
        <v>1148874.13</v>
      </c>
      <c r="H2849" s="1">
        <v>44218</v>
      </c>
      <c r="I2849" s="1">
        <v>44221</v>
      </c>
      <c r="J2849" t="s">
        <v>56</v>
      </c>
      <c r="K2849">
        <v>6</v>
      </c>
      <c r="L2849">
        <v>0</v>
      </c>
      <c r="M2849" t="s">
        <v>716</v>
      </c>
      <c r="N2849">
        <v>1.5</v>
      </c>
    </row>
    <row r="2850" hidden="1" spans="1:14">
      <c r="A2850">
        <v>5032</v>
      </c>
      <c r="C2850" t="s">
        <v>631</v>
      </c>
      <c r="E2850">
        <v>34.3023</v>
      </c>
      <c r="F2850">
        <v>-20.2325</v>
      </c>
      <c r="G2850">
        <v>69204.6</v>
      </c>
      <c r="H2850" s="1">
        <v>44237</v>
      </c>
      <c r="I2850" s="1">
        <v>44247</v>
      </c>
      <c r="J2850" t="s">
        <v>56</v>
      </c>
      <c r="K2850">
        <v>0</v>
      </c>
      <c r="L2850">
        <v>12000</v>
      </c>
      <c r="M2850" t="s">
        <v>49</v>
      </c>
      <c r="N2850">
        <v>1</v>
      </c>
    </row>
    <row r="2851" hidden="1" spans="1:14">
      <c r="A2851">
        <v>1837</v>
      </c>
      <c r="B2851">
        <v>0</v>
      </c>
      <c r="C2851" t="s">
        <v>717</v>
      </c>
      <c r="D2851">
        <v>0</v>
      </c>
      <c r="E2851">
        <v>35.4403</v>
      </c>
      <c r="F2851">
        <v>-23.963</v>
      </c>
      <c r="G2851">
        <v>210.65</v>
      </c>
      <c r="H2851" s="1">
        <v>37240</v>
      </c>
      <c r="I2851" s="1">
        <v>37241</v>
      </c>
      <c r="J2851" t="s">
        <v>15</v>
      </c>
      <c r="K2851">
        <v>0</v>
      </c>
      <c r="L2851">
        <v>0</v>
      </c>
      <c r="M2851" t="s">
        <v>16</v>
      </c>
      <c r="N2851">
        <v>1</v>
      </c>
    </row>
    <row r="2852" hidden="1" spans="1:14">
      <c r="A2852">
        <v>432</v>
      </c>
      <c r="B2852">
        <v>0</v>
      </c>
      <c r="C2852" t="s">
        <v>718</v>
      </c>
      <c r="D2852">
        <v>0</v>
      </c>
      <c r="E2852">
        <v>95.287</v>
      </c>
      <c r="F2852">
        <v>24.0102</v>
      </c>
      <c r="G2852">
        <v>33893.26</v>
      </c>
      <c r="H2852" s="1">
        <v>33058</v>
      </c>
      <c r="I2852" s="1">
        <v>33059</v>
      </c>
      <c r="J2852" t="s">
        <v>15</v>
      </c>
      <c r="K2852">
        <v>0</v>
      </c>
      <c r="L2852">
        <v>300</v>
      </c>
      <c r="M2852" t="s">
        <v>16</v>
      </c>
      <c r="N2852">
        <v>1</v>
      </c>
    </row>
    <row r="2853" hidden="1" spans="1:14">
      <c r="A2853">
        <v>536</v>
      </c>
      <c r="B2853">
        <v>0</v>
      </c>
      <c r="C2853" t="s">
        <v>143</v>
      </c>
      <c r="D2853">
        <v>0</v>
      </c>
      <c r="E2853">
        <v>95.019</v>
      </c>
      <c r="F2853">
        <v>23.9413</v>
      </c>
      <c r="G2853">
        <v>128983.14</v>
      </c>
      <c r="H2853" s="1">
        <v>33429</v>
      </c>
      <c r="I2853" s="1">
        <v>33442</v>
      </c>
      <c r="J2853" t="s">
        <v>15</v>
      </c>
      <c r="K2853">
        <v>0</v>
      </c>
      <c r="L2853">
        <v>17570</v>
      </c>
      <c r="M2853" t="s">
        <v>16</v>
      </c>
      <c r="N2853">
        <v>1</v>
      </c>
    </row>
    <row r="2854" hidden="1" spans="1:14">
      <c r="A2854">
        <v>560</v>
      </c>
      <c r="B2854">
        <v>0</v>
      </c>
      <c r="C2854" t="s">
        <v>143</v>
      </c>
      <c r="D2854">
        <v>0</v>
      </c>
      <c r="E2854">
        <v>95.5588</v>
      </c>
      <c r="F2854">
        <v>16.9811</v>
      </c>
      <c r="G2854">
        <v>55416.91</v>
      </c>
      <c r="H2854" s="1">
        <v>33457</v>
      </c>
      <c r="I2854" s="1">
        <v>33459</v>
      </c>
      <c r="J2854" t="s">
        <v>15</v>
      </c>
      <c r="K2854">
        <v>1</v>
      </c>
      <c r="L2854">
        <v>210250</v>
      </c>
      <c r="M2854" t="s">
        <v>16</v>
      </c>
      <c r="N2854">
        <v>2</v>
      </c>
    </row>
    <row r="2855" hidden="1" spans="1:14">
      <c r="A2855">
        <v>574</v>
      </c>
      <c r="B2855">
        <v>0</v>
      </c>
      <c r="C2855" t="s">
        <v>143</v>
      </c>
      <c r="D2855">
        <v>0</v>
      </c>
      <c r="E2855">
        <v>97.6568</v>
      </c>
      <c r="F2855">
        <v>17.3639</v>
      </c>
      <c r="G2855">
        <v>30248.08</v>
      </c>
      <c r="H2855" s="1">
        <v>33468</v>
      </c>
      <c r="I2855" s="1">
        <v>33469</v>
      </c>
      <c r="J2855" t="s">
        <v>15</v>
      </c>
      <c r="K2855">
        <v>0</v>
      </c>
      <c r="L2855">
        <v>29674</v>
      </c>
      <c r="M2855" t="s">
        <v>16</v>
      </c>
      <c r="N2855">
        <v>1</v>
      </c>
    </row>
    <row r="2856" hidden="1" spans="1:14">
      <c r="A2856">
        <v>1009</v>
      </c>
      <c r="B2856">
        <v>0</v>
      </c>
      <c r="C2856" t="s">
        <v>143</v>
      </c>
      <c r="D2856">
        <v>0</v>
      </c>
      <c r="E2856">
        <v>95.2679</v>
      </c>
      <c r="F2856">
        <v>20.86</v>
      </c>
      <c r="G2856">
        <v>164736.49</v>
      </c>
      <c r="H2856" s="1">
        <v>34968</v>
      </c>
      <c r="I2856" s="1">
        <v>34982</v>
      </c>
      <c r="J2856" t="s">
        <v>15</v>
      </c>
      <c r="K2856">
        <v>50</v>
      </c>
      <c r="L2856">
        <v>20000</v>
      </c>
      <c r="M2856" t="s">
        <v>16</v>
      </c>
      <c r="N2856">
        <v>1</v>
      </c>
    </row>
    <row r="2857" hidden="1" spans="1:14">
      <c r="A2857">
        <v>3662</v>
      </c>
      <c r="B2857" t="s">
        <v>719</v>
      </c>
      <c r="C2857" t="s">
        <v>143</v>
      </c>
      <c r="E2857">
        <v>94.0105</v>
      </c>
      <c r="F2857">
        <v>22.2804</v>
      </c>
      <c r="G2857">
        <v>94869.51</v>
      </c>
      <c r="H2857" s="1">
        <v>40344</v>
      </c>
      <c r="I2857" s="1">
        <v>40355</v>
      </c>
      <c r="J2857">
        <v>0</v>
      </c>
      <c r="K2857">
        <v>60</v>
      </c>
      <c r="L2857">
        <v>0</v>
      </c>
      <c r="M2857" t="s">
        <v>54</v>
      </c>
      <c r="N2857">
        <v>1</v>
      </c>
    </row>
    <row r="2858" hidden="1" spans="1:14">
      <c r="A2858">
        <v>3970</v>
      </c>
      <c r="C2858" t="s">
        <v>143</v>
      </c>
      <c r="E2858">
        <v>97.8535</v>
      </c>
      <c r="F2858">
        <v>16.5919</v>
      </c>
      <c r="G2858">
        <v>219814.61</v>
      </c>
      <c r="H2858" s="1">
        <v>41105</v>
      </c>
      <c r="I2858" s="1">
        <v>41150</v>
      </c>
      <c r="J2858" t="s">
        <v>15</v>
      </c>
      <c r="K2858">
        <v>0</v>
      </c>
      <c r="L2858">
        <v>85000</v>
      </c>
      <c r="M2858" t="s">
        <v>54</v>
      </c>
      <c r="N2858">
        <v>1</v>
      </c>
    </row>
    <row r="2859" hidden="1" spans="1:14">
      <c r="A2859">
        <v>4283</v>
      </c>
      <c r="C2859" t="s">
        <v>143</v>
      </c>
      <c r="E2859">
        <v>95.5326</v>
      </c>
      <c r="F2859">
        <v>20.1747</v>
      </c>
      <c r="G2859">
        <v>296423.97</v>
      </c>
      <c r="H2859" s="1">
        <v>42200</v>
      </c>
      <c r="I2859" s="1">
        <v>42235</v>
      </c>
      <c r="J2859" t="s">
        <v>15</v>
      </c>
      <c r="K2859">
        <v>88</v>
      </c>
      <c r="L2859">
        <v>85400</v>
      </c>
      <c r="M2859" t="s">
        <v>54</v>
      </c>
      <c r="N2859">
        <v>2</v>
      </c>
    </row>
    <row r="2860" hidden="1" spans="1:14">
      <c r="A2860">
        <v>4365</v>
      </c>
      <c r="B2860" t="s">
        <v>720</v>
      </c>
      <c r="C2860" t="s">
        <v>143</v>
      </c>
      <c r="E2860">
        <v>95.2604</v>
      </c>
      <c r="F2860">
        <v>18.3158</v>
      </c>
      <c r="G2860">
        <v>93839.67</v>
      </c>
      <c r="H2860" s="1">
        <v>42522</v>
      </c>
      <c r="I2860" s="1">
        <v>42598</v>
      </c>
      <c r="J2860" t="s">
        <v>15</v>
      </c>
      <c r="K2860">
        <v>16</v>
      </c>
      <c r="L2860">
        <v>25000</v>
      </c>
      <c r="M2860" t="s">
        <v>54</v>
      </c>
      <c r="N2860">
        <v>2</v>
      </c>
    </row>
    <row r="2861" hidden="1" spans="1:14">
      <c r="A2861">
        <v>4632</v>
      </c>
      <c r="C2861" t="s">
        <v>143</v>
      </c>
      <c r="E2861">
        <v>93.8747</v>
      </c>
      <c r="F2861">
        <v>21.9855</v>
      </c>
      <c r="G2861">
        <v>98881.34</v>
      </c>
      <c r="H2861" s="1">
        <v>43266</v>
      </c>
      <c r="I2861" s="1">
        <v>43271</v>
      </c>
      <c r="J2861" t="s">
        <v>56</v>
      </c>
      <c r="K2861">
        <v>1</v>
      </c>
      <c r="L2861">
        <v>1000</v>
      </c>
      <c r="M2861" t="s">
        <v>54</v>
      </c>
      <c r="N2861">
        <v>1.5</v>
      </c>
    </row>
    <row r="2862" hidden="1" spans="1:14">
      <c r="A2862">
        <v>4666</v>
      </c>
      <c r="C2862" t="s">
        <v>143</v>
      </c>
      <c r="E2862">
        <v>95.4336</v>
      </c>
      <c r="F2862">
        <v>18.1914</v>
      </c>
      <c r="G2862">
        <v>46815.06</v>
      </c>
      <c r="H2862" s="1">
        <v>43296</v>
      </c>
      <c r="I2862" s="1">
        <v>43322</v>
      </c>
      <c r="J2862" t="s">
        <v>56</v>
      </c>
      <c r="K2862">
        <v>11</v>
      </c>
      <c r="L2862">
        <v>120000</v>
      </c>
      <c r="M2862" t="s">
        <v>54</v>
      </c>
      <c r="N2862">
        <v>1.5</v>
      </c>
    </row>
    <row r="2863" hidden="1" spans="1:14">
      <c r="A2863">
        <v>4781</v>
      </c>
      <c r="C2863" t="s">
        <v>143</v>
      </c>
      <c r="E2863">
        <v>96.4728</v>
      </c>
      <c r="F2863">
        <v>17.3974</v>
      </c>
      <c r="G2863">
        <v>176886.25</v>
      </c>
      <c r="H2863" s="1">
        <v>43661</v>
      </c>
      <c r="I2863" s="1">
        <v>43686</v>
      </c>
      <c r="J2863" t="s">
        <v>56</v>
      </c>
      <c r="K2863">
        <v>0</v>
      </c>
      <c r="L2863">
        <v>46000</v>
      </c>
      <c r="M2863" t="s">
        <v>54</v>
      </c>
      <c r="N2863">
        <v>1.5</v>
      </c>
    </row>
    <row r="2864" hidden="1" spans="1:14">
      <c r="A2864">
        <v>4949</v>
      </c>
      <c r="C2864" t="s">
        <v>143</v>
      </c>
      <c r="E2864">
        <v>96.2625</v>
      </c>
      <c r="F2864">
        <v>23.1743</v>
      </c>
      <c r="G2864">
        <v>46562.48</v>
      </c>
      <c r="H2864" s="1">
        <v>44027</v>
      </c>
      <c r="I2864" s="1">
        <v>44042</v>
      </c>
      <c r="J2864" t="s">
        <v>56</v>
      </c>
      <c r="K2864">
        <v>0</v>
      </c>
      <c r="L2864">
        <v>6516</v>
      </c>
      <c r="M2864" t="s">
        <v>54</v>
      </c>
      <c r="N2864">
        <v>1</v>
      </c>
    </row>
    <row r="2865" hidden="1" spans="1:14">
      <c r="A2865">
        <v>5100</v>
      </c>
      <c r="C2865" t="s">
        <v>143</v>
      </c>
      <c r="D2865" t="s">
        <v>132</v>
      </c>
      <c r="E2865">
        <v>97.5863</v>
      </c>
      <c r="F2865">
        <v>23.1495</v>
      </c>
      <c r="G2865">
        <v>126118.62</v>
      </c>
      <c r="H2865" s="1">
        <v>44402</v>
      </c>
      <c r="I2865" s="1">
        <v>44406</v>
      </c>
      <c r="J2865" t="s">
        <v>56</v>
      </c>
      <c r="K2865">
        <v>0</v>
      </c>
      <c r="L2865">
        <v>48500</v>
      </c>
      <c r="M2865" t="s">
        <v>54</v>
      </c>
      <c r="N2865">
        <v>1.5</v>
      </c>
    </row>
    <row r="2866" hidden="1" spans="1:14">
      <c r="A2866">
        <v>344</v>
      </c>
      <c r="B2866">
        <v>0</v>
      </c>
      <c r="C2866" t="s">
        <v>80</v>
      </c>
      <c r="D2866">
        <v>0</v>
      </c>
      <c r="E2866">
        <v>17.4379</v>
      </c>
      <c r="F2866">
        <v>-26.9397</v>
      </c>
      <c r="G2866">
        <v>117989.21</v>
      </c>
      <c r="H2866" s="1">
        <v>32720</v>
      </c>
      <c r="I2866" s="1">
        <v>32723</v>
      </c>
      <c r="J2866" t="s">
        <v>15</v>
      </c>
      <c r="K2866">
        <v>2</v>
      </c>
      <c r="L2866">
        <v>0</v>
      </c>
      <c r="M2866" t="s">
        <v>16</v>
      </c>
      <c r="N2866">
        <v>1</v>
      </c>
    </row>
    <row r="2867" hidden="1" spans="1:14">
      <c r="A2867">
        <v>286</v>
      </c>
      <c r="B2867">
        <v>0</v>
      </c>
      <c r="C2867" t="s">
        <v>80</v>
      </c>
      <c r="D2867">
        <v>0</v>
      </c>
      <c r="E2867">
        <v>17.5757</v>
      </c>
      <c r="F2867">
        <v>-27.3149</v>
      </c>
      <c r="G2867">
        <v>124184.43</v>
      </c>
      <c r="H2867" s="1">
        <v>32547</v>
      </c>
      <c r="I2867" s="1">
        <v>32551</v>
      </c>
      <c r="J2867" t="s">
        <v>15</v>
      </c>
      <c r="K2867">
        <v>6</v>
      </c>
      <c r="L2867">
        <v>0</v>
      </c>
      <c r="M2867" t="s">
        <v>16</v>
      </c>
      <c r="N2867">
        <v>1</v>
      </c>
    </row>
    <row r="2868" hidden="1" spans="1:14">
      <c r="A2868">
        <v>2421</v>
      </c>
      <c r="B2868">
        <v>0</v>
      </c>
      <c r="C2868" t="s">
        <v>80</v>
      </c>
      <c r="D2868">
        <v>0</v>
      </c>
      <c r="E2868">
        <v>17.1124</v>
      </c>
      <c r="F2868">
        <v>-22.5514</v>
      </c>
      <c r="G2868">
        <v>540.126</v>
      </c>
      <c r="H2868" s="1">
        <v>38000</v>
      </c>
      <c r="I2868" s="1">
        <v>38003</v>
      </c>
      <c r="J2868" t="s">
        <v>15</v>
      </c>
      <c r="K2868">
        <v>1</v>
      </c>
      <c r="L2868">
        <v>0</v>
      </c>
      <c r="M2868" t="s">
        <v>18</v>
      </c>
      <c r="N2868">
        <v>2</v>
      </c>
    </row>
    <row r="2869" hidden="1" spans="1:14">
      <c r="A2869">
        <v>2430</v>
      </c>
      <c r="B2869">
        <v>0</v>
      </c>
      <c r="C2869" t="s">
        <v>80</v>
      </c>
      <c r="D2869" t="s">
        <v>721</v>
      </c>
      <c r="E2869">
        <v>21.4274</v>
      </c>
      <c r="F2869">
        <v>-14.5615</v>
      </c>
      <c r="G2869">
        <v>615606.17</v>
      </c>
      <c r="H2869" s="1">
        <v>38018</v>
      </c>
      <c r="I2869" s="1">
        <v>38140</v>
      </c>
      <c r="J2869" t="s">
        <v>15</v>
      </c>
      <c r="K2869">
        <v>10</v>
      </c>
      <c r="L2869">
        <v>40000</v>
      </c>
      <c r="M2869" t="s">
        <v>16</v>
      </c>
      <c r="N2869">
        <v>2</v>
      </c>
    </row>
    <row r="2870" hidden="1" spans="1:14">
      <c r="A2870">
        <v>2783</v>
      </c>
      <c r="B2870">
        <v>0</v>
      </c>
      <c r="C2870" t="s">
        <v>80</v>
      </c>
      <c r="D2870">
        <v>0</v>
      </c>
      <c r="E2870">
        <v>15.7126</v>
      </c>
      <c r="F2870">
        <v>-25.4775</v>
      </c>
      <c r="G2870">
        <v>1297.55</v>
      </c>
      <c r="H2870" s="1">
        <v>38735</v>
      </c>
      <c r="I2870" s="1">
        <v>38735</v>
      </c>
      <c r="J2870" t="s">
        <v>15</v>
      </c>
      <c r="K2870">
        <v>0</v>
      </c>
      <c r="L2870">
        <v>0</v>
      </c>
      <c r="M2870" t="s">
        <v>16</v>
      </c>
      <c r="N2870">
        <v>1</v>
      </c>
    </row>
    <row r="2871" hidden="1" spans="1:14">
      <c r="A2871">
        <v>2810</v>
      </c>
      <c r="B2871" t="s">
        <v>722</v>
      </c>
      <c r="C2871" t="s">
        <v>80</v>
      </c>
      <c r="D2871">
        <v>0</v>
      </c>
      <c r="E2871">
        <v>17.9801</v>
      </c>
      <c r="F2871">
        <v>-24.5303</v>
      </c>
      <c r="G2871">
        <v>16107.27</v>
      </c>
      <c r="H2871" s="1">
        <v>38772</v>
      </c>
      <c r="I2871" s="1">
        <v>38776</v>
      </c>
      <c r="J2871" t="s">
        <v>15</v>
      </c>
      <c r="K2871">
        <v>5</v>
      </c>
      <c r="L2871">
        <v>2100</v>
      </c>
      <c r="M2871" t="s">
        <v>25</v>
      </c>
      <c r="N2871">
        <v>2</v>
      </c>
    </row>
    <row r="2872" hidden="1" spans="1:14">
      <c r="A2872">
        <v>3264</v>
      </c>
      <c r="B2872" t="s">
        <v>723</v>
      </c>
      <c r="C2872" t="s">
        <v>80</v>
      </c>
      <c r="E2872">
        <v>17.2606</v>
      </c>
      <c r="F2872">
        <v>-17.049</v>
      </c>
      <c r="G2872">
        <v>164248.45</v>
      </c>
      <c r="H2872" s="1">
        <v>39478</v>
      </c>
      <c r="I2872" s="1">
        <v>39561</v>
      </c>
      <c r="J2872" t="s">
        <v>15</v>
      </c>
      <c r="K2872">
        <v>42</v>
      </c>
      <c r="L2872">
        <v>40000</v>
      </c>
      <c r="M2872" t="s">
        <v>16</v>
      </c>
      <c r="N2872">
        <v>1.5</v>
      </c>
    </row>
    <row r="2873" hidden="1" spans="1:14">
      <c r="A2873">
        <v>3639</v>
      </c>
      <c r="B2873" t="s">
        <v>724</v>
      </c>
      <c r="C2873" t="s">
        <v>80</v>
      </c>
      <c r="E2873">
        <v>23.2312</v>
      </c>
      <c r="F2873">
        <v>-18.6942</v>
      </c>
      <c r="G2873">
        <v>64627.58</v>
      </c>
      <c r="H2873" s="1">
        <v>40284</v>
      </c>
      <c r="I2873" s="1">
        <v>40289</v>
      </c>
      <c r="J2873">
        <v>0</v>
      </c>
      <c r="K2873">
        <v>0</v>
      </c>
      <c r="L2873">
        <v>11000</v>
      </c>
      <c r="M2873" t="s">
        <v>49</v>
      </c>
      <c r="N2873">
        <v>1</v>
      </c>
    </row>
    <row r="2874" hidden="1" spans="1:14">
      <c r="A2874">
        <v>3791</v>
      </c>
      <c r="C2874" t="s">
        <v>80</v>
      </c>
      <c r="E2874">
        <v>22.8815</v>
      </c>
      <c r="F2874">
        <v>-18.0384</v>
      </c>
      <c r="G2874">
        <v>47808.61</v>
      </c>
      <c r="H2874" s="1">
        <v>40603</v>
      </c>
      <c r="I2874" s="1">
        <v>40620</v>
      </c>
      <c r="J2874" t="s">
        <v>15</v>
      </c>
      <c r="K2874">
        <v>0</v>
      </c>
      <c r="L2874">
        <v>4000</v>
      </c>
      <c r="M2874" t="s">
        <v>49</v>
      </c>
      <c r="N2874">
        <v>1</v>
      </c>
    </row>
    <row r="2875" hidden="1" spans="1:14">
      <c r="A2875">
        <v>3798</v>
      </c>
      <c r="C2875" t="s">
        <v>80</v>
      </c>
      <c r="D2875" t="s">
        <v>79</v>
      </c>
      <c r="E2875">
        <v>20.642</v>
      </c>
      <c r="F2875">
        <v>-18.1881</v>
      </c>
      <c r="G2875">
        <v>102874.48</v>
      </c>
      <c r="H2875" s="1">
        <v>40617</v>
      </c>
      <c r="I2875" s="1">
        <v>40652</v>
      </c>
      <c r="J2875" t="s">
        <v>15</v>
      </c>
      <c r="K2875">
        <v>62</v>
      </c>
      <c r="L2875">
        <v>10000</v>
      </c>
      <c r="M2875" t="s">
        <v>49</v>
      </c>
      <c r="N2875">
        <v>1.5</v>
      </c>
    </row>
    <row r="2876" hidden="1" spans="1:14">
      <c r="A2876">
        <v>4037</v>
      </c>
      <c r="C2876" t="s">
        <v>80</v>
      </c>
      <c r="E2876">
        <v>22.6244</v>
      </c>
      <c r="F2876">
        <v>-17.8146</v>
      </c>
      <c r="G2876">
        <v>100905.17</v>
      </c>
      <c r="H2876" s="1">
        <v>41334</v>
      </c>
      <c r="I2876" s="1">
        <v>41350</v>
      </c>
      <c r="J2876" t="s">
        <v>15</v>
      </c>
      <c r="K2876">
        <v>0</v>
      </c>
      <c r="L2876">
        <v>10000</v>
      </c>
      <c r="M2876" t="s">
        <v>49</v>
      </c>
      <c r="N2876">
        <v>1</v>
      </c>
    </row>
    <row r="2877" hidden="1" spans="1:14">
      <c r="A2877">
        <v>4455</v>
      </c>
      <c r="B2877" t="s">
        <v>725</v>
      </c>
      <c r="C2877" t="s">
        <v>80</v>
      </c>
      <c r="E2877">
        <v>17.0462</v>
      </c>
      <c r="F2877">
        <v>-20.5698</v>
      </c>
      <c r="G2877">
        <v>248928.28</v>
      </c>
      <c r="H2877" s="1">
        <v>42803</v>
      </c>
      <c r="I2877" s="1">
        <v>42816</v>
      </c>
      <c r="J2877" t="s">
        <v>15</v>
      </c>
      <c r="K2877">
        <v>0</v>
      </c>
      <c r="L2877">
        <v>0</v>
      </c>
      <c r="M2877" t="s">
        <v>49</v>
      </c>
      <c r="N2877">
        <v>1</v>
      </c>
    </row>
    <row r="2878" hidden="1" spans="1:14">
      <c r="A2878">
        <v>5009</v>
      </c>
      <c r="C2878" t="s">
        <v>80</v>
      </c>
      <c r="E2878">
        <v>17.6895</v>
      </c>
      <c r="F2878">
        <v>-22.2559</v>
      </c>
      <c r="G2878">
        <v>367193.11</v>
      </c>
      <c r="H2878" s="1">
        <v>44197</v>
      </c>
      <c r="I2878" s="1">
        <v>44209</v>
      </c>
      <c r="J2878" t="s">
        <v>56</v>
      </c>
      <c r="K2878">
        <v>0</v>
      </c>
      <c r="L2878">
        <v>260</v>
      </c>
      <c r="M2878" t="s">
        <v>49</v>
      </c>
      <c r="N2878">
        <v>1.5</v>
      </c>
    </row>
    <row r="2879" hidden="1" spans="1:14">
      <c r="A2879">
        <v>40</v>
      </c>
      <c r="B2879">
        <v>0</v>
      </c>
      <c r="C2879" t="s">
        <v>475</v>
      </c>
      <c r="D2879">
        <v>0</v>
      </c>
      <c r="E2879">
        <v>87.1258</v>
      </c>
      <c r="F2879">
        <v>27.5049</v>
      </c>
      <c r="G2879">
        <v>12487.89</v>
      </c>
      <c r="H2879" s="1">
        <v>31263</v>
      </c>
      <c r="I2879" s="1">
        <v>31264</v>
      </c>
      <c r="J2879" t="s">
        <v>15</v>
      </c>
      <c r="K2879">
        <v>3</v>
      </c>
      <c r="L2879">
        <v>160</v>
      </c>
      <c r="M2879" t="s">
        <v>49</v>
      </c>
      <c r="N2879">
        <v>2</v>
      </c>
    </row>
    <row r="2880" hidden="1" spans="1:14">
      <c r="A2880">
        <v>49</v>
      </c>
      <c r="B2880">
        <v>0</v>
      </c>
      <c r="C2880" t="s">
        <v>475</v>
      </c>
      <c r="D2880">
        <v>0</v>
      </c>
      <c r="E2880">
        <v>86.3518</v>
      </c>
      <c r="F2880">
        <v>27.3195</v>
      </c>
      <c r="G2880">
        <v>13057.51</v>
      </c>
      <c r="H2880" s="1">
        <v>31296</v>
      </c>
      <c r="I2880" s="1">
        <v>31301</v>
      </c>
      <c r="J2880" t="s">
        <v>15</v>
      </c>
      <c r="K2880">
        <v>30</v>
      </c>
      <c r="L2880">
        <v>1500</v>
      </c>
      <c r="M2880" t="s">
        <v>16</v>
      </c>
      <c r="N2880">
        <v>1</v>
      </c>
    </row>
    <row r="2881" hidden="1" spans="1:14">
      <c r="A2881">
        <v>335</v>
      </c>
      <c r="B2881">
        <v>0</v>
      </c>
      <c r="C2881" t="s">
        <v>475</v>
      </c>
      <c r="D2881">
        <v>0</v>
      </c>
      <c r="E2881">
        <v>85.1261</v>
      </c>
      <c r="F2881">
        <v>27.8004</v>
      </c>
      <c r="G2881">
        <v>91479.4</v>
      </c>
      <c r="H2881" s="1">
        <v>32711</v>
      </c>
      <c r="I2881" s="1">
        <v>32716</v>
      </c>
      <c r="J2881" t="s">
        <v>15</v>
      </c>
      <c r="K2881">
        <v>29</v>
      </c>
      <c r="L2881">
        <v>900</v>
      </c>
      <c r="M2881" t="s">
        <v>16</v>
      </c>
      <c r="N2881">
        <v>1</v>
      </c>
    </row>
    <row r="2882" hidden="1" spans="1:14">
      <c r="A2882">
        <v>363</v>
      </c>
      <c r="B2882">
        <v>0</v>
      </c>
      <c r="C2882" t="s">
        <v>475</v>
      </c>
      <c r="D2882">
        <v>0</v>
      </c>
      <c r="E2882">
        <v>87.4462</v>
      </c>
      <c r="F2882">
        <v>27.1419</v>
      </c>
      <c r="G2882">
        <v>15795.82</v>
      </c>
      <c r="H2882" s="1">
        <v>32752</v>
      </c>
      <c r="I2882" s="1">
        <v>32776</v>
      </c>
      <c r="J2882" t="s">
        <v>15</v>
      </c>
      <c r="K2882">
        <v>59</v>
      </c>
      <c r="L2882">
        <v>3000</v>
      </c>
      <c r="M2882" t="s">
        <v>16</v>
      </c>
      <c r="N2882">
        <v>1</v>
      </c>
    </row>
    <row r="2883" hidden="1" spans="1:14">
      <c r="A2883">
        <v>364</v>
      </c>
      <c r="B2883">
        <v>0</v>
      </c>
      <c r="C2883" t="s">
        <v>475</v>
      </c>
      <c r="D2883">
        <v>0</v>
      </c>
      <c r="E2883">
        <v>81.2516</v>
      </c>
      <c r="F2883">
        <v>29.6046</v>
      </c>
      <c r="G2883">
        <v>6396.38</v>
      </c>
      <c r="H2883" s="1">
        <v>32759</v>
      </c>
      <c r="I2883" s="1">
        <v>32763</v>
      </c>
      <c r="J2883" t="s">
        <v>15</v>
      </c>
      <c r="K2883">
        <v>16</v>
      </c>
      <c r="L2883">
        <v>0</v>
      </c>
      <c r="M2883" t="s">
        <v>16</v>
      </c>
      <c r="N2883">
        <v>1</v>
      </c>
    </row>
    <row r="2884" hidden="1" spans="1:14">
      <c r="A2884">
        <v>454</v>
      </c>
      <c r="B2884">
        <v>0</v>
      </c>
      <c r="C2884" t="s">
        <v>475</v>
      </c>
      <c r="D2884">
        <v>0</v>
      </c>
      <c r="E2884">
        <v>83.637</v>
      </c>
      <c r="F2884">
        <v>27.5665</v>
      </c>
      <c r="G2884">
        <v>27685.6</v>
      </c>
      <c r="H2884" s="1">
        <v>33112</v>
      </c>
      <c r="I2884" s="1">
        <v>33120</v>
      </c>
      <c r="J2884" t="s">
        <v>15</v>
      </c>
      <c r="K2884">
        <v>42</v>
      </c>
      <c r="L2884">
        <v>2000</v>
      </c>
      <c r="M2884" t="s">
        <v>23</v>
      </c>
      <c r="N2884">
        <v>1</v>
      </c>
    </row>
    <row r="2885" hidden="1" spans="1:14">
      <c r="A2885">
        <v>665</v>
      </c>
      <c r="B2885">
        <v>0</v>
      </c>
      <c r="C2885" t="s">
        <v>475</v>
      </c>
      <c r="D2885">
        <v>0</v>
      </c>
      <c r="E2885">
        <v>86.8489</v>
      </c>
      <c r="F2885">
        <v>27.2262</v>
      </c>
      <c r="G2885">
        <v>16329.72</v>
      </c>
      <c r="H2885" s="1">
        <v>33789</v>
      </c>
      <c r="I2885" s="1">
        <v>33797</v>
      </c>
      <c r="J2885" t="s">
        <v>15</v>
      </c>
      <c r="K2885">
        <v>12</v>
      </c>
      <c r="L2885">
        <v>0</v>
      </c>
      <c r="M2885" t="s">
        <v>23</v>
      </c>
      <c r="N2885">
        <v>1</v>
      </c>
    </row>
    <row r="2886" hidden="1" spans="1:14">
      <c r="A2886">
        <v>962</v>
      </c>
      <c r="B2886">
        <v>0</v>
      </c>
      <c r="C2886" t="s">
        <v>475</v>
      </c>
      <c r="D2886">
        <v>0</v>
      </c>
      <c r="E2886">
        <v>85.8796</v>
      </c>
      <c r="F2886">
        <v>27.6214</v>
      </c>
      <c r="G2886">
        <v>71916.18</v>
      </c>
      <c r="H2886" s="1">
        <v>34869</v>
      </c>
      <c r="I2886" s="1">
        <v>34905</v>
      </c>
      <c r="J2886" t="s">
        <v>15</v>
      </c>
      <c r="K2886">
        <v>139</v>
      </c>
      <c r="L2886">
        <v>10000</v>
      </c>
      <c r="M2886" t="s">
        <v>23</v>
      </c>
      <c r="N2886">
        <v>1</v>
      </c>
    </row>
    <row r="2887" hidden="1" spans="1:14">
      <c r="A2887">
        <v>1095</v>
      </c>
      <c r="B2887">
        <v>0</v>
      </c>
      <c r="C2887" t="s">
        <v>475</v>
      </c>
      <c r="D2887">
        <v>0</v>
      </c>
      <c r="E2887">
        <v>86.0093</v>
      </c>
      <c r="F2887">
        <v>27.8829</v>
      </c>
      <c r="G2887">
        <v>3253.22</v>
      </c>
      <c r="H2887" s="1">
        <v>35266</v>
      </c>
      <c r="I2887" s="1">
        <v>35269</v>
      </c>
      <c r="J2887" t="s">
        <v>15</v>
      </c>
      <c r="K2887">
        <v>61</v>
      </c>
      <c r="L2887">
        <v>72</v>
      </c>
      <c r="M2887" t="s">
        <v>23</v>
      </c>
      <c r="N2887">
        <v>1</v>
      </c>
    </row>
    <row r="2888" hidden="1" spans="1:14">
      <c r="A2888">
        <v>1110</v>
      </c>
      <c r="B2888">
        <v>0</v>
      </c>
      <c r="C2888" t="s">
        <v>475</v>
      </c>
      <c r="D2888">
        <v>0</v>
      </c>
      <c r="E2888">
        <v>85.4779</v>
      </c>
      <c r="F2888">
        <v>27.9198</v>
      </c>
      <c r="G2888">
        <v>7996.37</v>
      </c>
      <c r="H2888" s="1">
        <v>35314</v>
      </c>
      <c r="I2888" s="1">
        <v>35321</v>
      </c>
      <c r="J2888" t="s">
        <v>15</v>
      </c>
      <c r="K2888">
        <v>20</v>
      </c>
      <c r="L2888">
        <v>1000</v>
      </c>
      <c r="M2888" t="s">
        <v>49</v>
      </c>
      <c r="N2888">
        <v>1</v>
      </c>
    </row>
    <row r="2889" hidden="1" spans="1:14">
      <c r="A2889">
        <v>1157</v>
      </c>
      <c r="B2889">
        <v>0</v>
      </c>
      <c r="C2889" t="s">
        <v>475</v>
      </c>
      <c r="D2889">
        <v>0</v>
      </c>
      <c r="E2889">
        <v>87.8099</v>
      </c>
      <c r="F2889">
        <v>26.9811</v>
      </c>
      <c r="G2889">
        <v>4625.21</v>
      </c>
      <c r="H2889" s="1">
        <v>35591</v>
      </c>
      <c r="I2889" s="1">
        <v>35592</v>
      </c>
      <c r="J2889" t="s">
        <v>15</v>
      </c>
      <c r="K2889">
        <v>20</v>
      </c>
      <c r="L2889">
        <v>0</v>
      </c>
      <c r="M2889" t="s">
        <v>23</v>
      </c>
      <c r="N2889">
        <v>1</v>
      </c>
    </row>
    <row r="2890" hidden="1" spans="1:14">
      <c r="A2890">
        <v>1269</v>
      </c>
      <c r="B2890">
        <v>0</v>
      </c>
      <c r="C2890" t="s">
        <v>475</v>
      </c>
      <c r="D2890">
        <v>0</v>
      </c>
      <c r="E2890">
        <v>87.0354</v>
      </c>
      <c r="F2890">
        <v>27.3761</v>
      </c>
      <c r="G2890">
        <v>25206.39</v>
      </c>
      <c r="H2890" s="1">
        <v>35650</v>
      </c>
      <c r="I2890" s="1">
        <v>35654</v>
      </c>
      <c r="J2890" t="s">
        <v>15</v>
      </c>
      <c r="K2890">
        <v>30</v>
      </c>
      <c r="L2890">
        <v>0</v>
      </c>
      <c r="M2890" t="s">
        <v>23</v>
      </c>
      <c r="N2890">
        <v>1</v>
      </c>
    </row>
    <row r="2891" hidden="1" spans="1:14">
      <c r="A2891">
        <v>1980</v>
      </c>
      <c r="B2891">
        <v>0</v>
      </c>
      <c r="C2891" t="s">
        <v>475</v>
      </c>
      <c r="D2891">
        <v>0</v>
      </c>
      <c r="E2891">
        <v>83.3552</v>
      </c>
      <c r="F2891">
        <v>27.5752</v>
      </c>
      <c r="G2891">
        <v>1921.2</v>
      </c>
      <c r="H2891" s="1">
        <v>37444</v>
      </c>
      <c r="I2891" s="1">
        <v>37446</v>
      </c>
      <c r="J2891" t="s">
        <v>15</v>
      </c>
      <c r="K2891">
        <v>0</v>
      </c>
      <c r="L2891">
        <v>0</v>
      </c>
      <c r="M2891" t="s">
        <v>16</v>
      </c>
      <c r="N2891">
        <v>1</v>
      </c>
    </row>
    <row r="2892" hidden="1" spans="1:14">
      <c r="A2892">
        <v>1990</v>
      </c>
      <c r="B2892">
        <v>0</v>
      </c>
      <c r="C2892" t="s">
        <v>475</v>
      </c>
      <c r="D2892">
        <v>0</v>
      </c>
      <c r="E2892">
        <v>86.8796</v>
      </c>
      <c r="F2892">
        <v>27.2934</v>
      </c>
      <c r="G2892">
        <v>1052.89</v>
      </c>
      <c r="H2892" s="1">
        <v>37451</v>
      </c>
      <c r="I2892" s="1">
        <v>37453</v>
      </c>
      <c r="J2892" t="s">
        <v>15</v>
      </c>
      <c r="K2892">
        <v>46</v>
      </c>
      <c r="L2892">
        <v>0</v>
      </c>
      <c r="M2892" t="s">
        <v>23</v>
      </c>
      <c r="N2892">
        <v>1</v>
      </c>
    </row>
    <row r="2893" hidden="1" spans="1:14">
      <c r="A2893">
        <v>1999</v>
      </c>
      <c r="B2893">
        <v>0</v>
      </c>
      <c r="C2893" t="s">
        <v>475</v>
      </c>
      <c r="D2893">
        <v>0</v>
      </c>
      <c r="E2893">
        <v>85.3065</v>
      </c>
      <c r="F2893">
        <v>27.6961</v>
      </c>
      <c r="G2893">
        <v>15065.71</v>
      </c>
      <c r="H2893" s="1">
        <v>37458</v>
      </c>
      <c r="I2893" s="1">
        <v>37483</v>
      </c>
      <c r="J2893" t="s">
        <v>15</v>
      </c>
      <c r="K2893">
        <v>380</v>
      </c>
      <c r="L2893">
        <v>250000</v>
      </c>
      <c r="M2893" t="s">
        <v>23</v>
      </c>
      <c r="N2893">
        <v>1</v>
      </c>
    </row>
    <row r="2894" hidden="1" spans="1:14">
      <c r="A2894">
        <v>2275</v>
      </c>
      <c r="B2894">
        <v>0</v>
      </c>
      <c r="C2894" t="s">
        <v>475</v>
      </c>
      <c r="D2894">
        <v>0</v>
      </c>
      <c r="E2894">
        <v>84.053</v>
      </c>
      <c r="F2894">
        <v>28.593</v>
      </c>
      <c r="G2894">
        <v>137086.59</v>
      </c>
      <c r="H2894" s="1">
        <v>37805</v>
      </c>
      <c r="I2894" s="1">
        <v>37853</v>
      </c>
      <c r="J2894" t="s">
        <v>15</v>
      </c>
      <c r="K2894">
        <v>217</v>
      </c>
      <c r="L2894">
        <v>4000</v>
      </c>
      <c r="M2894" t="s">
        <v>23</v>
      </c>
      <c r="N2894">
        <v>1</v>
      </c>
    </row>
    <row r="2895" hidden="1" spans="1:14">
      <c r="A2895">
        <v>2354</v>
      </c>
      <c r="B2895">
        <v>0</v>
      </c>
      <c r="C2895" t="s">
        <v>475</v>
      </c>
      <c r="D2895">
        <v>0</v>
      </c>
      <c r="E2895">
        <v>81.8672</v>
      </c>
      <c r="F2895">
        <v>29.1709</v>
      </c>
      <c r="G2895">
        <v>48760.16</v>
      </c>
      <c r="H2895" s="1">
        <v>37884</v>
      </c>
      <c r="I2895" s="1">
        <v>37887</v>
      </c>
      <c r="J2895" t="s">
        <v>15</v>
      </c>
      <c r="K2895">
        <v>18</v>
      </c>
      <c r="L2895">
        <v>0</v>
      </c>
      <c r="M2895" t="s">
        <v>16</v>
      </c>
      <c r="N2895">
        <v>2</v>
      </c>
    </row>
    <row r="2896" hidden="1" spans="1:14">
      <c r="A2896">
        <v>2519</v>
      </c>
      <c r="B2896">
        <v>0</v>
      </c>
      <c r="C2896" t="s">
        <v>475</v>
      </c>
      <c r="D2896" t="s">
        <v>165</v>
      </c>
      <c r="E2896">
        <v>86.2525</v>
      </c>
      <c r="F2896">
        <v>27.0864</v>
      </c>
      <c r="G2896">
        <v>65222.23</v>
      </c>
      <c r="H2896" s="1">
        <v>38173</v>
      </c>
      <c r="I2896" s="1">
        <v>38210</v>
      </c>
      <c r="J2896" t="s">
        <v>15</v>
      </c>
      <c r="K2896">
        <v>185</v>
      </c>
      <c r="L2896">
        <v>100000</v>
      </c>
      <c r="M2896" t="s">
        <v>23</v>
      </c>
      <c r="N2896">
        <v>1</v>
      </c>
    </row>
    <row r="2897" hidden="1" spans="1:14">
      <c r="A2897">
        <v>2737</v>
      </c>
      <c r="B2897">
        <v>0</v>
      </c>
      <c r="C2897" t="s">
        <v>475</v>
      </c>
      <c r="D2897">
        <v>0</v>
      </c>
      <c r="E2897">
        <v>80.5476</v>
      </c>
      <c r="F2897">
        <v>29.2938</v>
      </c>
      <c r="G2897">
        <v>8032.65</v>
      </c>
      <c r="H2897" s="1">
        <v>38620</v>
      </c>
      <c r="I2897" s="1">
        <v>38627</v>
      </c>
      <c r="J2897" t="s">
        <v>15</v>
      </c>
      <c r="K2897">
        <v>51</v>
      </c>
      <c r="L2897">
        <v>1600</v>
      </c>
      <c r="M2897" t="s">
        <v>23</v>
      </c>
      <c r="N2897">
        <v>1</v>
      </c>
    </row>
    <row r="2898" hidden="1" spans="1:14">
      <c r="A2898">
        <v>2857</v>
      </c>
      <c r="B2898">
        <v>0</v>
      </c>
      <c r="C2898" t="s">
        <v>475</v>
      </c>
      <c r="D2898">
        <v>0</v>
      </c>
      <c r="E2898">
        <v>83.5293</v>
      </c>
      <c r="F2898">
        <v>28.2515</v>
      </c>
      <c r="G2898">
        <v>1833.14</v>
      </c>
      <c r="H2898" s="1">
        <v>38843</v>
      </c>
      <c r="I2898" s="1">
        <v>38844</v>
      </c>
      <c r="J2898" t="s">
        <v>15</v>
      </c>
      <c r="K2898">
        <v>7</v>
      </c>
      <c r="L2898">
        <v>0</v>
      </c>
      <c r="M2898" t="s">
        <v>16</v>
      </c>
      <c r="N2898">
        <v>1</v>
      </c>
    </row>
    <row r="2899" hidden="1" spans="1:14">
      <c r="A2899">
        <v>2954</v>
      </c>
      <c r="B2899" t="s">
        <v>726</v>
      </c>
      <c r="C2899" t="s">
        <v>475</v>
      </c>
      <c r="D2899">
        <v>0</v>
      </c>
      <c r="E2899">
        <v>81.306</v>
      </c>
      <c r="F2899">
        <v>28.6941</v>
      </c>
      <c r="G2899">
        <v>14865.98</v>
      </c>
      <c r="H2899" s="1">
        <v>38955</v>
      </c>
      <c r="I2899" s="1">
        <v>38973</v>
      </c>
      <c r="J2899" t="s">
        <v>15</v>
      </c>
      <c r="K2899">
        <v>60</v>
      </c>
      <c r="L2899">
        <v>80000</v>
      </c>
      <c r="M2899" t="s">
        <v>23</v>
      </c>
      <c r="N2899">
        <v>2</v>
      </c>
    </row>
    <row r="2900" hidden="1" spans="1:14">
      <c r="A2900">
        <v>2968</v>
      </c>
      <c r="B2900">
        <v>0</v>
      </c>
      <c r="C2900" t="s">
        <v>475</v>
      </c>
      <c r="D2900">
        <v>0</v>
      </c>
      <c r="E2900">
        <v>85.9437</v>
      </c>
      <c r="F2900">
        <v>27.2573</v>
      </c>
      <c r="G2900">
        <v>26240.05</v>
      </c>
      <c r="H2900" s="1">
        <v>38985</v>
      </c>
      <c r="I2900" s="1">
        <v>38988</v>
      </c>
      <c r="J2900" t="s">
        <v>15</v>
      </c>
      <c r="K2900">
        <v>4</v>
      </c>
      <c r="L2900">
        <v>0</v>
      </c>
      <c r="M2900" t="s">
        <v>23</v>
      </c>
      <c r="N2900">
        <v>1</v>
      </c>
    </row>
    <row r="2901" hidden="1" spans="1:14">
      <c r="A2901">
        <v>3100</v>
      </c>
      <c r="B2901" t="s">
        <v>727</v>
      </c>
      <c r="C2901" t="s">
        <v>475</v>
      </c>
      <c r="D2901">
        <v>0</v>
      </c>
      <c r="E2901">
        <v>85.8627</v>
      </c>
      <c r="F2901">
        <v>26.9485</v>
      </c>
      <c r="G2901">
        <v>2704.51</v>
      </c>
      <c r="H2901" s="1">
        <v>39248</v>
      </c>
      <c r="I2901" s="1">
        <v>39251</v>
      </c>
      <c r="J2901" t="s">
        <v>15</v>
      </c>
      <c r="K2901">
        <v>0</v>
      </c>
      <c r="L2901">
        <v>400</v>
      </c>
      <c r="M2901" t="s">
        <v>23</v>
      </c>
      <c r="N2901">
        <v>1</v>
      </c>
    </row>
    <row r="2902" hidden="1" spans="1:14">
      <c r="A2902">
        <v>3143</v>
      </c>
      <c r="B2902" t="s">
        <v>728</v>
      </c>
      <c r="C2902" t="s">
        <v>475</v>
      </c>
      <c r="D2902">
        <v>0</v>
      </c>
      <c r="E2902">
        <v>84.0801</v>
      </c>
      <c r="F2902">
        <v>27.7772</v>
      </c>
      <c r="G2902">
        <v>56920.81</v>
      </c>
      <c r="H2902" s="1">
        <v>39286</v>
      </c>
      <c r="I2902" s="1">
        <v>39357</v>
      </c>
      <c r="J2902" t="s">
        <v>15</v>
      </c>
      <c r="K2902">
        <v>185</v>
      </c>
      <c r="L2902">
        <v>86000</v>
      </c>
      <c r="M2902" t="s">
        <v>23</v>
      </c>
      <c r="N2902">
        <v>1</v>
      </c>
    </row>
    <row r="2903" hidden="1" spans="1:14">
      <c r="A2903">
        <v>3365</v>
      </c>
      <c r="B2903">
        <v>0</v>
      </c>
      <c r="C2903" t="s">
        <v>475</v>
      </c>
      <c r="E2903">
        <v>84.9232</v>
      </c>
      <c r="F2903">
        <v>26.9506</v>
      </c>
      <c r="G2903">
        <v>163725.65</v>
      </c>
      <c r="H2903" s="1">
        <v>39678</v>
      </c>
      <c r="I2903" s="1">
        <v>39715</v>
      </c>
      <c r="J2903" t="s">
        <v>15</v>
      </c>
      <c r="K2903">
        <v>400</v>
      </c>
      <c r="L2903">
        <v>10000000</v>
      </c>
      <c r="M2903" t="s">
        <v>490</v>
      </c>
      <c r="N2903">
        <v>2</v>
      </c>
    </row>
    <row r="2904" hidden="1" spans="1:14">
      <c r="A2904">
        <v>3383</v>
      </c>
      <c r="B2904">
        <v>0</v>
      </c>
      <c r="C2904" t="s">
        <v>475</v>
      </c>
      <c r="E2904">
        <v>78.9384</v>
      </c>
      <c r="F2904">
        <v>30.5218</v>
      </c>
      <c r="G2904">
        <v>168134.51</v>
      </c>
      <c r="H2904" s="1">
        <v>39713</v>
      </c>
      <c r="I2904" s="1">
        <v>39720</v>
      </c>
      <c r="J2904" t="s">
        <v>15</v>
      </c>
      <c r="K2904">
        <v>49</v>
      </c>
      <c r="L2904">
        <v>13000</v>
      </c>
      <c r="M2904" t="s">
        <v>54</v>
      </c>
      <c r="N2904">
        <v>2</v>
      </c>
    </row>
    <row r="2905" hidden="1" spans="1:14">
      <c r="A2905">
        <v>3516</v>
      </c>
      <c r="B2905">
        <v>0</v>
      </c>
      <c r="C2905" t="s">
        <v>475</v>
      </c>
      <c r="D2905">
        <v>0</v>
      </c>
      <c r="E2905">
        <v>85.7081</v>
      </c>
      <c r="F2905">
        <v>28.0015</v>
      </c>
      <c r="G2905">
        <v>18726.64</v>
      </c>
      <c r="H2905" s="1">
        <v>40020</v>
      </c>
      <c r="I2905" s="1">
        <v>40022</v>
      </c>
      <c r="J2905">
        <v>0</v>
      </c>
      <c r="K2905">
        <v>22</v>
      </c>
      <c r="L2905">
        <v>0</v>
      </c>
      <c r="M2905" t="s">
        <v>138</v>
      </c>
      <c r="N2905">
        <v>1</v>
      </c>
    </row>
    <row r="2906" hidden="1" spans="1:14">
      <c r="A2906">
        <v>3532</v>
      </c>
      <c r="B2906">
        <v>0</v>
      </c>
      <c r="C2906" t="s">
        <v>475</v>
      </c>
      <c r="D2906">
        <v>0</v>
      </c>
      <c r="E2906">
        <v>88.1319</v>
      </c>
      <c r="F2906">
        <v>27.0167</v>
      </c>
      <c r="G2906">
        <v>13717.1</v>
      </c>
      <c r="H2906" s="1">
        <v>40041</v>
      </c>
      <c r="I2906" s="1">
        <v>40047</v>
      </c>
      <c r="J2906">
        <v>0</v>
      </c>
      <c r="K2906">
        <v>7</v>
      </c>
      <c r="L2906">
        <v>6265</v>
      </c>
      <c r="M2906" t="s">
        <v>49</v>
      </c>
      <c r="N2906">
        <v>1</v>
      </c>
    </row>
    <row r="2907" hidden="1" spans="1:14">
      <c r="A2907">
        <v>3553</v>
      </c>
      <c r="B2907" t="s">
        <v>729</v>
      </c>
      <c r="C2907" t="s">
        <v>475</v>
      </c>
      <c r="D2907">
        <v>0</v>
      </c>
      <c r="E2907">
        <v>80.7639</v>
      </c>
      <c r="F2907">
        <v>29.8119</v>
      </c>
      <c r="G2907">
        <v>129718.42</v>
      </c>
      <c r="H2907" s="1">
        <v>40090</v>
      </c>
      <c r="I2907" s="1">
        <v>40098</v>
      </c>
      <c r="J2907">
        <v>0</v>
      </c>
      <c r="K2907">
        <v>45</v>
      </c>
      <c r="L2907">
        <v>0</v>
      </c>
      <c r="M2907" t="s">
        <v>49</v>
      </c>
      <c r="N2907">
        <v>2</v>
      </c>
    </row>
    <row r="2908" hidden="1" spans="1:14">
      <c r="A2908">
        <v>3690</v>
      </c>
      <c r="B2908">
        <v>0</v>
      </c>
      <c r="C2908" t="s">
        <v>475</v>
      </c>
      <c r="D2908">
        <v>0</v>
      </c>
      <c r="E2908">
        <v>84.7848</v>
      </c>
      <c r="F2908">
        <v>28.3526</v>
      </c>
      <c r="G2908">
        <v>132628.58</v>
      </c>
      <c r="H2908" s="1">
        <v>40384</v>
      </c>
      <c r="I2908" s="1">
        <v>40384</v>
      </c>
      <c r="J2908">
        <v>0</v>
      </c>
      <c r="K2908">
        <v>12</v>
      </c>
      <c r="L2908">
        <v>0</v>
      </c>
      <c r="M2908" t="s">
        <v>49</v>
      </c>
      <c r="N2908">
        <v>1</v>
      </c>
    </row>
    <row r="2909" hidden="1" spans="1:14">
      <c r="A2909">
        <v>3838</v>
      </c>
      <c r="C2909" t="s">
        <v>475</v>
      </c>
      <c r="E2909">
        <v>82.2779</v>
      </c>
      <c r="F2909">
        <v>28.9081</v>
      </c>
      <c r="G2909">
        <v>46388.45</v>
      </c>
      <c r="H2909" s="1">
        <v>40726</v>
      </c>
      <c r="I2909" s="1">
        <v>40746</v>
      </c>
      <c r="J2909" t="s">
        <v>15</v>
      </c>
      <c r="K2909">
        <v>15</v>
      </c>
      <c r="L2909">
        <v>0</v>
      </c>
      <c r="M2909" t="s">
        <v>54</v>
      </c>
      <c r="N2909">
        <v>1.5</v>
      </c>
    </row>
    <row r="2910" hidden="1" spans="1:14">
      <c r="A2910">
        <v>3923</v>
      </c>
      <c r="B2910" t="s">
        <v>730</v>
      </c>
      <c r="C2910" t="s">
        <v>475</v>
      </c>
      <c r="E2910">
        <v>83.8307</v>
      </c>
      <c r="F2910">
        <v>28.524</v>
      </c>
      <c r="G2910">
        <v>4395.45</v>
      </c>
      <c r="H2910" s="1">
        <v>41034</v>
      </c>
      <c r="I2910" s="1">
        <v>41036</v>
      </c>
      <c r="J2910" t="s">
        <v>15</v>
      </c>
      <c r="K2910">
        <v>17</v>
      </c>
      <c r="L2910">
        <v>0</v>
      </c>
      <c r="M2910" t="s">
        <v>731</v>
      </c>
      <c r="N2910">
        <v>2</v>
      </c>
    </row>
    <row r="2911" hidden="1" spans="1:14">
      <c r="A2911">
        <v>4162</v>
      </c>
      <c r="C2911" t="s">
        <v>475</v>
      </c>
      <c r="E2911">
        <v>84.6207</v>
      </c>
      <c r="F2911">
        <v>28.4737</v>
      </c>
      <c r="G2911">
        <v>11578.77</v>
      </c>
      <c r="H2911" s="1">
        <v>41821</v>
      </c>
      <c r="I2911" s="1">
        <v>41834</v>
      </c>
      <c r="J2911" t="s">
        <v>15</v>
      </c>
      <c r="K2911">
        <v>16</v>
      </c>
      <c r="L2911">
        <v>2400</v>
      </c>
      <c r="M2911" t="s">
        <v>52</v>
      </c>
      <c r="N2911">
        <v>1.5</v>
      </c>
    </row>
    <row r="2912" hidden="1" spans="1:14">
      <c r="A2912">
        <v>4170</v>
      </c>
      <c r="C2912" t="s">
        <v>475</v>
      </c>
      <c r="E2912">
        <v>81.9731</v>
      </c>
      <c r="F2912">
        <v>28.9832</v>
      </c>
      <c r="G2912">
        <v>55212.66</v>
      </c>
      <c r="H2912" s="1">
        <v>41863</v>
      </c>
      <c r="I2912" s="1">
        <v>41890</v>
      </c>
      <c r="J2912" t="s">
        <v>15</v>
      </c>
      <c r="K2912">
        <v>180</v>
      </c>
      <c r="L2912">
        <v>17000</v>
      </c>
      <c r="M2912" t="s">
        <v>54</v>
      </c>
      <c r="N2912">
        <v>1.5</v>
      </c>
    </row>
    <row r="2913" hidden="1" spans="1:14">
      <c r="A2913">
        <v>4262</v>
      </c>
      <c r="B2913" t="s">
        <v>732</v>
      </c>
      <c r="C2913" t="s">
        <v>475</v>
      </c>
      <c r="E2913">
        <v>87.3919</v>
      </c>
      <c r="F2913">
        <v>27.4682</v>
      </c>
      <c r="G2913">
        <v>12034.28</v>
      </c>
      <c r="H2913" s="1">
        <v>42165</v>
      </c>
      <c r="I2913" s="1">
        <v>42170</v>
      </c>
      <c r="J2913" t="s">
        <v>15</v>
      </c>
      <c r="K2913">
        <v>40</v>
      </c>
      <c r="L2913">
        <v>0</v>
      </c>
      <c r="M2913" t="s">
        <v>54</v>
      </c>
      <c r="N2913">
        <v>1</v>
      </c>
    </row>
    <row r="2914" hidden="1" spans="1:14">
      <c r="A2914">
        <v>4373</v>
      </c>
      <c r="B2914" t="s">
        <v>733</v>
      </c>
      <c r="C2914" t="s">
        <v>475</v>
      </c>
      <c r="E2914">
        <v>86.0311</v>
      </c>
      <c r="F2914">
        <v>27.5804</v>
      </c>
      <c r="G2914">
        <v>8685.95</v>
      </c>
      <c r="H2914" s="1">
        <v>42555</v>
      </c>
      <c r="I2914" s="1">
        <v>42585</v>
      </c>
      <c r="J2914" t="s">
        <v>15</v>
      </c>
      <c r="K2914">
        <v>40</v>
      </c>
      <c r="L2914">
        <v>5376</v>
      </c>
      <c r="M2914" t="s">
        <v>52</v>
      </c>
      <c r="N2914">
        <v>1.5</v>
      </c>
    </row>
    <row r="2915" hidden="1" spans="1:14">
      <c r="A2915">
        <v>4490</v>
      </c>
      <c r="C2915" t="s">
        <v>475</v>
      </c>
      <c r="E2915">
        <v>86.427</v>
      </c>
      <c r="F2915">
        <v>27.295</v>
      </c>
      <c r="G2915">
        <v>54260.54</v>
      </c>
      <c r="H2915" s="1">
        <v>42916</v>
      </c>
      <c r="I2915" s="1">
        <v>42919</v>
      </c>
      <c r="J2915" t="s">
        <v>15</v>
      </c>
      <c r="K2915">
        <v>11</v>
      </c>
      <c r="L2915">
        <v>6000</v>
      </c>
      <c r="M2915" t="s">
        <v>52</v>
      </c>
      <c r="N2915">
        <v>1</v>
      </c>
    </row>
    <row r="2916" hidden="1" spans="1:14">
      <c r="A2916">
        <v>4509</v>
      </c>
      <c r="B2916" t="s">
        <v>734</v>
      </c>
      <c r="C2916" t="s">
        <v>475</v>
      </c>
      <c r="E2916">
        <v>83.8784</v>
      </c>
      <c r="F2916">
        <v>27.9409</v>
      </c>
      <c r="G2916">
        <v>64676.5</v>
      </c>
      <c r="H2916" s="1">
        <v>42958</v>
      </c>
      <c r="I2916" s="1">
        <v>42973</v>
      </c>
      <c r="J2916" t="s">
        <v>15</v>
      </c>
      <c r="K2916">
        <v>62</v>
      </c>
      <c r="L2916">
        <v>1500</v>
      </c>
      <c r="M2916" t="s">
        <v>54</v>
      </c>
      <c r="N2916">
        <v>1.5</v>
      </c>
    </row>
    <row r="2917" hidden="1" spans="1:14">
      <c r="A2917">
        <v>4646</v>
      </c>
      <c r="C2917" t="s">
        <v>475</v>
      </c>
      <c r="E2917">
        <v>84.398</v>
      </c>
      <c r="F2917">
        <v>28.2382</v>
      </c>
      <c r="G2917">
        <v>85852.14</v>
      </c>
      <c r="H2917" s="1">
        <v>43282</v>
      </c>
      <c r="I2917" s="1">
        <v>43292</v>
      </c>
      <c r="J2917" t="s">
        <v>58</v>
      </c>
      <c r="K2917">
        <v>12</v>
      </c>
      <c r="L2917">
        <v>100</v>
      </c>
      <c r="M2917" t="s">
        <v>54</v>
      </c>
      <c r="N2917">
        <v>1</v>
      </c>
    </row>
    <row r="2918" hidden="1" spans="1:14">
      <c r="A2918">
        <v>4768</v>
      </c>
      <c r="C2918" t="s">
        <v>475</v>
      </c>
      <c r="E2918">
        <v>84.1505</v>
      </c>
      <c r="F2918">
        <v>27.6926</v>
      </c>
      <c r="G2918">
        <v>87390.9</v>
      </c>
      <c r="H2918" s="1">
        <v>43657</v>
      </c>
      <c r="I2918" s="1">
        <v>43659</v>
      </c>
      <c r="J2918" t="s">
        <v>56</v>
      </c>
      <c r="K2918">
        <v>30</v>
      </c>
      <c r="L2918">
        <v>300</v>
      </c>
      <c r="M2918" t="s">
        <v>54</v>
      </c>
      <c r="N2918">
        <v>1.5</v>
      </c>
    </row>
    <row r="2919" hidden="1" spans="1:14">
      <c r="A2919">
        <v>5088</v>
      </c>
      <c r="C2919" t="s">
        <v>475</v>
      </c>
      <c r="D2919" t="s">
        <v>165</v>
      </c>
      <c r="E2919">
        <v>86.13</v>
      </c>
      <c r="F2919">
        <v>28.2008</v>
      </c>
      <c r="G2919">
        <v>158360.51</v>
      </c>
      <c r="H2919" s="1">
        <v>44331</v>
      </c>
      <c r="I2919" s="1">
        <v>44368</v>
      </c>
      <c r="J2919" t="s">
        <v>56</v>
      </c>
      <c r="K2919">
        <v>15</v>
      </c>
      <c r="L2919">
        <v>100</v>
      </c>
      <c r="M2919" t="s">
        <v>54</v>
      </c>
      <c r="N2919">
        <v>1.5</v>
      </c>
    </row>
    <row r="2920" hidden="1" spans="1:14">
      <c r="A2920">
        <v>5090</v>
      </c>
      <c r="C2920" t="s">
        <v>475</v>
      </c>
      <c r="E2920">
        <v>84.0021</v>
      </c>
      <c r="F2920">
        <v>28.3125</v>
      </c>
      <c r="G2920">
        <v>111105.91</v>
      </c>
      <c r="H2920" s="1">
        <v>44378</v>
      </c>
      <c r="I2920" s="1">
        <v>44381</v>
      </c>
      <c r="J2920" t="s">
        <v>56</v>
      </c>
      <c r="K2920">
        <v>10</v>
      </c>
      <c r="L2920">
        <v>150</v>
      </c>
      <c r="M2920" t="s">
        <v>735</v>
      </c>
      <c r="N2920">
        <v>1.5</v>
      </c>
    </row>
    <row r="2921" hidden="1" spans="1:14">
      <c r="A2921">
        <v>250</v>
      </c>
      <c r="B2921">
        <v>0</v>
      </c>
      <c r="C2921" t="s">
        <v>736</v>
      </c>
      <c r="D2921">
        <v>0</v>
      </c>
      <c r="E2921">
        <v>82.4632</v>
      </c>
      <c r="F2921">
        <v>28.7764</v>
      </c>
      <c r="G2921">
        <v>27591.4</v>
      </c>
      <c r="H2921" s="1">
        <v>32406</v>
      </c>
      <c r="I2921" s="1">
        <v>32407</v>
      </c>
      <c r="J2921" t="s">
        <v>15</v>
      </c>
      <c r="K2921">
        <v>106</v>
      </c>
      <c r="L2921">
        <v>56</v>
      </c>
      <c r="M2921" t="s">
        <v>64</v>
      </c>
      <c r="N2921">
        <v>1</v>
      </c>
    </row>
    <row r="2922" hidden="1" spans="1:14">
      <c r="A2922">
        <v>1764</v>
      </c>
      <c r="B2922">
        <v>0</v>
      </c>
      <c r="C2922" t="s">
        <v>736</v>
      </c>
      <c r="D2922">
        <v>0</v>
      </c>
      <c r="E2922">
        <v>81.6241</v>
      </c>
      <c r="F2922">
        <v>29.2973</v>
      </c>
      <c r="G2922">
        <v>1303.73</v>
      </c>
      <c r="H2922" s="1">
        <v>37101</v>
      </c>
      <c r="I2922" s="1">
        <v>37104</v>
      </c>
      <c r="J2922" t="s">
        <v>15</v>
      </c>
      <c r="K2922">
        <v>20</v>
      </c>
      <c r="L2922">
        <v>100</v>
      </c>
      <c r="M2922" t="s">
        <v>23</v>
      </c>
      <c r="N2922">
        <v>1</v>
      </c>
    </row>
    <row r="2923" hidden="1" spans="1:14">
      <c r="A2923">
        <v>1788</v>
      </c>
      <c r="B2923">
        <v>0</v>
      </c>
      <c r="C2923" t="s">
        <v>736</v>
      </c>
      <c r="D2923">
        <v>0</v>
      </c>
      <c r="E2923">
        <v>84.7936</v>
      </c>
      <c r="F2923">
        <v>27.8394</v>
      </c>
      <c r="G2923">
        <v>563.403</v>
      </c>
      <c r="H2923" s="1">
        <v>37132</v>
      </c>
      <c r="I2923" s="1">
        <v>37137</v>
      </c>
      <c r="J2923" t="s">
        <v>15</v>
      </c>
      <c r="K2923">
        <v>17</v>
      </c>
      <c r="L2923">
        <v>0</v>
      </c>
      <c r="M2923" t="s">
        <v>18</v>
      </c>
      <c r="N2923">
        <v>1</v>
      </c>
    </row>
    <row r="2924" hidden="1" spans="1:14">
      <c r="A2924">
        <v>1805</v>
      </c>
      <c r="B2924">
        <v>0</v>
      </c>
      <c r="C2924" t="s">
        <v>736</v>
      </c>
      <c r="D2924">
        <v>0</v>
      </c>
      <c r="E2924">
        <v>87.1208</v>
      </c>
      <c r="F2924">
        <v>26.6674</v>
      </c>
      <c r="G2924">
        <v>8297.09</v>
      </c>
      <c r="H2924" s="1">
        <v>37169</v>
      </c>
      <c r="I2924" s="1">
        <v>37171</v>
      </c>
      <c r="J2924" t="s">
        <v>15</v>
      </c>
      <c r="K2924">
        <v>2</v>
      </c>
      <c r="L2924">
        <v>800</v>
      </c>
      <c r="M2924" t="s">
        <v>86</v>
      </c>
      <c r="N2924">
        <v>1</v>
      </c>
    </row>
    <row r="2925" hidden="1" spans="1:14">
      <c r="A2925">
        <v>4609</v>
      </c>
      <c r="C2925" t="s">
        <v>156</v>
      </c>
      <c r="D2925" t="s">
        <v>155</v>
      </c>
      <c r="E2925">
        <v>5.86212</v>
      </c>
      <c r="F2925">
        <v>50.6905</v>
      </c>
      <c r="G2925">
        <v>40284.5</v>
      </c>
      <c r="H2925" s="1">
        <v>43219</v>
      </c>
      <c r="I2925" s="1">
        <v>43220</v>
      </c>
      <c r="J2925" t="s">
        <v>56</v>
      </c>
      <c r="K2925">
        <v>5</v>
      </c>
      <c r="L2925">
        <v>0</v>
      </c>
      <c r="M2925" t="s">
        <v>52</v>
      </c>
      <c r="N2925">
        <v>1.5</v>
      </c>
    </row>
    <row r="2926" hidden="1" spans="1:14">
      <c r="A2926">
        <v>275</v>
      </c>
      <c r="B2926">
        <v>0</v>
      </c>
      <c r="C2926" t="s">
        <v>737</v>
      </c>
      <c r="D2926">
        <v>0</v>
      </c>
      <c r="E2926">
        <v>165.503</v>
      </c>
      <c r="F2926">
        <v>-21.2427</v>
      </c>
      <c r="G2926">
        <v>18853.46</v>
      </c>
      <c r="H2926" s="1">
        <v>32510</v>
      </c>
      <c r="I2926" s="1">
        <v>32516</v>
      </c>
      <c r="J2926" t="s">
        <v>15</v>
      </c>
      <c r="K2926">
        <v>196</v>
      </c>
      <c r="L2926">
        <v>532000</v>
      </c>
      <c r="M2926" t="s">
        <v>86</v>
      </c>
      <c r="N2926">
        <v>1</v>
      </c>
    </row>
    <row r="2927" hidden="1" spans="1:14">
      <c r="A2927">
        <v>4907</v>
      </c>
      <c r="C2927" t="s">
        <v>737</v>
      </c>
      <c r="E2927">
        <v>165.854</v>
      </c>
      <c r="F2927">
        <v>-21.4883</v>
      </c>
      <c r="G2927">
        <v>8299.71</v>
      </c>
      <c r="H2927" s="1">
        <v>43939</v>
      </c>
      <c r="I2927" s="1">
        <v>43943</v>
      </c>
      <c r="J2927" t="s">
        <v>56</v>
      </c>
      <c r="K2927">
        <v>0</v>
      </c>
      <c r="L2927">
        <v>0</v>
      </c>
      <c r="M2927" t="s">
        <v>52</v>
      </c>
      <c r="N2927">
        <v>1</v>
      </c>
    </row>
    <row r="2928" hidden="1" spans="1:14">
      <c r="A2928">
        <v>7</v>
      </c>
      <c r="B2928">
        <v>0</v>
      </c>
      <c r="C2928" t="s">
        <v>117</v>
      </c>
      <c r="D2928">
        <v>0</v>
      </c>
      <c r="E2928">
        <v>175.734</v>
      </c>
      <c r="F2928">
        <v>-37.2305</v>
      </c>
      <c r="G2928">
        <v>7871.37</v>
      </c>
      <c r="H2928" s="1">
        <v>31095</v>
      </c>
      <c r="I2928" s="1">
        <v>31096</v>
      </c>
      <c r="J2928" t="s">
        <v>15</v>
      </c>
      <c r="K2928">
        <v>4</v>
      </c>
      <c r="L2928">
        <v>200</v>
      </c>
      <c r="M2928" t="s">
        <v>16</v>
      </c>
      <c r="N2928">
        <v>1</v>
      </c>
    </row>
    <row r="2929" hidden="1" spans="1:14">
      <c r="A2929">
        <v>1411</v>
      </c>
      <c r="B2929">
        <v>0</v>
      </c>
      <c r="C2929" t="s">
        <v>117</v>
      </c>
      <c r="D2929">
        <v>0</v>
      </c>
      <c r="E2929">
        <v>174.495</v>
      </c>
      <c r="F2929">
        <v>-40.5821</v>
      </c>
      <c r="G2929">
        <v>90967.35</v>
      </c>
      <c r="H2929" s="1">
        <v>35976</v>
      </c>
      <c r="I2929" s="1">
        <v>35996</v>
      </c>
      <c r="J2929" t="s">
        <v>15</v>
      </c>
      <c r="K2929">
        <v>0</v>
      </c>
      <c r="L2929">
        <v>40</v>
      </c>
      <c r="M2929" t="s">
        <v>16</v>
      </c>
      <c r="N2929">
        <v>2</v>
      </c>
    </row>
    <row r="2930" hidden="1" spans="1:14">
      <c r="A2930">
        <v>1878</v>
      </c>
      <c r="B2930">
        <v>0</v>
      </c>
      <c r="C2930" t="s">
        <v>117</v>
      </c>
      <c r="D2930">
        <v>0</v>
      </c>
      <c r="E2930">
        <v>171.889</v>
      </c>
      <c r="F2930">
        <v>-43.8051</v>
      </c>
      <c r="G2930">
        <v>8029.25</v>
      </c>
      <c r="H2930" s="1">
        <v>37268</v>
      </c>
      <c r="I2930" s="1">
        <v>37271</v>
      </c>
      <c r="J2930" t="s">
        <v>15</v>
      </c>
      <c r="K2930">
        <v>0</v>
      </c>
      <c r="L2930">
        <v>0</v>
      </c>
      <c r="M2930" t="s">
        <v>16</v>
      </c>
      <c r="N2930">
        <v>2</v>
      </c>
    </row>
    <row r="2931" hidden="1" spans="1:14">
      <c r="A2931">
        <v>1961</v>
      </c>
      <c r="B2931">
        <v>0</v>
      </c>
      <c r="C2931" t="s">
        <v>117</v>
      </c>
      <c r="D2931">
        <v>0</v>
      </c>
      <c r="E2931">
        <v>175.172</v>
      </c>
      <c r="F2931">
        <v>-37.2605</v>
      </c>
      <c r="G2931">
        <v>6481.41</v>
      </c>
      <c r="H2931" s="1">
        <v>37428</v>
      </c>
      <c r="I2931" s="1">
        <v>37430</v>
      </c>
      <c r="J2931" t="s">
        <v>15</v>
      </c>
      <c r="K2931">
        <v>1</v>
      </c>
      <c r="L2931">
        <v>0</v>
      </c>
      <c r="M2931" t="s">
        <v>16</v>
      </c>
      <c r="N2931">
        <v>2</v>
      </c>
    </row>
    <row r="2932" hidden="1" spans="1:14">
      <c r="A2932">
        <v>1985</v>
      </c>
      <c r="B2932">
        <v>0</v>
      </c>
      <c r="C2932" t="s">
        <v>117</v>
      </c>
      <c r="D2932">
        <v>0</v>
      </c>
      <c r="E2932">
        <v>174.757</v>
      </c>
      <c r="F2932">
        <v>-36.9518</v>
      </c>
      <c r="G2932">
        <v>6948.68</v>
      </c>
      <c r="H2932" s="1">
        <v>37449</v>
      </c>
      <c r="I2932" s="1">
        <v>37452</v>
      </c>
      <c r="J2932" t="s">
        <v>15</v>
      </c>
      <c r="K2932">
        <v>0</v>
      </c>
      <c r="L2932">
        <v>0</v>
      </c>
      <c r="M2932" t="s">
        <v>16</v>
      </c>
      <c r="N2932">
        <v>1</v>
      </c>
    </row>
    <row r="2933" hidden="1" spans="1:14">
      <c r="A2933">
        <v>2053</v>
      </c>
      <c r="B2933">
        <v>0</v>
      </c>
      <c r="C2933" t="s">
        <v>117</v>
      </c>
      <c r="D2933">
        <v>0</v>
      </c>
      <c r="E2933">
        <v>168.593</v>
      </c>
      <c r="F2933">
        <v>-44.9509</v>
      </c>
      <c r="G2933">
        <v>5096.88</v>
      </c>
      <c r="H2933" s="1">
        <v>37518</v>
      </c>
      <c r="I2933" s="1">
        <v>37520</v>
      </c>
      <c r="J2933" t="s">
        <v>15</v>
      </c>
      <c r="K2933">
        <v>0</v>
      </c>
      <c r="L2933">
        <v>0</v>
      </c>
      <c r="M2933" t="s">
        <v>16</v>
      </c>
      <c r="N2933">
        <v>1</v>
      </c>
    </row>
    <row r="2934" hidden="1" spans="1:14">
      <c r="A2934">
        <v>2090</v>
      </c>
      <c r="B2934">
        <v>0</v>
      </c>
      <c r="C2934" t="s">
        <v>117</v>
      </c>
      <c r="D2934">
        <v>0</v>
      </c>
      <c r="E2934">
        <v>172.869</v>
      </c>
      <c r="F2934">
        <v>-43.6673</v>
      </c>
      <c r="G2934">
        <v>600.754</v>
      </c>
      <c r="H2934" s="1">
        <v>37579</v>
      </c>
      <c r="I2934" s="1">
        <v>37581</v>
      </c>
      <c r="J2934" t="s">
        <v>15</v>
      </c>
      <c r="K2934">
        <v>0</v>
      </c>
      <c r="L2934">
        <v>0</v>
      </c>
      <c r="M2934" t="s">
        <v>16</v>
      </c>
      <c r="N2934">
        <v>1</v>
      </c>
    </row>
    <row r="2935" hidden="1" spans="1:14">
      <c r="A2935">
        <v>2123</v>
      </c>
      <c r="B2935">
        <v>0</v>
      </c>
      <c r="C2935" t="s">
        <v>117</v>
      </c>
      <c r="D2935">
        <v>0</v>
      </c>
      <c r="E2935">
        <v>175.631</v>
      </c>
      <c r="F2935">
        <v>-37.1744</v>
      </c>
      <c r="G2935">
        <v>4201.56</v>
      </c>
      <c r="H2935" s="1">
        <v>37629</v>
      </c>
      <c r="I2935" s="1">
        <v>37632</v>
      </c>
      <c r="J2935" t="s">
        <v>15</v>
      </c>
      <c r="K2935">
        <v>0</v>
      </c>
      <c r="L2935">
        <v>0</v>
      </c>
      <c r="M2935" t="s">
        <v>16</v>
      </c>
      <c r="N2935">
        <v>1</v>
      </c>
    </row>
    <row r="2936" hidden="1" spans="1:14">
      <c r="A2936">
        <v>2192</v>
      </c>
      <c r="B2936">
        <v>0</v>
      </c>
      <c r="C2936" t="s">
        <v>117</v>
      </c>
      <c r="D2936">
        <v>0</v>
      </c>
      <c r="E2936">
        <v>173.329</v>
      </c>
      <c r="F2936">
        <v>-34.945</v>
      </c>
      <c r="G2936">
        <v>1367.86</v>
      </c>
      <c r="H2936" s="1">
        <v>37707</v>
      </c>
      <c r="I2936" s="1">
        <v>37709</v>
      </c>
      <c r="J2936" t="s">
        <v>15</v>
      </c>
      <c r="K2936">
        <v>1</v>
      </c>
      <c r="L2936">
        <v>50</v>
      </c>
      <c r="M2936" t="s">
        <v>16</v>
      </c>
      <c r="N2936">
        <v>1</v>
      </c>
    </row>
    <row r="2937" hidden="1" spans="1:14">
      <c r="A2937">
        <v>2267</v>
      </c>
      <c r="B2937">
        <v>0</v>
      </c>
      <c r="C2937" t="s">
        <v>117</v>
      </c>
      <c r="D2937">
        <v>0</v>
      </c>
      <c r="E2937">
        <v>172.993</v>
      </c>
      <c r="F2937">
        <v>-41.3947</v>
      </c>
      <c r="G2937">
        <v>1766.2</v>
      </c>
      <c r="H2937" s="1">
        <v>37800</v>
      </c>
      <c r="I2937" s="1">
        <v>37802</v>
      </c>
      <c r="J2937" t="s">
        <v>15</v>
      </c>
      <c r="K2937">
        <v>0</v>
      </c>
      <c r="L2937">
        <v>0</v>
      </c>
      <c r="M2937" t="s">
        <v>16</v>
      </c>
      <c r="N2937">
        <v>1</v>
      </c>
    </row>
    <row r="2938" hidden="1" spans="1:14">
      <c r="A2938">
        <v>2363</v>
      </c>
      <c r="B2938">
        <v>0</v>
      </c>
      <c r="C2938" t="s">
        <v>117</v>
      </c>
      <c r="D2938">
        <v>0</v>
      </c>
      <c r="E2938">
        <v>174.84</v>
      </c>
      <c r="F2938">
        <v>-41.1902</v>
      </c>
      <c r="G2938">
        <v>923.127</v>
      </c>
      <c r="H2938" s="1">
        <v>37897</v>
      </c>
      <c r="I2938" s="1">
        <v>37898</v>
      </c>
      <c r="J2938" t="s">
        <v>15</v>
      </c>
      <c r="K2938">
        <v>2</v>
      </c>
      <c r="L2938">
        <v>0</v>
      </c>
      <c r="M2938" t="s">
        <v>16</v>
      </c>
      <c r="N2938">
        <v>1</v>
      </c>
    </row>
    <row r="2939" hidden="1" spans="1:14">
      <c r="A2939">
        <v>2435</v>
      </c>
      <c r="B2939">
        <v>0</v>
      </c>
      <c r="C2939" t="s">
        <v>117</v>
      </c>
      <c r="D2939">
        <v>0</v>
      </c>
      <c r="E2939">
        <v>175.533</v>
      </c>
      <c r="F2939">
        <v>-40.1531</v>
      </c>
      <c r="G2939">
        <v>14841.55</v>
      </c>
      <c r="H2939" s="1">
        <v>38030</v>
      </c>
      <c r="I2939" s="1">
        <v>38042</v>
      </c>
      <c r="J2939" t="s">
        <v>15</v>
      </c>
      <c r="K2939">
        <v>2</v>
      </c>
      <c r="L2939">
        <v>2500</v>
      </c>
      <c r="M2939" t="s">
        <v>16</v>
      </c>
      <c r="N2939">
        <v>2</v>
      </c>
    </row>
    <row r="2940" hidden="1" spans="1:14">
      <c r="A2940">
        <v>2528</v>
      </c>
      <c r="B2940">
        <v>0</v>
      </c>
      <c r="C2940" t="s">
        <v>117</v>
      </c>
      <c r="D2940">
        <v>0</v>
      </c>
      <c r="E2940">
        <v>176.898</v>
      </c>
      <c r="F2940">
        <v>-38.3926</v>
      </c>
      <c r="G2940">
        <v>6966.13</v>
      </c>
      <c r="H2940" s="1">
        <v>38186</v>
      </c>
      <c r="I2940" s="1">
        <v>38197</v>
      </c>
      <c r="J2940" t="s">
        <v>15</v>
      </c>
      <c r="K2940">
        <v>2</v>
      </c>
      <c r="L2940">
        <v>2850</v>
      </c>
      <c r="M2940" t="s">
        <v>16</v>
      </c>
      <c r="N2940">
        <v>2</v>
      </c>
    </row>
    <row r="2941" hidden="1" spans="1:14">
      <c r="A2941">
        <v>2607</v>
      </c>
      <c r="B2941">
        <v>0</v>
      </c>
      <c r="C2941" t="s">
        <v>117</v>
      </c>
      <c r="D2941">
        <v>0</v>
      </c>
      <c r="E2941">
        <v>174.975</v>
      </c>
      <c r="F2941">
        <v>-40.9561</v>
      </c>
      <c r="G2941">
        <v>1559.24</v>
      </c>
      <c r="H2941" s="1">
        <v>38359</v>
      </c>
      <c r="I2941" s="1">
        <v>38362</v>
      </c>
      <c r="J2941" t="s">
        <v>15</v>
      </c>
      <c r="K2941">
        <v>0</v>
      </c>
      <c r="L2941">
        <v>0</v>
      </c>
      <c r="M2941" t="s">
        <v>16</v>
      </c>
      <c r="N2941">
        <v>1</v>
      </c>
    </row>
    <row r="2942" hidden="1" spans="1:14">
      <c r="A2942">
        <v>2643</v>
      </c>
      <c r="B2942">
        <v>0</v>
      </c>
      <c r="C2942" t="s">
        <v>117</v>
      </c>
      <c r="D2942">
        <v>0</v>
      </c>
      <c r="E2942">
        <v>173</v>
      </c>
      <c r="F2942">
        <v>-41.3731</v>
      </c>
      <c r="G2942">
        <v>2455.69</v>
      </c>
      <c r="H2942" s="1">
        <v>38436</v>
      </c>
      <c r="I2942" s="1">
        <v>38437</v>
      </c>
      <c r="J2942" t="s">
        <v>15</v>
      </c>
      <c r="K2942">
        <v>0</v>
      </c>
      <c r="L2942">
        <v>0</v>
      </c>
      <c r="M2942" t="s">
        <v>16</v>
      </c>
      <c r="N2942">
        <v>1</v>
      </c>
    </row>
    <row r="2943" hidden="1" spans="1:14">
      <c r="A2943">
        <v>2655</v>
      </c>
      <c r="B2943">
        <v>0</v>
      </c>
      <c r="C2943" t="s">
        <v>117</v>
      </c>
      <c r="D2943">
        <v>0</v>
      </c>
      <c r="E2943">
        <v>176.118</v>
      </c>
      <c r="F2943">
        <v>-37.6649</v>
      </c>
      <c r="G2943">
        <v>628.483</v>
      </c>
      <c r="H2943" s="1">
        <v>38490</v>
      </c>
      <c r="I2943" s="1">
        <v>38493</v>
      </c>
      <c r="J2943" t="s">
        <v>15</v>
      </c>
      <c r="K2943">
        <v>0</v>
      </c>
      <c r="L2943">
        <v>290</v>
      </c>
      <c r="M2943" t="s">
        <v>16</v>
      </c>
      <c r="N2943">
        <v>2</v>
      </c>
    </row>
    <row r="2944" hidden="1" spans="1:14">
      <c r="A2944">
        <v>2853</v>
      </c>
      <c r="B2944">
        <v>0</v>
      </c>
      <c r="C2944" t="s">
        <v>117</v>
      </c>
      <c r="D2944">
        <v>0</v>
      </c>
      <c r="E2944">
        <v>170.375</v>
      </c>
      <c r="F2944">
        <v>-45.6905</v>
      </c>
      <c r="G2944">
        <v>4629.99</v>
      </c>
      <c r="H2944" s="1">
        <v>38833</v>
      </c>
      <c r="I2944" s="1">
        <v>38835</v>
      </c>
      <c r="J2944" t="s">
        <v>15</v>
      </c>
      <c r="K2944">
        <v>0</v>
      </c>
      <c r="L2944">
        <v>1200</v>
      </c>
      <c r="M2944" t="s">
        <v>18</v>
      </c>
      <c r="N2944">
        <v>2</v>
      </c>
    </row>
    <row r="2945" hidden="1" spans="1:14">
      <c r="A2945">
        <v>3046</v>
      </c>
      <c r="B2945">
        <v>0</v>
      </c>
      <c r="C2945" t="s">
        <v>117</v>
      </c>
      <c r="D2945">
        <v>0</v>
      </c>
      <c r="E2945">
        <v>173.985</v>
      </c>
      <c r="F2945">
        <v>-35.3521</v>
      </c>
      <c r="G2945">
        <v>4203.8</v>
      </c>
      <c r="H2945" s="1">
        <v>39170</v>
      </c>
      <c r="I2945" s="1">
        <v>39172</v>
      </c>
      <c r="J2945" t="s">
        <v>15</v>
      </c>
      <c r="K2945">
        <v>0</v>
      </c>
      <c r="L2945">
        <v>300</v>
      </c>
      <c r="M2945" t="s">
        <v>86</v>
      </c>
      <c r="N2945">
        <v>1.5</v>
      </c>
    </row>
    <row r="2946" hidden="1" spans="1:14">
      <c r="A2946">
        <v>3127</v>
      </c>
      <c r="B2946">
        <v>0</v>
      </c>
      <c r="C2946" t="s">
        <v>117</v>
      </c>
      <c r="D2946">
        <v>0</v>
      </c>
      <c r="E2946">
        <v>173.929</v>
      </c>
      <c r="F2946">
        <v>-35.8054</v>
      </c>
      <c r="G2946">
        <v>13659.31</v>
      </c>
      <c r="H2946" s="1">
        <v>39273</v>
      </c>
      <c r="I2946" s="1">
        <v>39276</v>
      </c>
      <c r="J2946" t="s">
        <v>15</v>
      </c>
      <c r="K2946">
        <v>0</v>
      </c>
      <c r="L2946">
        <v>600</v>
      </c>
      <c r="M2946" t="s">
        <v>16</v>
      </c>
      <c r="N2946">
        <v>1.5</v>
      </c>
    </row>
    <row r="2947" hidden="1" spans="1:14">
      <c r="A2947">
        <v>3342</v>
      </c>
      <c r="B2947">
        <v>0</v>
      </c>
      <c r="C2947" t="s">
        <v>117</v>
      </c>
      <c r="D2947">
        <v>0</v>
      </c>
      <c r="E2947">
        <v>172.422</v>
      </c>
      <c r="F2947">
        <v>-42.2225</v>
      </c>
      <c r="G2947">
        <v>26208.26</v>
      </c>
      <c r="H2947" s="1">
        <v>39659</v>
      </c>
      <c r="I2947" s="1">
        <v>39660</v>
      </c>
      <c r="J2947" t="s">
        <v>15</v>
      </c>
      <c r="K2947">
        <v>0</v>
      </c>
      <c r="L2947">
        <v>0</v>
      </c>
      <c r="M2947" t="s">
        <v>64</v>
      </c>
      <c r="N2947">
        <v>2</v>
      </c>
    </row>
    <row r="2948" hidden="1" spans="1:14">
      <c r="A2948">
        <v>3600</v>
      </c>
      <c r="B2948">
        <v>0</v>
      </c>
      <c r="C2948" t="s">
        <v>117</v>
      </c>
      <c r="D2948">
        <v>0</v>
      </c>
      <c r="E2948">
        <v>178.132</v>
      </c>
      <c r="F2948">
        <v>-37.717</v>
      </c>
      <c r="G2948">
        <v>44179.41</v>
      </c>
      <c r="H2948" s="1">
        <v>40207</v>
      </c>
      <c r="I2948" s="1">
        <v>40211</v>
      </c>
      <c r="J2948">
        <v>0</v>
      </c>
      <c r="K2948">
        <v>0</v>
      </c>
      <c r="L2948">
        <v>0</v>
      </c>
      <c r="M2948" t="s">
        <v>49</v>
      </c>
      <c r="N2948">
        <v>1</v>
      </c>
    </row>
    <row r="2949" hidden="1" spans="1:14">
      <c r="A2949">
        <v>3654</v>
      </c>
      <c r="B2949">
        <v>0</v>
      </c>
      <c r="C2949" t="s">
        <v>117</v>
      </c>
      <c r="D2949">
        <v>0</v>
      </c>
      <c r="E2949">
        <v>169.918</v>
      </c>
      <c r="F2949">
        <v>-45.1567</v>
      </c>
      <c r="G2949">
        <v>25183.14</v>
      </c>
      <c r="H2949" s="1">
        <v>40323</v>
      </c>
      <c r="I2949" s="1">
        <v>40329</v>
      </c>
      <c r="J2949">
        <v>0</v>
      </c>
      <c r="K2949">
        <v>0</v>
      </c>
      <c r="L2949">
        <v>0</v>
      </c>
      <c r="M2949" t="s">
        <v>49</v>
      </c>
      <c r="N2949">
        <v>2</v>
      </c>
    </row>
    <row r="2950" hidden="1" spans="1:14">
      <c r="A2950">
        <v>3772</v>
      </c>
      <c r="C2950" t="s">
        <v>117</v>
      </c>
      <c r="E2950">
        <v>175.634</v>
      </c>
      <c r="F2950">
        <v>-36.617</v>
      </c>
      <c r="G2950">
        <v>12401.11</v>
      </c>
      <c r="H2950" s="1">
        <v>40571</v>
      </c>
      <c r="I2950" s="1">
        <v>40574</v>
      </c>
      <c r="J2950" t="s">
        <v>15</v>
      </c>
      <c r="K2950">
        <v>0</v>
      </c>
      <c r="L2950">
        <v>0</v>
      </c>
      <c r="M2950" t="s">
        <v>738</v>
      </c>
      <c r="N2950">
        <v>1.5</v>
      </c>
    </row>
    <row r="2951" hidden="1" spans="1:14">
      <c r="A2951">
        <v>3883</v>
      </c>
      <c r="C2951" t="s">
        <v>117</v>
      </c>
      <c r="E2951">
        <v>173.188</v>
      </c>
      <c r="F2951">
        <v>-41.4857</v>
      </c>
      <c r="G2951">
        <v>3888.1</v>
      </c>
      <c r="H2951" s="1">
        <v>40890</v>
      </c>
      <c r="I2951" s="1">
        <v>40894</v>
      </c>
      <c r="J2951" t="s">
        <v>15</v>
      </c>
      <c r="K2951">
        <v>0</v>
      </c>
      <c r="L2951">
        <v>100</v>
      </c>
      <c r="M2951" t="s">
        <v>52</v>
      </c>
      <c r="N2951">
        <v>2</v>
      </c>
    </row>
    <row r="2952" hidden="1" spans="1:14">
      <c r="A2952">
        <v>4066</v>
      </c>
      <c r="C2952" t="s">
        <v>117</v>
      </c>
      <c r="E2952">
        <v>170.669</v>
      </c>
      <c r="F2952">
        <v>-44.3589</v>
      </c>
      <c r="G2952">
        <v>42497.49</v>
      </c>
      <c r="H2952" s="1">
        <v>41440</v>
      </c>
      <c r="I2952" s="1">
        <v>41443</v>
      </c>
      <c r="J2952" t="s">
        <v>15</v>
      </c>
      <c r="K2952">
        <v>0</v>
      </c>
      <c r="L2952">
        <v>0</v>
      </c>
      <c r="M2952" t="s">
        <v>49</v>
      </c>
      <c r="N2952">
        <v>1.5</v>
      </c>
    </row>
    <row r="2953" hidden="1" spans="1:14">
      <c r="A2953">
        <v>4125</v>
      </c>
      <c r="C2953" t="s">
        <v>117</v>
      </c>
      <c r="E2953">
        <v>172.613</v>
      </c>
      <c r="F2953">
        <v>-43.4538</v>
      </c>
      <c r="G2953">
        <v>1015.84</v>
      </c>
      <c r="H2953" s="1">
        <v>41701</v>
      </c>
      <c r="I2953" s="1">
        <v>41708</v>
      </c>
      <c r="J2953" t="s">
        <v>15</v>
      </c>
      <c r="K2953">
        <v>0</v>
      </c>
      <c r="L2953">
        <v>80</v>
      </c>
      <c r="M2953" t="s">
        <v>49</v>
      </c>
      <c r="N2953">
        <v>2</v>
      </c>
    </row>
    <row r="2954" hidden="1" spans="1:14">
      <c r="A2954">
        <v>4157</v>
      </c>
      <c r="C2954" t="s">
        <v>117</v>
      </c>
      <c r="E2954">
        <v>174.068</v>
      </c>
      <c r="F2954">
        <v>-35.6989</v>
      </c>
      <c r="G2954">
        <v>8581.24</v>
      </c>
      <c r="H2954" s="1">
        <v>41825</v>
      </c>
      <c r="I2954" s="1">
        <v>41834</v>
      </c>
      <c r="J2954" t="s">
        <v>15</v>
      </c>
      <c r="K2954">
        <v>0</v>
      </c>
      <c r="L2954">
        <v>0</v>
      </c>
      <c r="M2954" t="s">
        <v>49</v>
      </c>
      <c r="N2954">
        <v>1</v>
      </c>
    </row>
    <row r="2955" hidden="1" spans="1:14">
      <c r="A2955">
        <v>4253</v>
      </c>
      <c r="C2955" t="s">
        <v>117</v>
      </c>
      <c r="E2955">
        <v>175.355</v>
      </c>
      <c r="F2955">
        <v>-41.092</v>
      </c>
      <c r="G2955">
        <v>7484.07</v>
      </c>
      <c r="H2955" s="1">
        <v>42137</v>
      </c>
      <c r="I2955" s="1">
        <v>42145</v>
      </c>
      <c r="J2955" t="s">
        <v>15</v>
      </c>
      <c r="K2955">
        <v>1</v>
      </c>
      <c r="L2955">
        <v>100</v>
      </c>
      <c r="M2955" t="s">
        <v>49</v>
      </c>
      <c r="N2955">
        <v>1.5</v>
      </c>
    </row>
    <row r="2956" hidden="1" spans="1:14">
      <c r="A2956">
        <v>4264</v>
      </c>
      <c r="C2956" t="s">
        <v>117</v>
      </c>
      <c r="E2956">
        <v>175.231</v>
      </c>
      <c r="F2956">
        <v>-39.8648</v>
      </c>
      <c r="G2956">
        <v>8948.6</v>
      </c>
      <c r="H2956" s="1">
        <v>42177</v>
      </c>
      <c r="I2956" s="1">
        <v>42184</v>
      </c>
      <c r="J2956" t="s">
        <v>739</v>
      </c>
      <c r="K2956">
        <v>0</v>
      </c>
      <c r="L2956">
        <v>100</v>
      </c>
      <c r="M2956" t="s">
        <v>49</v>
      </c>
      <c r="N2956">
        <v>1.5</v>
      </c>
    </row>
    <row r="2957" hidden="1" spans="1:14">
      <c r="A2957">
        <v>4298</v>
      </c>
      <c r="C2957" t="s">
        <v>117</v>
      </c>
      <c r="E2957">
        <v>177.922</v>
      </c>
      <c r="F2957">
        <v>-38.6637</v>
      </c>
      <c r="G2957">
        <v>837.216</v>
      </c>
      <c r="H2957" s="1">
        <v>42267</v>
      </c>
      <c r="I2957" s="1">
        <v>42278</v>
      </c>
      <c r="J2957" t="s">
        <v>15</v>
      </c>
      <c r="K2957">
        <v>0</v>
      </c>
      <c r="L2957">
        <v>0</v>
      </c>
      <c r="M2957" t="s">
        <v>49</v>
      </c>
      <c r="N2957">
        <v>1</v>
      </c>
    </row>
    <row r="2958" hidden="1" spans="1:14">
      <c r="A2958">
        <v>4331</v>
      </c>
      <c r="C2958" t="s">
        <v>117</v>
      </c>
      <c r="E2958">
        <v>172.831</v>
      </c>
      <c r="F2958">
        <v>-41.9712</v>
      </c>
      <c r="G2958">
        <v>35884.52</v>
      </c>
      <c r="H2958" s="1">
        <v>42417</v>
      </c>
      <c r="I2958" s="1">
        <v>42423</v>
      </c>
      <c r="J2958" t="s">
        <v>15</v>
      </c>
      <c r="K2958">
        <v>0</v>
      </c>
      <c r="L2958">
        <v>0</v>
      </c>
      <c r="M2958" t="s">
        <v>49</v>
      </c>
      <c r="N2958">
        <v>1.5</v>
      </c>
    </row>
    <row r="2959" hidden="1" spans="1:14">
      <c r="A2959">
        <v>4342</v>
      </c>
      <c r="C2959" t="s">
        <v>117</v>
      </c>
      <c r="E2959">
        <v>172.213</v>
      </c>
      <c r="F2959">
        <v>-42.169</v>
      </c>
      <c r="G2959">
        <v>39333.76</v>
      </c>
      <c r="H2959" s="1">
        <v>42452</v>
      </c>
      <c r="I2959" s="1">
        <v>42454</v>
      </c>
      <c r="J2959" t="s">
        <v>15</v>
      </c>
      <c r="K2959">
        <v>0</v>
      </c>
      <c r="L2959">
        <v>300</v>
      </c>
      <c r="M2959" t="s">
        <v>52</v>
      </c>
      <c r="N2959">
        <v>2</v>
      </c>
    </row>
    <row r="2960" hidden="1" spans="1:14">
      <c r="A2960">
        <v>4461</v>
      </c>
      <c r="C2960" t="s">
        <v>117</v>
      </c>
      <c r="E2960">
        <v>176.79</v>
      </c>
      <c r="F2960">
        <v>-38.2042</v>
      </c>
      <c r="G2960">
        <v>23530.76</v>
      </c>
      <c r="H2960" s="1">
        <v>42830</v>
      </c>
      <c r="I2960" s="1">
        <v>42846</v>
      </c>
      <c r="J2960" t="s">
        <v>15</v>
      </c>
      <c r="K2960">
        <v>0</v>
      </c>
      <c r="L2960">
        <v>2200</v>
      </c>
      <c r="M2960" t="s">
        <v>49</v>
      </c>
      <c r="N2960">
        <v>2</v>
      </c>
    </row>
    <row r="2961" hidden="1" spans="1:14">
      <c r="A2961">
        <v>4504</v>
      </c>
      <c r="C2961" t="s">
        <v>117</v>
      </c>
      <c r="E2961">
        <v>170.978</v>
      </c>
      <c r="F2961">
        <v>-44.1524</v>
      </c>
      <c r="G2961">
        <v>32837</v>
      </c>
      <c r="H2961" s="1">
        <v>42937</v>
      </c>
      <c r="I2961" s="1">
        <v>42941</v>
      </c>
      <c r="J2961" t="s">
        <v>15</v>
      </c>
      <c r="K2961">
        <v>0</v>
      </c>
      <c r="L2961">
        <v>880</v>
      </c>
      <c r="M2961" t="s">
        <v>740</v>
      </c>
      <c r="N2961">
        <v>1.5</v>
      </c>
    </row>
    <row r="2962" hidden="1" spans="1:14">
      <c r="A2962">
        <v>4572</v>
      </c>
      <c r="C2962" t="s">
        <v>117</v>
      </c>
      <c r="E2962">
        <v>171.421</v>
      </c>
      <c r="F2962">
        <v>-43.2597</v>
      </c>
      <c r="G2962">
        <v>85442.75</v>
      </c>
      <c r="H2962" s="1">
        <v>43151</v>
      </c>
      <c r="I2962" s="1">
        <v>43152</v>
      </c>
      <c r="J2962" t="s">
        <v>56</v>
      </c>
      <c r="K2962">
        <v>0</v>
      </c>
      <c r="L2962">
        <v>0</v>
      </c>
      <c r="M2962" t="s">
        <v>741</v>
      </c>
      <c r="N2962">
        <v>1</v>
      </c>
    </row>
    <row r="2963" hidden="1" spans="1:14">
      <c r="A2963">
        <v>4582</v>
      </c>
      <c r="C2963" t="s">
        <v>117</v>
      </c>
      <c r="E2963">
        <v>176.614</v>
      </c>
      <c r="F2963">
        <v>-39.3449</v>
      </c>
      <c r="G2963">
        <v>12115.58</v>
      </c>
      <c r="H2963" s="1">
        <v>43166</v>
      </c>
      <c r="I2963" s="1">
        <v>43169</v>
      </c>
      <c r="J2963" t="s">
        <v>56</v>
      </c>
      <c r="K2963">
        <v>0</v>
      </c>
      <c r="L2963">
        <v>0</v>
      </c>
      <c r="M2963" t="s">
        <v>52</v>
      </c>
      <c r="N2963">
        <v>1.5</v>
      </c>
    </row>
    <row r="2964" hidden="1" spans="1:14">
      <c r="A2964">
        <v>4636</v>
      </c>
      <c r="C2964" t="s">
        <v>117</v>
      </c>
      <c r="E2964">
        <v>177.335</v>
      </c>
      <c r="F2964">
        <v>-39.1965</v>
      </c>
      <c r="G2964">
        <v>21531.57</v>
      </c>
      <c r="H2964" s="1">
        <v>43262</v>
      </c>
      <c r="I2964" s="1">
        <v>43264</v>
      </c>
      <c r="J2964" t="s">
        <v>56</v>
      </c>
      <c r="K2964">
        <v>0</v>
      </c>
      <c r="L2964">
        <v>500</v>
      </c>
      <c r="M2964" t="s">
        <v>49</v>
      </c>
      <c r="N2964">
        <v>1.5</v>
      </c>
    </row>
    <row r="2965" hidden="1" spans="1:14">
      <c r="A2965">
        <v>4733</v>
      </c>
      <c r="C2965" t="s">
        <v>117</v>
      </c>
      <c r="E2965">
        <v>171.297</v>
      </c>
      <c r="F2965">
        <v>-42.7638</v>
      </c>
      <c r="G2965">
        <v>36524.78</v>
      </c>
      <c r="H2965" s="1">
        <v>43549</v>
      </c>
      <c r="I2965" s="1">
        <v>43551</v>
      </c>
      <c r="J2965" t="s">
        <v>56</v>
      </c>
      <c r="K2965">
        <v>1</v>
      </c>
      <c r="L2965">
        <v>0</v>
      </c>
      <c r="M2965" t="s">
        <v>52</v>
      </c>
      <c r="N2965">
        <v>1.5</v>
      </c>
    </row>
    <row r="2966" hidden="1" spans="1:14">
      <c r="A2966">
        <v>4983</v>
      </c>
      <c r="C2966" t="s">
        <v>117</v>
      </c>
      <c r="E2966">
        <v>176.475</v>
      </c>
      <c r="F2966">
        <v>-39.3944</v>
      </c>
      <c r="G2966">
        <v>17253.1</v>
      </c>
      <c r="H2966" s="1">
        <v>44144</v>
      </c>
      <c r="I2966" s="1">
        <v>44147</v>
      </c>
      <c r="J2966" t="s">
        <v>56</v>
      </c>
      <c r="K2966">
        <v>0</v>
      </c>
      <c r="L2966">
        <v>64</v>
      </c>
      <c r="M2966" t="s">
        <v>49</v>
      </c>
      <c r="N2966">
        <v>1.5</v>
      </c>
    </row>
    <row r="2967" hidden="1" spans="1:14">
      <c r="A2967">
        <v>5080</v>
      </c>
      <c r="C2967" t="s">
        <v>117</v>
      </c>
      <c r="E2967">
        <v>171.545</v>
      </c>
      <c r="F2967">
        <v>-43.1109</v>
      </c>
      <c r="G2967">
        <v>6948.02</v>
      </c>
      <c r="H2967" s="1">
        <v>44345</v>
      </c>
      <c r="I2967" s="1">
        <v>44349</v>
      </c>
      <c r="J2967" t="s">
        <v>56</v>
      </c>
      <c r="K2967">
        <v>0</v>
      </c>
      <c r="L2967">
        <v>0</v>
      </c>
      <c r="M2967" t="s">
        <v>49</v>
      </c>
      <c r="N2967">
        <v>1.5</v>
      </c>
    </row>
    <row r="2968" hidden="1" spans="1:14">
      <c r="A2968">
        <v>5084</v>
      </c>
      <c r="C2968" t="s">
        <v>117</v>
      </c>
      <c r="E2968">
        <v>176.499</v>
      </c>
      <c r="F2968">
        <v>-39.4563</v>
      </c>
      <c r="G2968">
        <v>25184.03</v>
      </c>
      <c r="H2968" s="1">
        <v>44366</v>
      </c>
      <c r="I2968" s="1">
        <v>44368</v>
      </c>
      <c r="J2968" t="s">
        <v>56</v>
      </c>
      <c r="K2968">
        <v>0</v>
      </c>
      <c r="L2968">
        <v>20</v>
      </c>
      <c r="M2968" t="s">
        <v>49</v>
      </c>
      <c r="N2968">
        <v>1</v>
      </c>
    </row>
    <row r="2969" hidden="1" spans="1:14">
      <c r="A2969">
        <v>211</v>
      </c>
      <c r="B2969">
        <v>0</v>
      </c>
      <c r="C2969" t="s">
        <v>742</v>
      </c>
      <c r="D2969">
        <v>0</v>
      </c>
      <c r="E2969">
        <v>175.503</v>
      </c>
      <c r="F2969">
        <v>-36.63</v>
      </c>
      <c r="G2969">
        <v>48972.48</v>
      </c>
      <c r="H2969" s="1">
        <v>32351</v>
      </c>
      <c r="I2969" s="1">
        <v>32351</v>
      </c>
      <c r="J2969" t="s">
        <v>15</v>
      </c>
      <c r="K2969">
        <v>1</v>
      </c>
      <c r="L2969">
        <v>52</v>
      </c>
      <c r="M2969" t="s">
        <v>16</v>
      </c>
      <c r="N2969">
        <v>1</v>
      </c>
    </row>
    <row r="2970" hidden="1" spans="1:14">
      <c r="A2970">
        <v>414</v>
      </c>
      <c r="B2970">
        <v>0</v>
      </c>
      <c r="C2970" t="s">
        <v>338</v>
      </c>
      <c r="D2970">
        <v>0</v>
      </c>
      <c r="E2970">
        <v>-85.3119</v>
      </c>
      <c r="F2970">
        <v>13.1257</v>
      </c>
      <c r="G2970">
        <v>111058.71</v>
      </c>
      <c r="H2970" s="1">
        <v>33021</v>
      </c>
      <c r="I2970" s="1">
        <v>33022</v>
      </c>
      <c r="J2970" t="s">
        <v>15</v>
      </c>
      <c r="K2970">
        <v>5</v>
      </c>
      <c r="L2970">
        <v>6000</v>
      </c>
      <c r="M2970" t="s">
        <v>16</v>
      </c>
      <c r="N2970">
        <v>1</v>
      </c>
    </row>
    <row r="2971" hidden="1" spans="1:14">
      <c r="A2971">
        <v>437</v>
      </c>
      <c r="B2971">
        <v>0</v>
      </c>
      <c r="C2971" t="s">
        <v>338</v>
      </c>
      <c r="D2971">
        <v>0</v>
      </c>
      <c r="E2971">
        <v>-84.1097</v>
      </c>
      <c r="F2971">
        <v>12.8616</v>
      </c>
      <c r="G2971">
        <v>60685.89</v>
      </c>
      <c r="H2971" s="1">
        <v>33069</v>
      </c>
      <c r="I2971" s="1">
        <v>33105</v>
      </c>
      <c r="J2971" t="s">
        <v>15</v>
      </c>
      <c r="K2971">
        <v>5</v>
      </c>
      <c r="L2971">
        <v>106000</v>
      </c>
      <c r="M2971" t="s">
        <v>16</v>
      </c>
      <c r="N2971">
        <v>1</v>
      </c>
    </row>
    <row r="2972" hidden="1" spans="1:14">
      <c r="A2972">
        <v>688</v>
      </c>
      <c r="B2972">
        <v>0</v>
      </c>
      <c r="C2972" t="s">
        <v>338</v>
      </c>
      <c r="D2972">
        <v>0</v>
      </c>
      <c r="E2972">
        <v>-86.6267</v>
      </c>
      <c r="F2972">
        <v>12.0739</v>
      </c>
      <c r="G2972">
        <v>12149.78</v>
      </c>
      <c r="H2972" s="1">
        <v>33848</v>
      </c>
      <c r="I2972" s="1">
        <v>33848</v>
      </c>
      <c r="J2972" t="s">
        <v>15</v>
      </c>
      <c r="K2972">
        <v>100</v>
      </c>
      <c r="L2972">
        <v>16000</v>
      </c>
      <c r="M2972" t="s">
        <v>743</v>
      </c>
      <c r="N2972">
        <v>1</v>
      </c>
    </row>
    <row r="2973" hidden="1" spans="1:14">
      <c r="A2973">
        <v>780</v>
      </c>
      <c r="B2973">
        <v>0</v>
      </c>
      <c r="C2973" t="s">
        <v>338</v>
      </c>
      <c r="D2973" t="s">
        <v>331</v>
      </c>
      <c r="E2973">
        <v>-84.0491</v>
      </c>
      <c r="F2973">
        <v>12.4551</v>
      </c>
      <c r="G2973">
        <v>59969.85</v>
      </c>
      <c r="H2973" s="1">
        <v>34228</v>
      </c>
      <c r="I2973" s="1">
        <v>34234</v>
      </c>
      <c r="J2973" t="s">
        <v>15</v>
      </c>
      <c r="K2973">
        <v>50</v>
      </c>
      <c r="L2973">
        <v>38600</v>
      </c>
      <c r="M2973" t="s">
        <v>64</v>
      </c>
      <c r="N2973">
        <v>1</v>
      </c>
    </row>
    <row r="2974" hidden="1" spans="1:14">
      <c r="A2974">
        <v>1016</v>
      </c>
      <c r="B2974">
        <v>0</v>
      </c>
      <c r="C2974" t="s">
        <v>338</v>
      </c>
      <c r="D2974">
        <v>0</v>
      </c>
      <c r="E2974">
        <v>-86.6886</v>
      </c>
      <c r="F2974">
        <v>12.1417</v>
      </c>
      <c r="G2974">
        <v>10840.97</v>
      </c>
      <c r="H2974" s="1">
        <v>34973</v>
      </c>
      <c r="I2974" s="1">
        <v>34991</v>
      </c>
      <c r="J2974" t="s">
        <v>15</v>
      </c>
      <c r="K2974">
        <v>38</v>
      </c>
      <c r="L2974">
        <v>22000</v>
      </c>
      <c r="M2974" t="s">
        <v>16</v>
      </c>
      <c r="N2974">
        <v>1</v>
      </c>
    </row>
    <row r="2975" hidden="1" spans="1:14">
      <c r="A2975">
        <v>1928</v>
      </c>
      <c r="B2975">
        <v>0</v>
      </c>
      <c r="C2975" t="s">
        <v>338</v>
      </c>
      <c r="D2975">
        <v>0</v>
      </c>
      <c r="E2975">
        <v>-86.7391</v>
      </c>
      <c r="F2975">
        <v>13.2851</v>
      </c>
      <c r="G2975">
        <v>79027.31</v>
      </c>
      <c r="H2975" s="1">
        <v>37399</v>
      </c>
      <c r="I2975" s="1">
        <v>37412</v>
      </c>
      <c r="J2975" t="s">
        <v>15</v>
      </c>
      <c r="K2975">
        <v>30</v>
      </c>
      <c r="L2975">
        <v>9000</v>
      </c>
      <c r="M2975" t="s">
        <v>16</v>
      </c>
      <c r="N2975">
        <v>1</v>
      </c>
    </row>
    <row r="2976" hidden="1" spans="1:14">
      <c r="A2976">
        <v>2058</v>
      </c>
      <c r="B2976">
        <v>0</v>
      </c>
      <c r="C2976" t="s">
        <v>338</v>
      </c>
      <c r="D2976">
        <v>0</v>
      </c>
      <c r="E2976">
        <v>-88.0764</v>
      </c>
      <c r="F2976">
        <v>20.7441</v>
      </c>
      <c r="G2976">
        <v>48802.44</v>
      </c>
      <c r="H2976" s="1">
        <v>37517</v>
      </c>
      <c r="I2976" s="1">
        <v>37525</v>
      </c>
      <c r="J2976" t="s">
        <v>15</v>
      </c>
      <c r="K2976">
        <v>6</v>
      </c>
      <c r="L2976">
        <v>300000</v>
      </c>
      <c r="M2976" t="s">
        <v>86</v>
      </c>
      <c r="N2976">
        <v>1</v>
      </c>
    </row>
    <row r="2977" hidden="1" spans="1:14">
      <c r="A2977">
        <v>2510</v>
      </c>
      <c r="B2977">
        <v>0</v>
      </c>
      <c r="C2977" t="s">
        <v>338</v>
      </c>
      <c r="D2977">
        <v>0</v>
      </c>
      <c r="E2977">
        <v>-84.8927</v>
      </c>
      <c r="F2977">
        <v>13.1133</v>
      </c>
      <c r="G2977">
        <v>26962.05</v>
      </c>
      <c r="H2977" s="1">
        <v>38162</v>
      </c>
      <c r="I2977" s="1">
        <v>38188</v>
      </c>
      <c r="J2977" t="s">
        <v>15</v>
      </c>
      <c r="K2977">
        <v>25</v>
      </c>
      <c r="L2977">
        <v>18000</v>
      </c>
      <c r="M2977" t="s">
        <v>16</v>
      </c>
      <c r="N2977">
        <v>1</v>
      </c>
    </row>
    <row r="2978" hidden="1" spans="1:14">
      <c r="A2978">
        <v>2759</v>
      </c>
      <c r="B2978">
        <v>0</v>
      </c>
      <c r="C2978" t="s">
        <v>338</v>
      </c>
      <c r="D2978" t="s">
        <v>386</v>
      </c>
      <c r="E2978">
        <v>-83.6336</v>
      </c>
      <c r="F2978">
        <v>14.1106</v>
      </c>
      <c r="G2978">
        <v>57711.98</v>
      </c>
      <c r="H2978" s="1">
        <v>38655</v>
      </c>
      <c r="I2978" s="1">
        <v>38671</v>
      </c>
      <c r="J2978" t="s">
        <v>15</v>
      </c>
      <c r="K2978">
        <v>2000</v>
      </c>
      <c r="L2978">
        <v>20000</v>
      </c>
      <c r="M2978" t="s">
        <v>86</v>
      </c>
      <c r="N2978">
        <v>1</v>
      </c>
    </row>
    <row r="2979" hidden="1" spans="1:14">
      <c r="A2979">
        <v>3184</v>
      </c>
      <c r="B2979">
        <v>0</v>
      </c>
      <c r="C2979" t="s">
        <v>338</v>
      </c>
      <c r="E2979">
        <v>-98.4943</v>
      </c>
      <c r="F2979">
        <v>21.8462</v>
      </c>
      <c r="G2979">
        <v>152397.91</v>
      </c>
      <c r="H2979" s="1">
        <v>39329</v>
      </c>
      <c r="I2979" s="1">
        <v>39337</v>
      </c>
      <c r="J2979" t="s">
        <v>15</v>
      </c>
      <c r="K2979">
        <v>102</v>
      </c>
      <c r="L2979">
        <v>90000</v>
      </c>
      <c r="M2979" t="s">
        <v>86</v>
      </c>
      <c r="N2979">
        <v>1</v>
      </c>
    </row>
    <row r="2980" hidden="1" spans="1:14">
      <c r="A2980">
        <v>3391</v>
      </c>
      <c r="B2980" t="s">
        <v>744</v>
      </c>
      <c r="C2980" t="s">
        <v>338</v>
      </c>
      <c r="D2980">
        <v>0</v>
      </c>
      <c r="E2980">
        <v>-86.3712</v>
      </c>
      <c r="F2980">
        <v>12.0606</v>
      </c>
      <c r="G2980">
        <v>13945.83</v>
      </c>
      <c r="H2980" s="1">
        <v>39722</v>
      </c>
      <c r="I2980" s="1">
        <v>39727</v>
      </c>
      <c r="J2980" t="s">
        <v>15</v>
      </c>
      <c r="K2980">
        <v>9</v>
      </c>
      <c r="L2980">
        <v>3000</v>
      </c>
      <c r="M2980" t="s">
        <v>49</v>
      </c>
      <c r="N2980">
        <v>2</v>
      </c>
    </row>
    <row r="2981" hidden="1" spans="1:14">
      <c r="A2981">
        <v>4193</v>
      </c>
      <c r="C2981" t="s">
        <v>338</v>
      </c>
      <c r="E2981">
        <v>-85.6393</v>
      </c>
      <c r="F2981">
        <v>12.6289</v>
      </c>
      <c r="G2981">
        <v>79061.87</v>
      </c>
      <c r="H2981" s="1">
        <v>41921</v>
      </c>
      <c r="I2981" s="1">
        <v>41923</v>
      </c>
      <c r="J2981" t="s">
        <v>15</v>
      </c>
      <c r="K2981">
        <v>1</v>
      </c>
      <c r="L2981">
        <v>50</v>
      </c>
      <c r="M2981" t="s">
        <v>49</v>
      </c>
      <c r="N2981">
        <v>1.5</v>
      </c>
    </row>
    <row r="2982" hidden="1" spans="1:14">
      <c r="A2982">
        <v>4194</v>
      </c>
      <c r="C2982" t="s">
        <v>338</v>
      </c>
      <c r="D2982" t="s">
        <v>386</v>
      </c>
      <c r="E2982">
        <v>-87.5693</v>
      </c>
      <c r="F2982">
        <v>13.8455</v>
      </c>
      <c r="G2982">
        <v>221816.02</v>
      </c>
      <c r="H2982" s="1">
        <v>41927</v>
      </c>
      <c r="I2982" s="1">
        <v>41939</v>
      </c>
      <c r="J2982" t="s">
        <v>15</v>
      </c>
      <c r="K2982">
        <v>24</v>
      </c>
      <c r="L2982">
        <v>33000</v>
      </c>
      <c r="M2982" t="s">
        <v>52</v>
      </c>
      <c r="N2982">
        <v>1.5</v>
      </c>
    </row>
    <row r="2983" hidden="1" spans="1:14">
      <c r="A2983">
        <v>4375</v>
      </c>
      <c r="C2983" t="s">
        <v>338</v>
      </c>
      <c r="D2983" t="s">
        <v>387</v>
      </c>
      <c r="E2983">
        <v>-90.0437</v>
      </c>
      <c r="F2983">
        <v>16.0779</v>
      </c>
      <c r="G2983">
        <v>69294.34</v>
      </c>
      <c r="H2983" s="1">
        <v>42560</v>
      </c>
      <c r="I2983" s="1">
        <v>42570</v>
      </c>
      <c r="J2983" t="s">
        <v>15</v>
      </c>
      <c r="K2983">
        <v>0</v>
      </c>
      <c r="L2983">
        <v>5000</v>
      </c>
      <c r="M2983" t="s">
        <v>52</v>
      </c>
      <c r="N2983">
        <v>1</v>
      </c>
    </row>
    <row r="2984" hidden="1" spans="1:14">
      <c r="A2984">
        <v>4524</v>
      </c>
      <c r="B2984" t="s">
        <v>745</v>
      </c>
      <c r="C2984" t="s">
        <v>338</v>
      </c>
      <c r="D2984" t="s">
        <v>128</v>
      </c>
      <c r="E2984">
        <v>-91.2314</v>
      </c>
      <c r="F2984">
        <v>31.1039</v>
      </c>
      <c r="G2984">
        <v>464442.54</v>
      </c>
      <c r="H2984" s="1">
        <v>43014</v>
      </c>
      <c r="I2984" s="1">
        <v>43015</v>
      </c>
      <c r="J2984" t="s">
        <v>15</v>
      </c>
      <c r="K2984">
        <v>22</v>
      </c>
      <c r="L2984">
        <v>10000</v>
      </c>
      <c r="M2984" t="s">
        <v>746</v>
      </c>
      <c r="N2984">
        <v>1.5</v>
      </c>
    </row>
    <row r="2985" hidden="1" spans="1:14">
      <c r="A2985">
        <v>4531</v>
      </c>
      <c r="B2985" t="s">
        <v>747</v>
      </c>
      <c r="C2985" t="s">
        <v>338</v>
      </c>
      <c r="D2985" t="s">
        <v>386</v>
      </c>
      <c r="E2985">
        <v>-87.8662</v>
      </c>
      <c r="F2985">
        <v>14.2919</v>
      </c>
      <c r="G2985">
        <v>322532.9</v>
      </c>
      <c r="H2985" s="1">
        <v>43035</v>
      </c>
      <c r="I2985" s="1">
        <v>43047</v>
      </c>
      <c r="J2985" t="s">
        <v>15</v>
      </c>
      <c r="K2985">
        <v>5</v>
      </c>
      <c r="L2985">
        <v>150</v>
      </c>
      <c r="M2985" t="s">
        <v>49</v>
      </c>
      <c r="N2985">
        <v>1.5</v>
      </c>
    </row>
    <row r="2986" hidden="1" spans="1:14">
      <c r="A2986">
        <v>4970</v>
      </c>
      <c r="C2986" t="s">
        <v>338</v>
      </c>
      <c r="D2986" t="s">
        <v>386</v>
      </c>
      <c r="E2986">
        <v>-89.6592</v>
      </c>
      <c r="F2986">
        <v>16.6216</v>
      </c>
      <c r="G2986">
        <v>412060.38</v>
      </c>
      <c r="H2986" s="1">
        <v>44139</v>
      </c>
      <c r="I2986" s="1">
        <v>44144</v>
      </c>
      <c r="J2986" t="s">
        <v>56</v>
      </c>
      <c r="K2986">
        <v>40</v>
      </c>
      <c r="L2986">
        <v>0</v>
      </c>
      <c r="M2986" t="s">
        <v>748</v>
      </c>
      <c r="N2986">
        <v>1.5</v>
      </c>
    </row>
    <row r="2987" hidden="1" spans="1:14">
      <c r="A2987">
        <v>4989</v>
      </c>
      <c r="C2987" t="s">
        <v>338</v>
      </c>
      <c r="D2987" t="s">
        <v>386</v>
      </c>
      <c r="E2987">
        <v>-85.4414</v>
      </c>
      <c r="F2987">
        <v>14.142</v>
      </c>
      <c r="G2987">
        <v>108878.16</v>
      </c>
      <c r="H2987" s="1">
        <v>44151</v>
      </c>
      <c r="I2987" s="1">
        <v>44156</v>
      </c>
      <c r="J2987" t="s">
        <v>56</v>
      </c>
      <c r="K2987">
        <v>2</v>
      </c>
      <c r="L2987">
        <v>400</v>
      </c>
      <c r="M2987" t="s">
        <v>749</v>
      </c>
      <c r="N2987">
        <v>2</v>
      </c>
    </row>
    <row r="2988" hidden="1" spans="1:14">
      <c r="A2988">
        <v>222</v>
      </c>
      <c r="B2988">
        <v>0</v>
      </c>
      <c r="C2988" t="s">
        <v>750</v>
      </c>
      <c r="D2988">
        <v>0</v>
      </c>
      <c r="E2988">
        <v>-83.9236</v>
      </c>
      <c r="F2988">
        <v>14.4458</v>
      </c>
      <c r="G2988">
        <v>12585.06</v>
      </c>
      <c r="H2988" s="1">
        <v>32364</v>
      </c>
      <c r="I2988" s="1">
        <v>32371</v>
      </c>
      <c r="J2988" t="s">
        <v>15</v>
      </c>
      <c r="K2988">
        <v>0</v>
      </c>
      <c r="L2988">
        <v>25000</v>
      </c>
      <c r="M2988" t="s">
        <v>16</v>
      </c>
      <c r="N2988">
        <v>1</v>
      </c>
    </row>
    <row r="2989" hidden="1" spans="1:14">
      <c r="A2989">
        <v>1756</v>
      </c>
      <c r="B2989">
        <v>0</v>
      </c>
      <c r="C2989" t="s">
        <v>750</v>
      </c>
      <c r="D2989">
        <v>0</v>
      </c>
      <c r="E2989">
        <v>-84.2531</v>
      </c>
      <c r="F2989">
        <v>12.178</v>
      </c>
      <c r="G2989">
        <v>2586.06</v>
      </c>
      <c r="H2989" s="1">
        <v>37093</v>
      </c>
      <c r="I2989" s="1">
        <v>37094</v>
      </c>
      <c r="J2989" t="s">
        <v>15</v>
      </c>
      <c r="K2989">
        <v>2</v>
      </c>
      <c r="L2989">
        <v>10000</v>
      </c>
      <c r="M2989" t="s">
        <v>16</v>
      </c>
      <c r="N2989">
        <v>1</v>
      </c>
    </row>
    <row r="2990" hidden="1" spans="1:14">
      <c r="A2990">
        <v>1796</v>
      </c>
      <c r="B2990">
        <v>0</v>
      </c>
      <c r="C2990" t="s">
        <v>750</v>
      </c>
      <c r="D2990">
        <v>0</v>
      </c>
      <c r="E2990">
        <v>-92.607</v>
      </c>
      <c r="F2990">
        <v>15.2301</v>
      </c>
      <c r="G2990">
        <v>7805.62</v>
      </c>
      <c r="H2990" s="1">
        <v>37152</v>
      </c>
      <c r="I2990" s="1">
        <v>37155</v>
      </c>
      <c r="J2990" t="s">
        <v>15</v>
      </c>
      <c r="K2990">
        <v>4</v>
      </c>
      <c r="L2990">
        <v>800</v>
      </c>
      <c r="M2990" t="s">
        <v>18</v>
      </c>
      <c r="N2990">
        <v>1</v>
      </c>
    </row>
    <row r="2991" hidden="1" spans="1:14">
      <c r="A2991">
        <v>1818</v>
      </c>
      <c r="B2991">
        <v>0</v>
      </c>
      <c r="C2991" t="s">
        <v>750</v>
      </c>
      <c r="D2991">
        <v>0</v>
      </c>
      <c r="E2991">
        <v>-80.2017</v>
      </c>
      <c r="F2991">
        <v>22.3394</v>
      </c>
      <c r="G2991">
        <v>69951.26</v>
      </c>
      <c r="H2991" s="1">
        <v>37190</v>
      </c>
      <c r="I2991" s="1">
        <v>37210</v>
      </c>
      <c r="J2991" t="s">
        <v>15</v>
      </c>
      <c r="K2991">
        <v>19</v>
      </c>
      <c r="L2991">
        <v>27118340</v>
      </c>
      <c r="M2991" t="s">
        <v>86</v>
      </c>
      <c r="N2991">
        <v>1</v>
      </c>
    </row>
    <row r="2992" hidden="1" spans="1:14">
      <c r="A2992">
        <v>881</v>
      </c>
      <c r="B2992">
        <v>0</v>
      </c>
      <c r="C2992" t="s">
        <v>221</v>
      </c>
      <c r="D2992">
        <v>0</v>
      </c>
      <c r="E2992">
        <v>6.87118</v>
      </c>
      <c r="F2992">
        <v>15.5798</v>
      </c>
      <c r="G2992">
        <v>594752.97</v>
      </c>
      <c r="H2992" s="1">
        <v>34547</v>
      </c>
      <c r="I2992" s="1">
        <v>34556</v>
      </c>
      <c r="J2992" t="s">
        <v>15</v>
      </c>
      <c r="K2992">
        <v>27</v>
      </c>
      <c r="L2992">
        <v>20000</v>
      </c>
      <c r="M2992" t="s">
        <v>16</v>
      </c>
      <c r="N2992">
        <v>1</v>
      </c>
    </row>
    <row r="2993" hidden="1" spans="1:14">
      <c r="A2993">
        <v>1439</v>
      </c>
      <c r="B2993">
        <v>0</v>
      </c>
      <c r="C2993" t="s">
        <v>221</v>
      </c>
      <c r="D2993">
        <v>0</v>
      </c>
      <c r="E2993">
        <v>2.69808</v>
      </c>
      <c r="F2993">
        <v>13.7574</v>
      </c>
      <c r="G2993">
        <v>111379.28</v>
      </c>
      <c r="H2993" s="1">
        <v>36043</v>
      </c>
      <c r="I2993" s="1">
        <v>36047</v>
      </c>
      <c r="J2993" t="s">
        <v>15</v>
      </c>
      <c r="K2993">
        <v>0</v>
      </c>
      <c r="L2993">
        <v>20000</v>
      </c>
      <c r="M2993" t="s">
        <v>16</v>
      </c>
      <c r="N2993">
        <v>1</v>
      </c>
    </row>
    <row r="2994" hidden="1" spans="1:14">
      <c r="A2994">
        <v>1554</v>
      </c>
      <c r="B2994">
        <v>0</v>
      </c>
      <c r="C2994" t="s">
        <v>221</v>
      </c>
      <c r="D2994">
        <v>0</v>
      </c>
      <c r="E2994">
        <v>7.555</v>
      </c>
      <c r="F2994">
        <v>14.4546</v>
      </c>
      <c r="G2994">
        <v>212066.82</v>
      </c>
      <c r="H2994" s="1">
        <v>36410</v>
      </c>
      <c r="I2994" s="1">
        <v>36417</v>
      </c>
      <c r="J2994" t="s">
        <v>15</v>
      </c>
      <c r="K2994">
        <v>7</v>
      </c>
      <c r="L2994">
        <v>22000</v>
      </c>
      <c r="M2994" t="s">
        <v>18</v>
      </c>
      <c r="N2994">
        <v>1</v>
      </c>
    </row>
    <row r="2995" hidden="1" spans="1:14">
      <c r="A2995">
        <v>3556</v>
      </c>
      <c r="B2995">
        <v>0</v>
      </c>
      <c r="C2995" t="s">
        <v>221</v>
      </c>
      <c r="D2995">
        <v>0</v>
      </c>
      <c r="E2995">
        <v>8.06092</v>
      </c>
      <c r="F2995">
        <v>17.2185</v>
      </c>
      <c r="G2995">
        <v>133560.04</v>
      </c>
      <c r="H2995" s="1">
        <v>40077</v>
      </c>
      <c r="I2995" s="1">
        <v>40101</v>
      </c>
      <c r="J2995">
        <v>0</v>
      </c>
      <c r="K2995">
        <v>0</v>
      </c>
      <c r="L2995">
        <v>0</v>
      </c>
      <c r="M2995" t="s">
        <v>49</v>
      </c>
      <c r="N2995">
        <v>1</v>
      </c>
    </row>
    <row r="2996" hidden="1" spans="1:14">
      <c r="A2996">
        <v>3703</v>
      </c>
      <c r="B2996">
        <v>0</v>
      </c>
      <c r="C2996" t="s">
        <v>221</v>
      </c>
      <c r="E2996">
        <v>14.0074</v>
      </c>
      <c r="F2996">
        <v>13.6058</v>
      </c>
      <c r="G2996">
        <v>619077.86</v>
      </c>
      <c r="H2996" s="1">
        <v>40391</v>
      </c>
      <c r="I2996" s="1">
        <v>40431</v>
      </c>
      <c r="J2996" t="s">
        <v>15</v>
      </c>
      <c r="K2996">
        <v>1</v>
      </c>
      <c r="L2996">
        <v>5000</v>
      </c>
      <c r="M2996" t="s">
        <v>52</v>
      </c>
      <c r="N2996">
        <v>2</v>
      </c>
    </row>
    <row r="2997" hidden="1" spans="1:14">
      <c r="A2997">
        <v>3862</v>
      </c>
      <c r="C2997" t="s">
        <v>221</v>
      </c>
      <c r="E2997">
        <v>4.55533</v>
      </c>
      <c r="F2997">
        <v>14.9509</v>
      </c>
      <c r="G2997">
        <v>74520.09</v>
      </c>
      <c r="H2997" s="1">
        <v>40765</v>
      </c>
      <c r="I2997" s="1">
        <v>40794</v>
      </c>
      <c r="J2997" t="s">
        <v>15</v>
      </c>
      <c r="K2997">
        <v>7</v>
      </c>
      <c r="L2997">
        <v>5000</v>
      </c>
      <c r="M2997" t="s">
        <v>49</v>
      </c>
      <c r="N2997">
        <v>1.5</v>
      </c>
    </row>
    <row r="2998" hidden="1" spans="1:14">
      <c r="A2998">
        <v>3967</v>
      </c>
      <c r="C2998" t="s">
        <v>221</v>
      </c>
      <c r="E2998">
        <v>3.88146</v>
      </c>
      <c r="F2998">
        <v>14.6081</v>
      </c>
      <c r="G2998">
        <v>75976.73</v>
      </c>
      <c r="H2998" s="1">
        <v>41127</v>
      </c>
      <c r="I2998" s="1">
        <v>41159</v>
      </c>
      <c r="J2998" t="s">
        <v>15</v>
      </c>
      <c r="K2998">
        <v>52</v>
      </c>
      <c r="L2998">
        <v>125000</v>
      </c>
      <c r="M2998" t="s">
        <v>49</v>
      </c>
      <c r="N2998">
        <v>1.5</v>
      </c>
    </row>
    <row r="2999" hidden="1" spans="1:14">
      <c r="A2999">
        <v>3994</v>
      </c>
      <c r="C2999" t="s">
        <v>221</v>
      </c>
      <c r="E2999">
        <v>2.95649</v>
      </c>
      <c r="F2999">
        <v>14.316</v>
      </c>
      <c r="G2999">
        <v>121035.65</v>
      </c>
      <c r="H2999" s="1">
        <v>41167</v>
      </c>
      <c r="I2999" s="1">
        <v>41197</v>
      </c>
      <c r="J2999" t="s">
        <v>15</v>
      </c>
      <c r="K2999">
        <v>91</v>
      </c>
      <c r="L2999">
        <v>0</v>
      </c>
      <c r="M2999" t="s">
        <v>49</v>
      </c>
      <c r="N2999">
        <v>1</v>
      </c>
    </row>
    <row r="3000" hidden="1" spans="1:14">
      <c r="A3000">
        <v>4108</v>
      </c>
      <c r="C3000" t="s">
        <v>221</v>
      </c>
      <c r="E3000">
        <v>13.2017</v>
      </c>
      <c r="F3000">
        <v>15.0103</v>
      </c>
      <c r="G3000">
        <v>65791.14</v>
      </c>
      <c r="H3000" s="1">
        <v>41581</v>
      </c>
      <c r="I3000" s="1">
        <v>41616</v>
      </c>
      <c r="J3000" t="s">
        <v>15</v>
      </c>
      <c r="K3000">
        <v>0</v>
      </c>
      <c r="L3000">
        <v>1000</v>
      </c>
      <c r="M3000" t="s">
        <v>49</v>
      </c>
      <c r="N3000">
        <v>1</v>
      </c>
    </row>
    <row r="3001" hidden="1" spans="1:14">
      <c r="A3001">
        <v>4175</v>
      </c>
      <c r="C3001" t="s">
        <v>221</v>
      </c>
      <c r="E3001">
        <v>6.40648</v>
      </c>
      <c r="F3001">
        <v>16.3273</v>
      </c>
      <c r="G3001">
        <v>350748.91</v>
      </c>
      <c r="H3001" s="1">
        <v>41864</v>
      </c>
      <c r="I3001" s="1">
        <v>41870</v>
      </c>
      <c r="J3001" t="s">
        <v>15</v>
      </c>
      <c r="K3001">
        <v>12</v>
      </c>
      <c r="L3001">
        <v>10000</v>
      </c>
      <c r="M3001" t="s">
        <v>49</v>
      </c>
      <c r="N3001">
        <v>1</v>
      </c>
    </row>
    <row r="3002" hidden="1" spans="1:14">
      <c r="A3002">
        <v>4291</v>
      </c>
      <c r="C3002" t="s">
        <v>221</v>
      </c>
      <c r="E3002">
        <v>2.49701</v>
      </c>
      <c r="F3002">
        <v>14.8417</v>
      </c>
      <c r="G3002">
        <v>686734.83</v>
      </c>
      <c r="H3002" s="1">
        <v>42210</v>
      </c>
      <c r="I3002" s="1">
        <v>42235</v>
      </c>
      <c r="J3002" t="s">
        <v>15</v>
      </c>
      <c r="K3002">
        <v>4</v>
      </c>
      <c r="L3002">
        <v>3000</v>
      </c>
      <c r="M3002" t="s">
        <v>49</v>
      </c>
      <c r="N3002">
        <v>1.5</v>
      </c>
    </row>
    <row r="3003" hidden="1" spans="1:14">
      <c r="A3003">
        <v>4380</v>
      </c>
      <c r="B3003" t="s">
        <v>751</v>
      </c>
      <c r="C3003" t="s">
        <v>221</v>
      </c>
      <c r="D3003" t="s">
        <v>752</v>
      </c>
      <c r="E3003">
        <v>5.71366</v>
      </c>
      <c r="F3003">
        <v>15.9806</v>
      </c>
      <c r="G3003">
        <v>190126.21</v>
      </c>
      <c r="H3003" s="1">
        <v>42536</v>
      </c>
      <c r="I3003" s="1">
        <v>42608</v>
      </c>
      <c r="J3003" t="s">
        <v>15</v>
      </c>
      <c r="K3003">
        <v>36</v>
      </c>
      <c r="L3003">
        <v>5600</v>
      </c>
      <c r="M3003" t="s">
        <v>49</v>
      </c>
      <c r="N3003">
        <v>1</v>
      </c>
    </row>
    <row r="3004" hidden="1" spans="1:14">
      <c r="A3004">
        <v>4486</v>
      </c>
      <c r="B3004" t="s">
        <v>753</v>
      </c>
      <c r="C3004" t="s">
        <v>221</v>
      </c>
      <c r="E3004">
        <v>1.11137</v>
      </c>
      <c r="F3004">
        <v>13.7015</v>
      </c>
      <c r="G3004">
        <v>108198.36</v>
      </c>
      <c r="H3004" s="1">
        <v>42899</v>
      </c>
      <c r="I3004" s="1">
        <v>42919</v>
      </c>
      <c r="J3004" t="s">
        <v>15</v>
      </c>
      <c r="K3004">
        <v>14</v>
      </c>
      <c r="L3004">
        <v>1000</v>
      </c>
      <c r="M3004" t="s">
        <v>49</v>
      </c>
      <c r="N3004">
        <v>1.5</v>
      </c>
    </row>
    <row r="3005" hidden="1" spans="1:14">
      <c r="A3005">
        <v>4519</v>
      </c>
      <c r="C3005" t="s">
        <v>221</v>
      </c>
      <c r="E3005">
        <v>4.40226</v>
      </c>
      <c r="F3005">
        <v>14.6173</v>
      </c>
      <c r="G3005">
        <v>184437.33</v>
      </c>
      <c r="H3005" s="1">
        <v>42973</v>
      </c>
      <c r="I3005" s="1">
        <v>42993</v>
      </c>
      <c r="J3005" t="s">
        <v>15</v>
      </c>
      <c r="K3005">
        <v>44</v>
      </c>
      <c r="L3005">
        <v>40000</v>
      </c>
      <c r="M3005" t="s">
        <v>49</v>
      </c>
      <c r="N3005">
        <v>1</v>
      </c>
    </row>
    <row r="3006" hidden="1" spans="1:14">
      <c r="A3006">
        <v>4947</v>
      </c>
      <c r="C3006" t="s">
        <v>221</v>
      </c>
      <c r="D3006" t="s">
        <v>450</v>
      </c>
      <c r="E3006">
        <v>1.16086</v>
      </c>
      <c r="F3006">
        <v>15.5369</v>
      </c>
      <c r="G3006">
        <v>390094.45</v>
      </c>
      <c r="H3006" s="1">
        <v>44013</v>
      </c>
      <c r="I3006" s="1">
        <v>44042</v>
      </c>
      <c r="J3006" t="s">
        <v>56</v>
      </c>
      <c r="K3006">
        <v>9</v>
      </c>
      <c r="L3006">
        <v>15000</v>
      </c>
      <c r="M3006" t="s">
        <v>49</v>
      </c>
      <c r="N3006">
        <v>1.5</v>
      </c>
    </row>
    <row r="3007" hidden="1" spans="1:14">
      <c r="A3007">
        <v>5112</v>
      </c>
      <c r="C3007" t="s">
        <v>221</v>
      </c>
      <c r="E3007">
        <v>3.03921</v>
      </c>
      <c r="F3007">
        <v>13.2298</v>
      </c>
      <c r="G3007">
        <v>89127.43</v>
      </c>
      <c r="H3007" s="1">
        <v>44418</v>
      </c>
      <c r="I3007" s="1">
        <v>44436</v>
      </c>
      <c r="J3007" t="s">
        <v>56</v>
      </c>
      <c r="K3007">
        <v>62</v>
      </c>
      <c r="L3007">
        <v>12000</v>
      </c>
      <c r="M3007" t="s">
        <v>49</v>
      </c>
      <c r="N3007">
        <v>1.5</v>
      </c>
    </row>
    <row r="3008" hidden="1" spans="1:14">
      <c r="A3008">
        <v>235</v>
      </c>
      <c r="B3008">
        <v>0</v>
      </c>
      <c r="C3008" t="s">
        <v>754</v>
      </c>
      <c r="D3008">
        <v>0</v>
      </c>
      <c r="E3008">
        <v>7.85685</v>
      </c>
      <c r="F3008">
        <v>15.5663</v>
      </c>
      <c r="G3008">
        <v>744049.31</v>
      </c>
      <c r="H3008" s="1">
        <v>32373</v>
      </c>
      <c r="I3008" s="1">
        <v>32380</v>
      </c>
      <c r="J3008" t="s">
        <v>15</v>
      </c>
      <c r="K3008">
        <v>0</v>
      </c>
      <c r="L3008">
        <v>300000</v>
      </c>
      <c r="M3008" t="s">
        <v>16</v>
      </c>
      <c r="N3008">
        <v>2</v>
      </c>
    </row>
    <row r="3009" hidden="1" spans="1:14">
      <c r="A3009">
        <v>242</v>
      </c>
      <c r="B3009">
        <v>0</v>
      </c>
      <c r="C3009" t="s">
        <v>754</v>
      </c>
      <c r="D3009">
        <v>0</v>
      </c>
      <c r="E3009">
        <v>2.32843</v>
      </c>
      <c r="F3009">
        <v>13.4802</v>
      </c>
      <c r="G3009">
        <v>88395.78</v>
      </c>
      <c r="H3009" s="1">
        <v>32388</v>
      </c>
      <c r="I3009" s="1">
        <v>32389</v>
      </c>
      <c r="J3009" t="s">
        <v>15</v>
      </c>
      <c r="K3009">
        <v>13</v>
      </c>
      <c r="L3009">
        <v>7000</v>
      </c>
      <c r="M3009" t="s">
        <v>16</v>
      </c>
      <c r="N3009">
        <v>2</v>
      </c>
    </row>
    <row r="3010" spans="1:14">
      <c r="A3010">
        <v>55</v>
      </c>
      <c r="B3010">
        <v>0</v>
      </c>
      <c r="C3010" t="s">
        <v>263</v>
      </c>
      <c r="D3010">
        <v>0</v>
      </c>
      <c r="E3010">
        <v>6.50345</v>
      </c>
      <c r="F3010">
        <v>6.41486</v>
      </c>
      <c r="G3010">
        <v>74615.9</v>
      </c>
      <c r="H3010" s="1">
        <v>31313</v>
      </c>
      <c r="I3010" s="1">
        <v>31315</v>
      </c>
      <c r="J3010" t="s">
        <v>15</v>
      </c>
      <c r="K3010">
        <v>0</v>
      </c>
      <c r="L3010">
        <v>6000</v>
      </c>
      <c r="M3010" t="s">
        <v>49</v>
      </c>
      <c r="N3010">
        <v>1</v>
      </c>
    </row>
    <row r="3011" spans="1:14">
      <c r="A3011">
        <v>249</v>
      </c>
      <c r="B3011">
        <v>0</v>
      </c>
      <c r="C3011" t="s">
        <v>263</v>
      </c>
      <c r="E3011">
        <v>2.40705</v>
      </c>
      <c r="F3011">
        <v>9.50559</v>
      </c>
      <c r="G3011">
        <v>71964.13</v>
      </c>
      <c r="H3011" s="1">
        <v>32400</v>
      </c>
      <c r="I3011" s="1">
        <v>32412</v>
      </c>
      <c r="J3011" t="s">
        <v>15</v>
      </c>
      <c r="K3011">
        <v>7</v>
      </c>
      <c r="L3011">
        <v>136000</v>
      </c>
      <c r="M3011" t="s">
        <v>64</v>
      </c>
      <c r="N3011">
        <v>1</v>
      </c>
    </row>
    <row r="3012" spans="1:14">
      <c r="A3012">
        <v>257</v>
      </c>
      <c r="B3012">
        <v>0</v>
      </c>
      <c r="C3012" t="s">
        <v>263</v>
      </c>
      <c r="D3012">
        <v>0</v>
      </c>
      <c r="E3012">
        <v>7.10119</v>
      </c>
      <c r="F3012">
        <v>6.37902</v>
      </c>
      <c r="G3012">
        <v>8884.3</v>
      </c>
      <c r="H3012" s="1">
        <v>32407</v>
      </c>
      <c r="I3012" s="1">
        <v>32421</v>
      </c>
      <c r="J3012" t="s">
        <v>15</v>
      </c>
      <c r="K3012">
        <v>0</v>
      </c>
      <c r="L3012">
        <v>70000</v>
      </c>
      <c r="M3012" t="s">
        <v>25</v>
      </c>
      <c r="N3012">
        <v>1</v>
      </c>
    </row>
    <row r="3013" spans="1:14">
      <c r="A3013">
        <v>430</v>
      </c>
      <c r="B3013">
        <v>0</v>
      </c>
      <c r="C3013" t="s">
        <v>263</v>
      </c>
      <c r="D3013">
        <v>0</v>
      </c>
      <c r="E3013">
        <v>3.51739</v>
      </c>
      <c r="F3013">
        <v>6.53686</v>
      </c>
      <c r="G3013">
        <v>3421.54</v>
      </c>
      <c r="H3013" s="1">
        <v>33057</v>
      </c>
      <c r="I3013" s="1">
        <v>33058</v>
      </c>
      <c r="J3013" t="s">
        <v>15</v>
      </c>
      <c r="K3013">
        <v>5</v>
      </c>
      <c r="L3013">
        <v>3000</v>
      </c>
      <c r="M3013" t="s">
        <v>16</v>
      </c>
      <c r="N3013">
        <v>1</v>
      </c>
    </row>
    <row r="3014" spans="1:14">
      <c r="A3014">
        <v>443</v>
      </c>
      <c r="B3014">
        <v>0</v>
      </c>
      <c r="C3014" t="s">
        <v>263</v>
      </c>
      <c r="D3014">
        <v>0</v>
      </c>
      <c r="E3014">
        <v>8.3879</v>
      </c>
      <c r="F3014">
        <v>5.84049</v>
      </c>
      <c r="G3014">
        <v>5516.12</v>
      </c>
      <c r="H3014" s="1">
        <v>33087</v>
      </c>
      <c r="I3014" s="1">
        <v>33088</v>
      </c>
      <c r="J3014" t="s">
        <v>15</v>
      </c>
      <c r="K3014">
        <v>100</v>
      </c>
      <c r="L3014">
        <v>0</v>
      </c>
      <c r="M3014" t="s">
        <v>16</v>
      </c>
      <c r="N3014">
        <v>1</v>
      </c>
    </row>
    <row r="3015" spans="1:14">
      <c r="A3015">
        <v>459</v>
      </c>
      <c r="B3015">
        <v>0</v>
      </c>
      <c r="C3015" t="s">
        <v>263</v>
      </c>
      <c r="D3015">
        <v>0</v>
      </c>
      <c r="E3015">
        <v>8.88898</v>
      </c>
      <c r="F3015">
        <v>7.50054</v>
      </c>
      <c r="G3015">
        <v>36124.07</v>
      </c>
      <c r="H3015" s="1">
        <v>33132</v>
      </c>
      <c r="I3015" s="1">
        <v>33137</v>
      </c>
      <c r="J3015" t="s">
        <v>15</v>
      </c>
      <c r="K3015">
        <v>0</v>
      </c>
      <c r="L3015">
        <v>300000</v>
      </c>
      <c r="M3015" t="s">
        <v>16</v>
      </c>
      <c r="N3015">
        <v>1</v>
      </c>
    </row>
    <row r="3016" spans="1:14">
      <c r="A3016">
        <v>559</v>
      </c>
      <c r="B3016">
        <v>0</v>
      </c>
      <c r="C3016" t="s">
        <v>263</v>
      </c>
      <c r="D3016">
        <v>0</v>
      </c>
      <c r="E3016">
        <v>8.52892</v>
      </c>
      <c r="F3016">
        <v>11.69</v>
      </c>
      <c r="G3016">
        <v>22908.02</v>
      </c>
      <c r="H3016" s="1">
        <v>33454</v>
      </c>
      <c r="I3016" s="1">
        <v>33455</v>
      </c>
      <c r="J3016" t="s">
        <v>15</v>
      </c>
      <c r="K3016">
        <v>4</v>
      </c>
      <c r="L3016">
        <v>10000</v>
      </c>
      <c r="M3016" t="s">
        <v>16</v>
      </c>
      <c r="N3016">
        <v>1</v>
      </c>
    </row>
    <row r="3017" spans="1:14">
      <c r="A3017">
        <v>698</v>
      </c>
      <c r="B3017">
        <v>0</v>
      </c>
      <c r="C3017" t="s">
        <v>263</v>
      </c>
      <c r="D3017">
        <v>0</v>
      </c>
      <c r="E3017">
        <v>13.018</v>
      </c>
      <c r="F3017">
        <v>10.2805</v>
      </c>
      <c r="G3017">
        <v>42369.21</v>
      </c>
      <c r="H3017" s="1">
        <v>33869</v>
      </c>
      <c r="I3017" s="1">
        <v>33870</v>
      </c>
      <c r="J3017" t="s">
        <v>15</v>
      </c>
      <c r="K3017">
        <v>9</v>
      </c>
      <c r="L3017">
        <v>13000</v>
      </c>
      <c r="M3017" t="s">
        <v>16</v>
      </c>
      <c r="N3017">
        <v>1</v>
      </c>
    </row>
    <row r="3018" spans="1:14">
      <c r="A3018">
        <v>899</v>
      </c>
      <c r="B3018">
        <v>0</v>
      </c>
      <c r="C3018" t="s">
        <v>263</v>
      </c>
      <c r="D3018" t="s">
        <v>221</v>
      </c>
      <c r="E3018">
        <v>13.3184</v>
      </c>
      <c r="F3018">
        <v>12.0384</v>
      </c>
      <c r="G3018">
        <v>317262.41</v>
      </c>
      <c r="H3018" s="1">
        <v>34588</v>
      </c>
      <c r="I3018" s="1">
        <v>34592</v>
      </c>
      <c r="J3018" t="s">
        <v>15</v>
      </c>
      <c r="K3018">
        <v>142</v>
      </c>
      <c r="L3018">
        <v>180000</v>
      </c>
      <c r="M3018" t="s">
        <v>16</v>
      </c>
      <c r="N3018">
        <v>1</v>
      </c>
    </row>
    <row r="3019" spans="1:14">
      <c r="A3019">
        <v>980</v>
      </c>
      <c r="B3019">
        <v>0</v>
      </c>
      <c r="C3019" t="s">
        <v>263</v>
      </c>
      <c r="D3019">
        <v>0</v>
      </c>
      <c r="E3019">
        <v>8.96747</v>
      </c>
      <c r="F3019">
        <v>10.0459</v>
      </c>
      <c r="G3019">
        <v>19768.44</v>
      </c>
      <c r="H3019" s="1">
        <v>34918</v>
      </c>
      <c r="I3019" s="1">
        <v>34921</v>
      </c>
      <c r="J3019" t="s">
        <v>15</v>
      </c>
      <c r="K3019">
        <v>30</v>
      </c>
      <c r="L3019">
        <v>0</v>
      </c>
      <c r="M3019" t="s">
        <v>16</v>
      </c>
      <c r="N3019">
        <v>1</v>
      </c>
    </row>
    <row r="3020" spans="1:14">
      <c r="A3020">
        <v>1219</v>
      </c>
      <c r="B3020">
        <v>0</v>
      </c>
      <c r="C3020" t="s">
        <v>263</v>
      </c>
      <c r="D3020">
        <v>0</v>
      </c>
      <c r="E3020">
        <v>4.03785</v>
      </c>
      <c r="F3020">
        <v>7.46328</v>
      </c>
      <c r="G3020">
        <v>17287.47</v>
      </c>
      <c r="H3020" s="1">
        <v>35550</v>
      </c>
      <c r="I3020" s="1">
        <v>35551</v>
      </c>
      <c r="J3020" t="s">
        <v>15</v>
      </c>
      <c r="K3020">
        <v>5</v>
      </c>
      <c r="L3020">
        <v>0</v>
      </c>
      <c r="M3020" t="s">
        <v>16</v>
      </c>
      <c r="N3020">
        <v>1</v>
      </c>
    </row>
    <row r="3021" spans="1:14">
      <c r="A3021">
        <v>1431</v>
      </c>
      <c r="B3021">
        <v>0</v>
      </c>
      <c r="C3021" t="s">
        <v>263</v>
      </c>
      <c r="D3021">
        <v>0</v>
      </c>
      <c r="E3021">
        <v>8.9692</v>
      </c>
      <c r="F3021">
        <v>11.8968</v>
      </c>
      <c r="G3021">
        <v>39717.53</v>
      </c>
      <c r="H3021" s="1">
        <v>36022</v>
      </c>
      <c r="I3021" s="1">
        <v>36023</v>
      </c>
      <c r="J3021" t="s">
        <v>15</v>
      </c>
      <c r="K3021">
        <v>15</v>
      </c>
      <c r="L3021">
        <v>5000</v>
      </c>
      <c r="M3021" t="s">
        <v>16</v>
      </c>
      <c r="N3021">
        <v>1</v>
      </c>
    </row>
    <row r="3022" spans="1:14">
      <c r="A3022">
        <v>1454</v>
      </c>
      <c r="B3022">
        <v>0</v>
      </c>
      <c r="C3022" t="s">
        <v>263</v>
      </c>
      <c r="D3022">
        <v>0</v>
      </c>
      <c r="E3022">
        <v>4.48983</v>
      </c>
      <c r="F3022">
        <v>8.84162</v>
      </c>
      <c r="G3022">
        <v>29086.58</v>
      </c>
      <c r="H3022" s="1">
        <v>36080</v>
      </c>
      <c r="I3022" s="1">
        <v>36086</v>
      </c>
      <c r="J3022" t="s">
        <v>15</v>
      </c>
      <c r="K3022">
        <v>0</v>
      </c>
      <c r="L3022">
        <v>110000</v>
      </c>
      <c r="M3022" t="s">
        <v>16</v>
      </c>
      <c r="N3022">
        <v>1</v>
      </c>
    </row>
    <row r="3023" spans="1:14">
      <c r="A3023">
        <v>1560</v>
      </c>
      <c r="B3023">
        <v>0</v>
      </c>
      <c r="C3023" t="s">
        <v>263</v>
      </c>
      <c r="D3023" t="s">
        <v>427</v>
      </c>
      <c r="E3023">
        <v>5.9793</v>
      </c>
      <c r="F3023">
        <v>12.5634</v>
      </c>
      <c r="G3023">
        <v>861989.44</v>
      </c>
      <c r="H3023" s="1">
        <v>36418</v>
      </c>
      <c r="I3023" s="1">
        <v>36444</v>
      </c>
      <c r="J3023" t="s">
        <v>15</v>
      </c>
      <c r="K3023">
        <v>85</v>
      </c>
      <c r="L3023">
        <v>396748</v>
      </c>
      <c r="M3023" t="s">
        <v>16</v>
      </c>
      <c r="N3023">
        <v>2</v>
      </c>
    </row>
    <row r="3024" spans="1:14">
      <c r="A3024">
        <v>1563</v>
      </c>
      <c r="B3024">
        <v>0</v>
      </c>
      <c r="C3024" t="s">
        <v>263</v>
      </c>
      <c r="D3024">
        <v>0</v>
      </c>
      <c r="E3024">
        <v>11.938</v>
      </c>
      <c r="F3024">
        <v>6.60512</v>
      </c>
      <c r="G3024">
        <v>251262.56</v>
      </c>
      <c r="H3024" s="1">
        <v>36459</v>
      </c>
      <c r="I3024" s="1">
        <v>36472</v>
      </c>
      <c r="J3024" t="s">
        <v>15</v>
      </c>
      <c r="K3024">
        <v>50</v>
      </c>
      <c r="L3024">
        <v>0</v>
      </c>
      <c r="M3024" t="s">
        <v>16</v>
      </c>
      <c r="N3024">
        <v>2</v>
      </c>
    </row>
    <row r="3025" spans="1:14">
      <c r="A3025">
        <v>2003</v>
      </c>
      <c r="B3025">
        <v>0</v>
      </c>
      <c r="C3025" t="s">
        <v>263</v>
      </c>
      <c r="D3025">
        <v>0</v>
      </c>
      <c r="E3025">
        <v>3.28106</v>
      </c>
      <c r="F3025">
        <v>6.60559</v>
      </c>
      <c r="G3025">
        <v>1657.33</v>
      </c>
      <c r="H3025" s="1">
        <v>37461</v>
      </c>
      <c r="I3025" s="1">
        <v>37463</v>
      </c>
      <c r="J3025" t="s">
        <v>15</v>
      </c>
      <c r="K3025">
        <v>2</v>
      </c>
      <c r="L3025">
        <v>0</v>
      </c>
      <c r="M3025" t="s">
        <v>16</v>
      </c>
      <c r="N3025">
        <v>1</v>
      </c>
    </row>
    <row r="3026" spans="1:14">
      <c r="A3026">
        <v>2247</v>
      </c>
      <c r="B3026">
        <v>0</v>
      </c>
      <c r="C3026" t="s">
        <v>263</v>
      </c>
      <c r="D3026">
        <v>0</v>
      </c>
      <c r="E3026">
        <v>9.78959</v>
      </c>
      <c r="F3026">
        <v>12.4276</v>
      </c>
      <c r="G3026">
        <v>5709.91</v>
      </c>
      <c r="H3026" s="1">
        <v>37779</v>
      </c>
      <c r="I3026" s="1">
        <v>37780</v>
      </c>
      <c r="J3026" t="s">
        <v>15</v>
      </c>
      <c r="K3026">
        <v>0</v>
      </c>
      <c r="L3026">
        <v>2000</v>
      </c>
      <c r="M3026" t="s">
        <v>16</v>
      </c>
      <c r="N3026">
        <v>1</v>
      </c>
    </row>
    <row r="3027" spans="1:14">
      <c r="A3027">
        <v>2250</v>
      </c>
      <c r="B3027">
        <v>0</v>
      </c>
      <c r="C3027" t="s">
        <v>263</v>
      </c>
      <c r="D3027">
        <v>0</v>
      </c>
      <c r="E3027">
        <v>8.43421</v>
      </c>
      <c r="F3027">
        <v>11.81</v>
      </c>
      <c r="G3027">
        <v>785.174</v>
      </c>
      <c r="H3027" s="1">
        <v>37769</v>
      </c>
      <c r="I3027" s="1">
        <v>37770</v>
      </c>
      <c r="J3027" t="s">
        <v>15</v>
      </c>
      <c r="K3027">
        <v>1</v>
      </c>
      <c r="L3027">
        <v>800</v>
      </c>
      <c r="M3027" t="s">
        <v>18</v>
      </c>
      <c r="N3027">
        <v>1</v>
      </c>
    </row>
    <row r="3028" spans="1:14">
      <c r="A3028">
        <v>2290</v>
      </c>
      <c r="B3028">
        <v>0</v>
      </c>
      <c r="C3028" t="s">
        <v>263</v>
      </c>
      <c r="D3028">
        <v>0</v>
      </c>
      <c r="E3028">
        <v>8.94298</v>
      </c>
      <c r="F3028">
        <v>6.28577</v>
      </c>
      <c r="G3028">
        <v>8171.95</v>
      </c>
      <c r="H3028" s="1">
        <v>37825</v>
      </c>
      <c r="I3028" s="1">
        <v>37827</v>
      </c>
      <c r="J3028" t="s">
        <v>15</v>
      </c>
      <c r="K3028">
        <v>5</v>
      </c>
      <c r="L3028">
        <v>0</v>
      </c>
      <c r="M3028" t="s">
        <v>16</v>
      </c>
      <c r="N3028">
        <v>1</v>
      </c>
    </row>
    <row r="3029" spans="1:14">
      <c r="A3029">
        <v>2293</v>
      </c>
      <c r="B3029">
        <v>0</v>
      </c>
      <c r="C3029" t="s">
        <v>263</v>
      </c>
      <c r="D3029">
        <v>0</v>
      </c>
      <c r="E3029">
        <v>11.1736</v>
      </c>
      <c r="F3029">
        <v>10.1997</v>
      </c>
      <c r="G3029">
        <v>1524.21</v>
      </c>
      <c r="H3029" s="1">
        <v>37824</v>
      </c>
      <c r="I3029" s="1">
        <v>37826</v>
      </c>
      <c r="J3029" t="s">
        <v>15</v>
      </c>
      <c r="K3029">
        <v>0</v>
      </c>
      <c r="L3029">
        <v>160</v>
      </c>
      <c r="M3029" t="s">
        <v>16</v>
      </c>
      <c r="N3029">
        <v>1</v>
      </c>
    </row>
    <row r="3030" spans="1:14">
      <c r="A3030">
        <v>2294</v>
      </c>
      <c r="B3030">
        <v>0</v>
      </c>
      <c r="C3030" t="s">
        <v>263</v>
      </c>
      <c r="D3030">
        <v>0</v>
      </c>
      <c r="E3030">
        <v>9.13461</v>
      </c>
      <c r="F3030">
        <v>6.92886</v>
      </c>
      <c r="G3030">
        <v>2626.51</v>
      </c>
      <c r="H3030" s="1">
        <v>37829</v>
      </c>
      <c r="I3030" s="1">
        <v>37829</v>
      </c>
      <c r="J3030" t="s">
        <v>15</v>
      </c>
      <c r="K3030">
        <v>2</v>
      </c>
      <c r="L3030">
        <v>3000</v>
      </c>
      <c r="M3030" t="s">
        <v>16</v>
      </c>
      <c r="N3030">
        <v>1</v>
      </c>
    </row>
    <row r="3031" spans="1:14">
      <c r="A3031">
        <v>2311</v>
      </c>
      <c r="B3031">
        <v>0</v>
      </c>
      <c r="C3031" t="s">
        <v>263</v>
      </c>
      <c r="D3031">
        <v>0</v>
      </c>
      <c r="E3031">
        <v>4.73527</v>
      </c>
      <c r="F3031">
        <v>12.3948</v>
      </c>
      <c r="G3031">
        <v>138852.9</v>
      </c>
      <c r="H3031" s="1">
        <v>37838</v>
      </c>
      <c r="I3031" s="1">
        <v>37906</v>
      </c>
      <c r="J3031" t="s">
        <v>15</v>
      </c>
      <c r="K3031">
        <v>7</v>
      </c>
      <c r="L3031">
        <v>10000</v>
      </c>
      <c r="M3031" t="s">
        <v>16</v>
      </c>
      <c r="N3031">
        <v>1</v>
      </c>
    </row>
    <row r="3032" spans="1:14">
      <c r="A3032">
        <v>2314</v>
      </c>
      <c r="B3032">
        <v>0</v>
      </c>
      <c r="C3032" t="s">
        <v>263</v>
      </c>
      <c r="D3032">
        <v>0</v>
      </c>
      <c r="E3032">
        <v>10.0128</v>
      </c>
      <c r="F3032">
        <v>12.6343</v>
      </c>
      <c r="G3032">
        <v>19628.97</v>
      </c>
      <c r="H3032" s="1">
        <v>37838</v>
      </c>
      <c r="I3032" s="1">
        <v>37906</v>
      </c>
      <c r="J3032" t="s">
        <v>15</v>
      </c>
      <c r="K3032">
        <v>7</v>
      </c>
      <c r="L3032">
        <v>10000</v>
      </c>
      <c r="M3032" t="s">
        <v>16</v>
      </c>
      <c r="N3032">
        <v>1</v>
      </c>
    </row>
    <row r="3033" spans="1:14">
      <c r="A3033">
        <v>2345</v>
      </c>
      <c r="B3033">
        <v>0</v>
      </c>
      <c r="C3033" t="s">
        <v>263</v>
      </c>
      <c r="D3033">
        <v>0</v>
      </c>
      <c r="E3033">
        <v>7.48686</v>
      </c>
      <c r="F3033">
        <v>10.5143</v>
      </c>
      <c r="G3033">
        <v>134916.26</v>
      </c>
      <c r="H3033" s="1">
        <v>37869</v>
      </c>
      <c r="I3033" s="1">
        <v>37922</v>
      </c>
      <c r="J3033" t="s">
        <v>15</v>
      </c>
      <c r="K3033">
        <v>16</v>
      </c>
      <c r="L3033">
        <v>210000</v>
      </c>
      <c r="M3033" t="s">
        <v>16</v>
      </c>
      <c r="N3033">
        <v>1</v>
      </c>
    </row>
    <row r="3034" spans="1:14">
      <c r="A3034">
        <v>2361</v>
      </c>
      <c r="B3034">
        <v>0</v>
      </c>
      <c r="C3034" t="s">
        <v>263</v>
      </c>
      <c r="D3034">
        <v>0</v>
      </c>
      <c r="E3034">
        <v>11.9235</v>
      </c>
      <c r="F3034">
        <v>8.87752</v>
      </c>
      <c r="G3034">
        <v>137750</v>
      </c>
      <c r="H3034" s="1">
        <v>37886</v>
      </c>
      <c r="I3034" s="1">
        <v>37904</v>
      </c>
      <c r="J3034" t="s">
        <v>15</v>
      </c>
      <c r="K3034">
        <v>28</v>
      </c>
      <c r="L3034">
        <v>1000</v>
      </c>
      <c r="M3034" t="s">
        <v>16</v>
      </c>
      <c r="N3034">
        <v>1</v>
      </c>
    </row>
    <row r="3035" spans="1:14">
      <c r="A3035">
        <v>2503</v>
      </c>
      <c r="B3035">
        <v>0</v>
      </c>
      <c r="C3035" t="s">
        <v>263</v>
      </c>
      <c r="D3035">
        <v>0</v>
      </c>
      <c r="E3035">
        <v>3.48641</v>
      </c>
      <c r="F3035">
        <v>6.4901</v>
      </c>
      <c r="G3035">
        <v>337.173</v>
      </c>
      <c r="H3035" s="1">
        <v>38155</v>
      </c>
      <c r="I3035" s="1">
        <v>38156</v>
      </c>
      <c r="J3035" t="s">
        <v>15</v>
      </c>
      <c r="K3035">
        <v>0</v>
      </c>
      <c r="L3035">
        <v>0</v>
      </c>
      <c r="M3035" t="s">
        <v>16</v>
      </c>
      <c r="N3035">
        <v>1</v>
      </c>
    </row>
    <row r="3036" spans="1:14">
      <c r="A3036">
        <v>2509</v>
      </c>
      <c r="B3036">
        <v>0</v>
      </c>
      <c r="C3036" t="s">
        <v>263</v>
      </c>
      <c r="D3036">
        <v>0</v>
      </c>
      <c r="E3036">
        <v>9.72517</v>
      </c>
      <c r="F3036">
        <v>12.4118</v>
      </c>
      <c r="G3036">
        <v>8716.04</v>
      </c>
      <c r="H3036" s="1">
        <v>38160</v>
      </c>
      <c r="I3036" s="1">
        <v>38163</v>
      </c>
      <c r="J3036" t="s">
        <v>15</v>
      </c>
      <c r="K3036">
        <v>0</v>
      </c>
      <c r="L3036">
        <v>300</v>
      </c>
      <c r="M3036" t="s">
        <v>16</v>
      </c>
      <c r="N3036">
        <v>1</v>
      </c>
    </row>
    <row r="3037" spans="1:14">
      <c r="A3037">
        <v>2545</v>
      </c>
      <c r="B3037">
        <v>0</v>
      </c>
      <c r="C3037" t="s">
        <v>263</v>
      </c>
      <c r="D3037">
        <v>0</v>
      </c>
      <c r="E3037">
        <v>6.00639</v>
      </c>
      <c r="F3037">
        <v>5.5144</v>
      </c>
      <c r="G3037">
        <v>517.871</v>
      </c>
      <c r="H3037" s="1">
        <v>38207</v>
      </c>
      <c r="I3037" s="1">
        <v>38209</v>
      </c>
      <c r="J3037" t="s">
        <v>15</v>
      </c>
      <c r="K3037">
        <v>0</v>
      </c>
      <c r="L3037">
        <v>15000</v>
      </c>
      <c r="M3037" t="s">
        <v>16</v>
      </c>
      <c r="N3037">
        <v>1</v>
      </c>
    </row>
    <row r="3038" spans="1:14">
      <c r="A3038">
        <v>2546</v>
      </c>
      <c r="B3038">
        <v>0</v>
      </c>
      <c r="C3038" t="s">
        <v>263</v>
      </c>
      <c r="D3038">
        <v>0</v>
      </c>
      <c r="E3038">
        <v>12.7303</v>
      </c>
      <c r="F3038">
        <v>10.0552</v>
      </c>
      <c r="G3038">
        <v>5488.44</v>
      </c>
      <c r="H3038" s="1">
        <v>38207</v>
      </c>
      <c r="I3038" s="1">
        <v>38211</v>
      </c>
      <c r="J3038" t="s">
        <v>15</v>
      </c>
      <c r="K3038">
        <v>65</v>
      </c>
      <c r="L3038">
        <v>2500</v>
      </c>
      <c r="M3038" t="s">
        <v>16</v>
      </c>
      <c r="N3038">
        <v>1</v>
      </c>
    </row>
    <row r="3039" spans="1:14">
      <c r="A3039">
        <v>2553</v>
      </c>
      <c r="B3039">
        <v>0</v>
      </c>
      <c r="C3039" t="s">
        <v>263</v>
      </c>
      <c r="D3039">
        <v>0</v>
      </c>
      <c r="E3039">
        <v>11.1989</v>
      </c>
      <c r="F3039">
        <v>10.4041</v>
      </c>
      <c r="G3039">
        <v>20780.32</v>
      </c>
      <c r="H3039" s="1">
        <v>38220</v>
      </c>
      <c r="I3039" s="1">
        <v>38222</v>
      </c>
      <c r="J3039" t="s">
        <v>15</v>
      </c>
      <c r="K3039">
        <v>25</v>
      </c>
      <c r="L3039">
        <v>3000</v>
      </c>
      <c r="M3039" t="s">
        <v>16</v>
      </c>
      <c r="N3039">
        <v>1</v>
      </c>
    </row>
    <row r="3040" spans="1:14">
      <c r="A3040">
        <v>2721</v>
      </c>
      <c r="B3040">
        <v>0</v>
      </c>
      <c r="C3040" t="s">
        <v>263</v>
      </c>
      <c r="D3040">
        <v>0</v>
      </c>
      <c r="E3040">
        <v>10.9053</v>
      </c>
      <c r="F3040">
        <v>10.6656</v>
      </c>
      <c r="G3040">
        <v>159497.37</v>
      </c>
      <c r="H3040" s="1">
        <v>38571</v>
      </c>
      <c r="I3040" s="1">
        <v>38611</v>
      </c>
      <c r="J3040" t="s">
        <v>15</v>
      </c>
      <c r="K3040">
        <v>3</v>
      </c>
      <c r="L3040">
        <v>7</v>
      </c>
      <c r="M3040" t="s">
        <v>16</v>
      </c>
      <c r="N3040">
        <v>1</v>
      </c>
    </row>
    <row r="3041" spans="1:14">
      <c r="A3041">
        <v>2739</v>
      </c>
      <c r="B3041">
        <v>0</v>
      </c>
      <c r="C3041" t="s">
        <v>263</v>
      </c>
      <c r="D3041">
        <v>0</v>
      </c>
      <c r="E3041">
        <v>10.4374</v>
      </c>
      <c r="F3041">
        <v>12.5706</v>
      </c>
      <c r="G3041">
        <v>11553.11</v>
      </c>
      <c r="H3041" s="1">
        <v>38621</v>
      </c>
      <c r="I3041" s="1">
        <v>38624</v>
      </c>
      <c r="J3041" t="s">
        <v>15</v>
      </c>
      <c r="K3041">
        <v>0</v>
      </c>
      <c r="L3041">
        <v>1500</v>
      </c>
      <c r="M3041" t="s">
        <v>16</v>
      </c>
      <c r="N3041">
        <v>1</v>
      </c>
    </row>
    <row r="3042" spans="1:14">
      <c r="A3042">
        <v>2925</v>
      </c>
      <c r="B3042">
        <v>0</v>
      </c>
      <c r="C3042" t="s">
        <v>263</v>
      </c>
      <c r="D3042">
        <v>0</v>
      </c>
      <c r="E3042">
        <v>6.3487</v>
      </c>
      <c r="F3042">
        <v>6.9447</v>
      </c>
      <c r="G3042">
        <v>724.352</v>
      </c>
      <c r="H3042" s="1">
        <v>38913</v>
      </c>
      <c r="I3042" s="1">
        <v>38915</v>
      </c>
      <c r="J3042" t="s">
        <v>15</v>
      </c>
      <c r="K3042">
        <v>0</v>
      </c>
      <c r="L3042">
        <v>2000</v>
      </c>
      <c r="M3042" t="s">
        <v>16</v>
      </c>
      <c r="N3042">
        <v>1</v>
      </c>
    </row>
    <row r="3043" spans="1:14">
      <c r="A3043">
        <v>2928</v>
      </c>
      <c r="B3043">
        <v>0</v>
      </c>
      <c r="C3043" t="s">
        <v>263</v>
      </c>
      <c r="D3043">
        <v>0</v>
      </c>
      <c r="E3043">
        <v>7.17056</v>
      </c>
      <c r="F3043">
        <v>9.08112</v>
      </c>
      <c r="G3043">
        <v>1851.09</v>
      </c>
      <c r="H3043" s="1">
        <v>38916</v>
      </c>
      <c r="I3043" s="1">
        <v>38918</v>
      </c>
      <c r="J3043" t="s">
        <v>15</v>
      </c>
      <c r="K3043">
        <v>4</v>
      </c>
      <c r="L3043">
        <v>40</v>
      </c>
      <c r="M3043" t="s">
        <v>16</v>
      </c>
      <c r="N3043">
        <v>1</v>
      </c>
    </row>
    <row r="3044" spans="1:14">
      <c r="A3044">
        <v>2967</v>
      </c>
      <c r="B3044">
        <v>0</v>
      </c>
      <c r="C3044" t="s">
        <v>263</v>
      </c>
      <c r="D3044">
        <v>0</v>
      </c>
      <c r="E3044">
        <v>5.34617</v>
      </c>
      <c r="F3044">
        <v>8.16231</v>
      </c>
      <c r="G3044">
        <v>869.89</v>
      </c>
      <c r="H3044" s="1">
        <v>38972</v>
      </c>
      <c r="I3044" s="1">
        <v>38973</v>
      </c>
      <c r="J3044" t="s">
        <v>15</v>
      </c>
      <c r="K3044">
        <v>20</v>
      </c>
      <c r="L3044">
        <v>0</v>
      </c>
      <c r="M3044" t="s">
        <v>18</v>
      </c>
      <c r="N3044">
        <v>1</v>
      </c>
    </row>
    <row r="3045" spans="1:14">
      <c r="A3045">
        <v>3148</v>
      </c>
      <c r="B3045" t="s">
        <v>755</v>
      </c>
      <c r="C3045" t="s">
        <v>263</v>
      </c>
      <c r="D3045">
        <v>0</v>
      </c>
      <c r="E3045">
        <v>3.29858</v>
      </c>
      <c r="F3045">
        <v>6.958</v>
      </c>
      <c r="G3045">
        <v>5268.18</v>
      </c>
      <c r="H3045" s="1">
        <v>39295</v>
      </c>
      <c r="I3045" s="1">
        <v>39309</v>
      </c>
      <c r="J3045" t="s">
        <v>15</v>
      </c>
      <c r="K3045">
        <v>6</v>
      </c>
      <c r="L3045">
        <v>5000</v>
      </c>
      <c r="M3045" t="s">
        <v>16</v>
      </c>
      <c r="N3045">
        <v>1</v>
      </c>
    </row>
    <row r="3046" spans="1:14">
      <c r="A3046">
        <v>3151</v>
      </c>
      <c r="B3046" t="s">
        <v>755</v>
      </c>
      <c r="C3046" t="s">
        <v>263</v>
      </c>
      <c r="D3046">
        <v>0</v>
      </c>
      <c r="E3046">
        <v>11.7484</v>
      </c>
      <c r="F3046">
        <v>10.2921</v>
      </c>
      <c r="G3046">
        <v>630120.85</v>
      </c>
      <c r="H3046" s="1">
        <v>39298</v>
      </c>
      <c r="I3046" s="1">
        <v>39376</v>
      </c>
      <c r="J3046" t="s">
        <v>15</v>
      </c>
      <c r="K3046">
        <v>101</v>
      </c>
      <c r="L3046">
        <v>140000</v>
      </c>
      <c r="M3046" t="s">
        <v>16</v>
      </c>
      <c r="N3046">
        <v>1</v>
      </c>
    </row>
    <row r="3047" spans="1:14">
      <c r="A3047">
        <v>3540</v>
      </c>
      <c r="B3047">
        <v>0</v>
      </c>
      <c r="C3047" t="s">
        <v>263</v>
      </c>
      <c r="D3047">
        <v>0</v>
      </c>
      <c r="E3047">
        <v>5.68204</v>
      </c>
      <c r="F3047">
        <v>12.2596</v>
      </c>
      <c r="G3047">
        <v>64200.98</v>
      </c>
      <c r="H3047" s="1">
        <v>40066</v>
      </c>
      <c r="I3047" s="1">
        <v>40074</v>
      </c>
      <c r="J3047">
        <v>0</v>
      </c>
      <c r="K3047">
        <v>0</v>
      </c>
      <c r="L3047">
        <v>3000</v>
      </c>
      <c r="M3047" t="s">
        <v>49</v>
      </c>
      <c r="N3047">
        <v>2</v>
      </c>
    </row>
    <row r="3048" spans="1:14">
      <c r="A3048">
        <v>3555</v>
      </c>
      <c r="B3048">
        <v>0</v>
      </c>
      <c r="C3048" t="s">
        <v>263</v>
      </c>
      <c r="D3048">
        <v>0</v>
      </c>
      <c r="E3048">
        <v>6.5097</v>
      </c>
      <c r="F3048">
        <v>5.54356</v>
      </c>
      <c r="G3048">
        <v>53018.49</v>
      </c>
      <c r="H3048" s="1">
        <v>40106</v>
      </c>
      <c r="I3048" s="1">
        <v>40112</v>
      </c>
      <c r="J3048">
        <v>0</v>
      </c>
      <c r="K3048">
        <v>0</v>
      </c>
      <c r="L3048">
        <v>5000</v>
      </c>
      <c r="M3048" t="s">
        <v>49</v>
      </c>
      <c r="N3048">
        <v>1</v>
      </c>
    </row>
    <row r="3049" spans="1:14">
      <c r="A3049">
        <v>3715</v>
      </c>
      <c r="B3049">
        <v>0</v>
      </c>
      <c r="C3049" t="s">
        <v>263</v>
      </c>
      <c r="D3049">
        <v>0</v>
      </c>
      <c r="E3049">
        <v>4.5</v>
      </c>
      <c r="F3049">
        <v>12.78</v>
      </c>
      <c r="G3049">
        <v>8694.6</v>
      </c>
      <c r="H3049" s="1">
        <v>40434</v>
      </c>
      <c r="I3049" s="1">
        <v>40451</v>
      </c>
      <c r="J3049" t="s">
        <v>15</v>
      </c>
      <c r="K3049">
        <v>40</v>
      </c>
      <c r="L3049">
        <v>10000</v>
      </c>
      <c r="M3049" t="s">
        <v>756</v>
      </c>
      <c r="N3049">
        <v>1.5</v>
      </c>
    </row>
    <row r="3050" spans="1:14">
      <c r="A3050">
        <v>3839</v>
      </c>
      <c r="C3050" t="s">
        <v>263</v>
      </c>
      <c r="E3050">
        <v>8.6417</v>
      </c>
      <c r="F3050">
        <v>12.5947</v>
      </c>
      <c r="G3050">
        <v>103000.35</v>
      </c>
      <c r="H3050" s="1">
        <v>40739</v>
      </c>
      <c r="I3050" s="1">
        <v>40746</v>
      </c>
      <c r="J3050" t="s">
        <v>15</v>
      </c>
      <c r="K3050">
        <v>13</v>
      </c>
      <c r="L3050">
        <v>1000</v>
      </c>
      <c r="M3050" t="s">
        <v>49</v>
      </c>
      <c r="N3050">
        <v>1.5</v>
      </c>
    </row>
    <row r="3051" spans="1:14">
      <c r="A3051">
        <v>3860</v>
      </c>
      <c r="C3051" t="s">
        <v>263</v>
      </c>
      <c r="E3051">
        <v>4.47296</v>
      </c>
      <c r="F3051">
        <v>8.73715</v>
      </c>
      <c r="G3051">
        <v>20013.55</v>
      </c>
      <c r="H3051" s="1">
        <v>40781</v>
      </c>
      <c r="I3051" s="1">
        <v>40794</v>
      </c>
      <c r="J3051" t="s">
        <v>15</v>
      </c>
      <c r="K3051">
        <v>20</v>
      </c>
      <c r="L3051">
        <v>3000</v>
      </c>
      <c r="M3051" t="s">
        <v>52</v>
      </c>
      <c r="N3051">
        <v>1.5</v>
      </c>
    </row>
    <row r="3052" spans="1:14">
      <c r="A3052">
        <v>3901</v>
      </c>
      <c r="C3052" t="s">
        <v>263</v>
      </c>
      <c r="D3052" t="s">
        <v>236</v>
      </c>
      <c r="E3052">
        <v>12.8074</v>
      </c>
      <c r="F3052">
        <v>9.85967</v>
      </c>
      <c r="G3052">
        <v>50438.09</v>
      </c>
      <c r="H3052" s="1">
        <v>40959</v>
      </c>
      <c r="I3052" s="1">
        <v>40966</v>
      </c>
      <c r="J3052" t="s">
        <v>15</v>
      </c>
      <c r="K3052">
        <v>5</v>
      </c>
      <c r="L3052">
        <v>300</v>
      </c>
      <c r="M3052" t="s">
        <v>49</v>
      </c>
      <c r="N3052">
        <v>1</v>
      </c>
    </row>
    <row r="3053" spans="1:14">
      <c r="A3053">
        <v>3954</v>
      </c>
      <c r="C3053" t="s">
        <v>263</v>
      </c>
      <c r="E3053">
        <v>8.0195</v>
      </c>
      <c r="F3053">
        <v>10.5918</v>
      </c>
      <c r="G3053">
        <v>45292.27</v>
      </c>
      <c r="H3053" s="1">
        <v>41112</v>
      </c>
      <c r="I3053" s="1">
        <v>41115</v>
      </c>
      <c r="J3053" t="s">
        <v>15</v>
      </c>
      <c r="K3053">
        <v>50</v>
      </c>
      <c r="L3053">
        <v>2000</v>
      </c>
      <c r="M3053" t="s">
        <v>49</v>
      </c>
      <c r="N3053">
        <v>1.5</v>
      </c>
    </row>
    <row r="3054" spans="1:14">
      <c r="A3054">
        <v>3964</v>
      </c>
      <c r="C3054" t="s">
        <v>263</v>
      </c>
      <c r="E3054">
        <v>11.2812</v>
      </c>
      <c r="F3054">
        <v>7.42738</v>
      </c>
      <c r="G3054">
        <v>16652.25</v>
      </c>
      <c r="H3054" s="1">
        <v>41123</v>
      </c>
      <c r="I3054" s="1">
        <v>41127</v>
      </c>
      <c r="J3054" t="s">
        <v>15</v>
      </c>
      <c r="K3054">
        <v>0</v>
      </c>
      <c r="L3054">
        <v>3000</v>
      </c>
      <c r="M3054" t="s">
        <v>52</v>
      </c>
      <c r="N3054">
        <v>1.5</v>
      </c>
    </row>
    <row r="3055" spans="1:14">
      <c r="A3055">
        <v>3972</v>
      </c>
      <c r="C3055" t="s">
        <v>263</v>
      </c>
      <c r="E3055">
        <v>4.12488</v>
      </c>
      <c r="F3055">
        <v>14.316</v>
      </c>
      <c r="G3055">
        <v>48922.93</v>
      </c>
      <c r="H3055" s="1">
        <v>41145</v>
      </c>
      <c r="I3055" s="1">
        <v>41150</v>
      </c>
      <c r="J3055" t="s">
        <v>15</v>
      </c>
      <c r="K3055">
        <v>10</v>
      </c>
      <c r="L3055">
        <v>20000</v>
      </c>
      <c r="M3055" t="s">
        <v>52</v>
      </c>
      <c r="N3055">
        <v>1.5</v>
      </c>
    </row>
    <row r="3056" spans="1:14">
      <c r="A3056">
        <v>3976</v>
      </c>
      <c r="C3056" t="s">
        <v>263</v>
      </c>
      <c r="D3056" t="s">
        <v>236</v>
      </c>
      <c r="E3056">
        <v>12.1089</v>
      </c>
      <c r="F3056">
        <v>9.30166</v>
      </c>
      <c r="G3056">
        <v>96830.55</v>
      </c>
      <c r="H3056" s="1">
        <v>41146</v>
      </c>
      <c r="I3056" s="1">
        <v>41178</v>
      </c>
      <c r="J3056" t="s">
        <v>15</v>
      </c>
      <c r="K3056">
        <v>127</v>
      </c>
      <c r="L3056">
        <v>20000</v>
      </c>
      <c r="M3056" t="s">
        <v>49</v>
      </c>
      <c r="N3056">
        <v>1.5</v>
      </c>
    </row>
    <row r="3057" spans="1:14">
      <c r="A3057">
        <v>3988</v>
      </c>
      <c r="C3057" t="s">
        <v>263</v>
      </c>
      <c r="E3057">
        <v>6.33994</v>
      </c>
      <c r="F3057">
        <v>5.50441</v>
      </c>
      <c r="G3057">
        <v>12538.4</v>
      </c>
      <c r="H3057" s="1">
        <v>41167</v>
      </c>
      <c r="I3057" s="1">
        <v>41211</v>
      </c>
      <c r="J3057" t="s">
        <v>15</v>
      </c>
      <c r="K3057">
        <v>148</v>
      </c>
      <c r="L3057">
        <v>64000</v>
      </c>
      <c r="M3057" t="s">
        <v>49</v>
      </c>
      <c r="N3057">
        <v>2</v>
      </c>
    </row>
    <row r="3058" spans="1:14">
      <c r="A3058">
        <v>4088</v>
      </c>
      <c r="C3058" t="s">
        <v>263</v>
      </c>
      <c r="E3058">
        <v>7.63747</v>
      </c>
      <c r="F3058">
        <v>10.5244</v>
      </c>
      <c r="G3058">
        <v>178191.77</v>
      </c>
      <c r="H3058" s="1">
        <v>41527</v>
      </c>
      <c r="I3058" s="1">
        <v>41533</v>
      </c>
      <c r="J3058" t="s">
        <v>15</v>
      </c>
      <c r="K3058">
        <v>0</v>
      </c>
      <c r="L3058">
        <v>300</v>
      </c>
      <c r="M3058" t="s">
        <v>52</v>
      </c>
      <c r="N3058">
        <v>1.5</v>
      </c>
    </row>
    <row r="3059" spans="1:14">
      <c r="A3059">
        <v>4294</v>
      </c>
      <c r="C3059" t="s">
        <v>263</v>
      </c>
      <c r="E3059">
        <v>11.5284</v>
      </c>
      <c r="F3059">
        <v>9.95267</v>
      </c>
      <c r="G3059">
        <v>186816.02</v>
      </c>
      <c r="H3059" s="1">
        <v>42246</v>
      </c>
      <c r="I3059" s="1">
        <v>42258</v>
      </c>
      <c r="J3059" t="s">
        <v>15</v>
      </c>
      <c r="K3059">
        <v>30</v>
      </c>
      <c r="L3059">
        <v>2000</v>
      </c>
      <c r="M3059" t="s">
        <v>49</v>
      </c>
      <c r="N3059">
        <v>1.5</v>
      </c>
    </row>
    <row r="3060" spans="1:14">
      <c r="A3060">
        <v>4492</v>
      </c>
      <c r="C3060" t="s">
        <v>263</v>
      </c>
      <c r="E3060">
        <v>7.19827</v>
      </c>
      <c r="F3060">
        <v>10.079</v>
      </c>
      <c r="G3060">
        <v>24144.9</v>
      </c>
      <c r="H3060" s="1">
        <v>42924</v>
      </c>
      <c r="I3060" s="1">
        <v>42931</v>
      </c>
      <c r="J3060" t="s">
        <v>15</v>
      </c>
      <c r="K3060">
        <v>8</v>
      </c>
      <c r="L3060">
        <v>0</v>
      </c>
      <c r="M3060" t="s">
        <v>52</v>
      </c>
      <c r="N3060">
        <v>1.5</v>
      </c>
    </row>
    <row r="3061" spans="1:14">
      <c r="A3061">
        <v>4517</v>
      </c>
      <c r="B3061" t="s">
        <v>757</v>
      </c>
      <c r="C3061" t="s">
        <v>263</v>
      </c>
      <c r="E3061">
        <v>9.44993</v>
      </c>
      <c r="F3061">
        <v>8.16896</v>
      </c>
      <c r="G3061">
        <v>86946.56</v>
      </c>
      <c r="H3061" s="1">
        <v>42979</v>
      </c>
      <c r="I3061" s="1">
        <v>42997</v>
      </c>
      <c r="J3061" t="s">
        <v>15</v>
      </c>
      <c r="K3061">
        <v>0</v>
      </c>
      <c r="L3061">
        <v>10000</v>
      </c>
      <c r="M3061" t="s">
        <v>49</v>
      </c>
      <c r="N3061">
        <v>1</v>
      </c>
    </row>
    <row r="3062" spans="1:14">
      <c r="A3062">
        <v>4649</v>
      </c>
      <c r="C3062" t="s">
        <v>263</v>
      </c>
      <c r="E3062">
        <v>4.37751</v>
      </c>
      <c r="F3062">
        <v>6.60889</v>
      </c>
      <c r="G3062">
        <v>62900.45</v>
      </c>
      <c r="H3062" s="1">
        <v>43294</v>
      </c>
      <c r="I3062" s="1">
        <v>43298</v>
      </c>
      <c r="J3062" t="s">
        <v>56</v>
      </c>
      <c r="K3062">
        <v>48</v>
      </c>
      <c r="L3062">
        <v>0</v>
      </c>
      <c r="M3062" t="s">
        <v>52</v>
      </c>
      <c r="N3062">
        <v>2</v>
      </c>
    </row>
    <row r="3063" spans="1:14">
      <c r="A3063">
        <v>4667</v>
      </c>
      <c r="C3063" t="s">
        <v>263</v>
      </c>
      <c r="E3063">
        <v>8.2375</v>
      </c>
      <c r="F3063">
        <v>10.4748</v>
      </c>
      <c r="G3063">
        <v>257477.37</v>
      </c>
      <c r="H3063" s="1">
        <v>43332</v>
      </c>
      <c r="I3063" s="1">
        <v>43375</v>
      </c>
      <c r="J3063" t="s">
        <v>56</v>
      </c>
      <c r="K3063">
        <v>108</v>
      </c>
      <c r="L3063">
        <v>148000</v>
      </c>
      <c r="M3063" t="s">
        <v>49</v>
      </c>
      <c r="N3063">
        <v>2</v>
      </c>
    </row>
    <row r="3064" spans="1:14">
      <c r="A3064">
        <v>4782</v>
      </c>
      <c r="C3064" t="s">
        <v>263</v>
      </c>
      <c r="E3064">
        <v>12.6418</v>
      </c>
      <c r="F3064">
        <v>9.80315</v>
      </c>
      <c r="G3064">
        <v>106018.64</v>
      </c>
      <c r="H3064" s="1">
        <v>43678</v>
      </c>
      <c r="I3064" s="1">
        <v>43686</v>
      </c>
      <c r="J3064" t="s">
        <v>56</v>
      </c>
      <c r="K3064">
        <v>7</v>
      </c>
      <c r="L3064">
        <v>6000</v>
      </c>
      <c r="M3064" t="s">
        <v>49</v>
      </c>
      <c r="N3064">
        <v>1.5</v>
      </c>
    </row>
    <row r="3065" spans="1:14">
      <c r="A3065">
        <v>4794</v>
      </c>
      <c r="C3065" t="s">
        <v>263</v>
      </c>
      <c r="D3065" t="s">
        <v>221</v>
      </c>
      <c r="E3065">
        <v>9.42519</v>
      </c>
      <c r="F3065">
        <v>12.7565</v>
      </c>
      <c r="G3065">
        <v>1048396.98</v>
      </c>
      <c r="H3065" s="1">
        <v>43709</v>
      </c>
      <c r="I3065" s="1">
        <v>43722</v>
      </c>
      <c r="J3065" t="s">
        <v>56</v>
      </c>
      <c r="K3065">
        <v>57</v>
      </c>
      <c r="L3065">
        <v>50000</v>
      </c>
      <c r="M3065" t="s">
        <v>49</v>
      </c>
      <c r="N3065">
        <v>1.5</v>
      </c>
    </row>
    <row r="3066" spans="1:14">
      <c r="A3066">
        <v>4805</v>
      </c>
      <c r="C3066" t="s">
        <v>263</v>
      </c>
      <c r="E3066">
        <v>6.90135</v>
      </c>
      <c r="F3066">
        <v>7.69921</v>
      </c>
      <c r="G3066">
        <v>88014.67</v>
      </c>
      <c r="H3066" s="1">
        <v>43733</v>
      </c>
      <c r="I3066" s="1">
        <v>43753</v>
      </c>
      <c r="J3066" t="s">
        <v>56</v>
      </c>
      <c r="K3066">
        <v>2</v>
      </c>
      <c r="L3066">
        <v>20000</v>
      </c>
      <c r="M3066" t="s">
        <v>49</v>
      </c>
      <c r="N3066">
        <v>1.5</v>
      </c>
    </row>
    <row r="3067" spans="1:14">
      <c r="A3067">
        <v>4820</v>
      </c>
      <c r="C3067" t="s">
        <v>263</v>
      </c>
      <c r="E3067">
        <v>7.51994</v>
      </c>
      <c r="F3067">
        <v>7.92221</v>
      </c>
      <c r="G3067">
        <v>229359.19</v>
      </c>
      <c r="H3067" s="1">
        <v>43753</v>
      </c>
      <c r="I3067" s="1">
        <v>43788</v>
      </c>
      <c r="J3067" t="s">
        <v>56</v>
      </c>
      <c r="K3067">
        <v>18</v>
      </c>
      <c r="L3067">
        <v>42000</v>
      </c>
      <c r="M3067" t="s">
        <v>49</v>
      </c>
      <c r="N3067">
        <v>2</v>
      </c>
    </row>
    <row r="3068" spans="1:14">
      <c r="A3068">
        <v>4960</v>
      </c>
      <c r="C3068" t="s">
        <v>263</v>
      </c>
      <c r="E3068">
        <v>7.86635</v>
      </c>
      <c r="F3068">
        <v>10.0672</v>
      </c>
      <c r="G3068">
        <v>330402.23</v>
      </c>
      <c r="H3068" s="1">
        <v>44048</v>
      </c>
      <c r="I3068" s="1">
        <v>44070</v>
      </c>
      <c r="J3068" t="s">
        <v>56</v>
      </c>
      <c r="K3068">
        <v>3</v>
      </c>
      <c r="L3068">
        <v>15000</v>
      </c>
      <c r="M3068" t="s">
        <v>49</v>
      </c>
      <c r="N3068">
        <v>1.5</v>
      </c>
    </row>
    <row r="3069" spans="1:14">
      <c r="A3069">
        <v>4967</v>
      </c>
      <c r="C3069" t="s">
        <v>263</v>
      </c>
      <c r="E3069">
        <v>6.25802</v>
      </c>
      <c r="F3069">
        <v>7.77412</v>
      </c>
      <c r="G3069">
        <v>118736.41</v>
      </c>
      <c r="H3069" s="1">
        <v>44089</v>
      </c>
      <c r="I3069" s="1">
        <v>44129</v>
      </c>
      <c r="J3069" t="s">
        <v>56</v>
      </c>
      <c r="K3069">
        <v>155</v>
      </c>
      <c r="L3069">
        <v>25000</v>
      </c>
      <c r="M3069" t="s">
        <v>49</v>
      </c>
      <c r="N3069">
        <v>1.5</v>
      </c>
    </row>
    <row r="3070" spans="1:14">
      <c r="A3070">
        <v>5107</v>
      </c>
      <c r="C3070" t="s">
        <v>263</v>
      </c>
      <c r="E3070">
        <v>9.12827</v>
      </c>
      <c r="F3070">
        <v>12.1102</v>
      </c>
      <c r="G3070">
        <v>114959.47</v>
      </c>
      <c r="H3070" s="1">
        <v>44418</v>
      </c>
      <c r="I3070" s="1">
        <v>44425</v>
      </c>
      <c r="J3070" t="s">
        <v>56</v>
      </c>
      <c r="K3070">
        <v>21</v>
      </c>
      <c r="L3070">
        <v>1600</v>
      </c>
      <c r="M3070" t="s">
        <v>49</v>
      </c>
      <c r="N3070">
        <v>1</v>
      </c>
    </row>
    <row r="3071" spans="1:14">
      <c r="A3071">
        <v>195</v>
      </c>
      <c r="B3071">
        <v>0</v>
      </c>
      <c r="C3071" t="s">
        <v>758</v>
      </c>
      <c r="D3071">
        <v>0</v>
      </c>
      <c r="E3071">
        <v>3.45225</v>
      </c>
      <c r="F3071">
        <v>6.58518</v>
      </c>
      <c r="G3071">
        <v>1930.19</v>
      </c>
      <c r="H3071" s="1">
        <v>32326</v>
      </c>
      <c r="I3071" s="1">
        <v>32327</v>
      </c>
      <c r="J3071" t="s">
        <v>15</v>
      </c>
      <c r="K3071">
        <v>0</v>
      </c>
      <c r="L3071">
        <v>500</v>
      </c>
      <c r="M3071" t="s">
        <v>16</v>
      </c>
      <c r="N3071">
        <v>1</v>
      </c>
    </row>
    <row r="3072" spans="1:14">
      <c r="A3072">
        <v>225</v>
      </c>
      <c r="B3072">
        <v>0</v>
      </c>
      <c r="C3072" t="s">
        <v>758</v>
      </c>
      <c r="D3072">
        <v>0</v>
      </c>
      <c r="E3072">
        <v>9.09773</v>
      </c>
      <c r="F3072">
        <v>11.8707</v>
      </c>
      <c r="G3072">
        <v>60618.09</v>
      </c>
      <c r="H3072" s="1">
        <v>32362</v>
      </c>
      <c r="I3072" s="1">
        <v>32375</v>
      </c>
      <c r="J3072" t="s">
        <v>15</v>
      </c>
      <c r="K3072">
        <v>53</v>
      </c>
      <c r="L3072">
        <v>0</v>
      </c>
      <c r="M3072" t="s">
        <v>16</v>
      </c>
      <c r="N3072">
        <v>2</v>
      </c>
    </row>
    <row r="3073" spans="1:14">
      <c r="A3073">
        <v>230</v>
      </c>
      <c r="B3073">
        <v>0</v>
      </c>
      <c r="C3073" t="s">
        <v>758</v>
      </c>
      <c r="D3073">
        <v>0</v>
      </c>
      <c r="E3073">
        <v>7.08584</v>
      </c>
      <c r="F3073">
        <v>4.54794</v>
      </c>
      <c r="G3073">
        <v>1234.05</v>
      </c>
      <c r="H3073" s="1">
        <v>32377</v>
      </c>
      <c r="I3073" s="1">
        <v>32377</v>
      </c>
      <c r="J3073" t="s">
        <v>15</v>
      </c>
      <c r="K3073">
        <v>0</v>
      </c>
      <c r="L3073">
        <v>10000</v>
      </c>
      <c r="M3073" t="s">
        <v>16</v>
      </c>
      <c r="N3073">
        <v>1</v>
      </c>
    </row>
    <row r="3074" spans="1:14">
      <c r="A3074">
        <v>263</v>
      </c>
      <c r="B3074">
        <v>0</v>
      </c>
      <c r="C3074" t="s">
        <v>758</v>
      </c>
      <c r="D3074">
        <v>0</v>
      </c>
      <c r="E3074">
        <v>6.31012</v>
      </c>
      <c r="F3074">
        <v>4.97124</v>
      </c>
      <c r="G3074">
        <v>2833.23</v>
      </c>
      <c r="H3074" s="1">
        <v>32443</v>
      </c>
      <c r="I3074" s="1">
        <v>32444</v>
      </c>
      <c r="J3074" t="s">
        <v>15</v>
      </c>
      <c r="K3074">
        <v>10</v>
      </c>
      <c r="L3074">
        <v>12000</v>
      </c>
      <c r="M3074" t="s">
        <v>16</v>
      </c>
      <c r="N3074">
        <v>1</v>
      </c>
    </row>
    <row r="3075" spans="1:14">
      <c r="A3075">
        <v>1642</v>
      </c>
      <c r="B3075">
        <v>0</v>
      </c>
      <c r="C3075" t="s">
        <v>758</v>
      </c>
      <c r="D3075" t="s">
        <v>132</v>
      </c>
      <c r="E3075">
        <v>3.21802</v>
      </c>
      <c r="F3075">
        <v>6.74719</v>
      </c>
      <c r="G3075">
        <v>7724.63</v>
      </c>
      <c r="H3075" s="1">
        <v>36789</v>
      </c>
      <c r="I3075" s="1">
        <v>36790</v>
      </c>
      <c r="J3075" t="s">
        <v>15</v>
      </c>
      <c r="K3075">
        <v>0</v>
      </c>
      <c r="L3075">
        <v>0</v>
      </c>
      <c r="M3075" t="s">
        <v>18</v>
      </c>
      <c r="N3075">
        <v>1</v>
      </c>
    </row>
    <row r="3076" spans="1:14">
      <c r="A3076">
        <v>1768</v>
      </c>
      <c r="B3076">
        <v>0</v>
      </c>
      <c r="C3076" t="s">
        <v>758</v>
      </c>
      <c r="D3076">
        <v>0</v>
      </c>
      <c r="E3076">
        <v>6.16667</v>
      </c>
      <c r="F3076">
        <v>12.5291</v>
      </c>
      <c r="G3076">
        <v>1064.62</v>
      </c>
      <c r="H3076" s="1">
        <v>37094</v>
      </c>
      <c r="I3076" s="1">
        <v>37094</v>
      </c>
      <c r="J3076" t="s">
        <v>15</v>
      </c>
      <c r="K3076">
        <v>0</v>
      </c>
      <c r="L3076">
        <v>3802</v>
      </c>
      <c r="M3076" t="s">
        <v>16</v>
      </c>
      <c r="N3076">
        <v>1</v>
      </c>
    </row>
    <row r="3077" spans="1:14">
      <c r="A3077">
        <v>1786</v>
      </c>
      <c r="B3077">
        <v>0</v>
      </c>
      <c r="C3077" t="s">
        <v>758</v>
      </c>
      <c r="D3077">
        <v>0</v>
      </c>
      <c r="E3077">
        <v>8.69841</v>
      </c>
      <c r="F3077">
        <v>11.7284</v>
      </c>
      <c r="G3077">
        <v>14287.72</v>
      </c>
      <c r="H3077" s="1">
        <v>37130</v>
      </c>
      <c r="I3077" s="1">
        <v>37138</v>
      </c>
      <c r="J3077" t="s">
        <v>15</v>
      </c>
      <c r="K3077">
        <v>200</v>
      </c>
      <c r="L3077">
        <v>80000</v>
      </c>
      <c r="M3077" t="s">
        <v>25</v>
      </c>
      <c r="N3077">
        <v>2</v>
      </c>
    </row>
    <row r="3078" hidden="1" spans="1:14">
      <c r="A3078">
        <v>379</v>
      </c>
      <c r="B3078">
        <v>0</v>
      </c>
      <c r="C3078" t="s">
        <v>759</v>
      </c>
      <c r="D3078">
        <v>0</v>
      </c>
      <c r="E3078">
        <v>125.926</v>
      </c>
      <c r="F3078">
        <v>38.9874</v>
      </c>
      <c r="G3078">
        <v>3323.6</v>
      </c>
      <c r="H3078" s="1">
        <v>32819</v>
      </c>
      <c r="I3078" s="1">
        <v>32823</v>
      </c>
      <c r="J3078" t="s">
        <v>15</v>
      </c>
      <c r="K3078">
        <v>0</v>
      </c>
      <c r="L3078">
        <v>0</v>
      </c>
      <c r="M3078" t="s">
        <v>16</v>
      </c>
      <c r="N3078">
        <v>1</v>
      </c>
    </row>
    <row r="3079" hidden="1" spans="1:14">
      <c r="A3079">
        <v>975</v>
      </c>
      <c r="B3079">
        <v>0</v>
      </c>
      <c r="C3079" t="s">
        <v>759</v>
      </c>
      <c r="D3079">
        <v>0</v>
      </c>
      <c r="E3079">
        <v>128.595</v>
      </c>
      <c r="F3079">
        <v>40.3499</v>
      </c>
      <c r="G3079">
        <v>120709.21</v>
      </c>
      <c r="H3079" s="1">
        <v>34912</v>
      </c>
      <c r="I3079" s="1">
        <v>34950</v>
      </c>
      <c r="J3079" t="s">
        <v>15</v>
      </c>
      <c r="K3079">
        <v>68</v>
      </c>
      <c r="L3079">
        <v>500000</v>
      </c>
      <c r="M3079" t="s">
        <v>16</v>
      </c>
      <c r="N3079">
        <v>2</v>
      </c>
    </row>
    <row r="3080" hidden="1" spans="1:14">
      <c r="A3080">
        <v>1106</v>
      </c>
      <c r="B3080">
        <v>0</v>
      </c>
      <c r="C3080" t="s">
        <v>759</v>
      </c>
      <c r="D3080" t="s">
        <v>571</v>
      </c>
      <c r="E3080">
        <v>127.46</v>
      </c>
      <c r="F3080">
        <v>39.0121</v>
      </c>
      <c r="G3080">
        <v>100943.59</v>
      </c>
      <c r="H3080" s="1">
        <v>35271</v>
      </c>
      <c r="I3080" s="1">
        <v>35307</v>
      </c>
      <c r="J3080" t="s">
        <v>15</v>
      </c>
      <c r="K3080">
        <v>205</v>
      </c>
      <c r="L3080">
        <v>535000</v>
      </c>
      <c r="M3080" t="s">
        <v>49</v>
      </c>
      <c r="N3080">
        <v>1</v>
      </c>
    </row>
    <row r="3081" hidden="1" spans="1:14">
      <c r="A3081">
        <v>1379</v>
      </c>
      <c r="B3081">
        <v>0</v>
      </c>
      <c r="C3081" t="s">
        <v>759</v>
      </c>
      <c r="D3081">
        <v>0</v>
      </c>
      <c r="E3081">
        <v>127.54</v>
      </c>
      <c r="F3081">
        <v>38.7474</v>
      </c>
      <c r="G3081">
        <v>8053.09</v>
      </c>
      <c r="H3081" s="1">
        <v>35948</v>
      </c>
      <c r="I3081" s="1">
        <v>35951</v>
      </c>
      <c r="J3081" t="s">
        <v>15</v>
      </c>
      <c r="K3081">
        <v>0</v>
      </c>
      <c r="L3081">
        <v>0</v>
      </c>
      <c r="M3081" t="s">
        <v>743</v>
      </c>
      <c r="N3081">
        <v>1</v>
      </c>
    </row>
    <row r="3082" hidden="1" spans="1:14">
      <c r="A3082">
        <v>1424</v>
      </c>
      <c r="B3082">
        <v>0</v>
      </c>
      <c r="C3082" t="s">
        <v>759</v>
      </c>
      <c r="D3082" t="s">
        <v>571</v>
      </c>
      <c r="E3082">
        <v>127.087</v>
      </c>
      <c r="F3082">
        <v>38.2982</v>
      </c>
      <c r="G3082">
        <v>75174.08</v>
      </c>
      <c r="H3082" s="1">
        <v>36007</v>
      </c>
      <c r="I3082" s="1">
        <v>36008</v>
      </c>
      <c r="J3082" t="s">
        <v>15</v>
      </c>
      <c r="K3082">
        <v>273</v>
      </c>
      <c r="L3082">
        <v>209000</v>
      </c>
      <c r="M3082" t="s">
        <v>18</v>
      </c>
      <c r="N3082">
        <v>2</v>
      </c>
    </row>
    <row r="3083" hidden="1" spans="1:14">
      <c r="A3083">
        <v>1533</v>
      </c>
      <c r="B3083">
        <v>0</v>
      </c>
      <c r="C3083" t="s">
        <v>759</v>
      </c>
      <c r="D3083" t="s">
        <v>571</v>
      </c>
      <c r="E3083">
        <v>128.133</v>
      </c>
      <c r="F3083">
        <v>37.5661</v>
      </c>
      <c r="G3083">
        <v>45338.73</v>
      </c>
      <c r="H3083" s="1">
        <v>36371</v>
      </c>
      <c r="I3083" s="1">
        <v>36380</v>
      </c>
      <c r="J3083" t="s">
        <v>15</v>
      </c>
      <c r="K3083">
        <v>152</v>
      </c>
      <c r="L3083">
        <v>144000</v>
      </c>
      <c r="M3083" t="s">
        <v>86</v>
      </c>
      <c r="N3083">
        <v>2</v>
      </c>
    </row>
    <row r="3084" hidden="1" spans="1:14">
      <c r="A3084">
        <v>2564</v>
      </c>
      <c r="B3084">
        <v>0</v>
      </c>
      <c r="C3084" t="s">
        <v>759</v>
      </c>
      <c r="D3084" t="s">
        <v>571</v>
      </c>
      <c r="E3084">
        <v>125.899</v>
      </c>
      <c r="F3084">
        <v>38.4896</v>
      </c>
      <c r="G3084">
        <v>19689.71</v>
      </c>
      <c r="H3084" s="1">
        <v>38241</v>
      </c>
      <c r="I3084" s="1">
        <v>38243</v>
      </c>
      <c r="J3084" t="s">
        <v>15</v>
      </c>
      <c r="K3084">
        <v>0</v>
      </c>
      <c r="L3084">
        <v>0</v>
      </c>
      <c r="M3084" t="s">
        <v>16</v>
      </c>
      <c r="N3084">
        <v>1</v>
      </c>
    </row>
    <row r="3085" hidden="1" spans="1:14">
      <c r="A3085">
        <v>2685</v>
      </c>
      <c r="B3085">
        <v>0</v>
      </c>
      <c r="C3085" t="s">
        <v>759</v>
      </c>
      <c r="D3085">
        <v>0</v>
      </c>
      <c r="E3085">
        <v>126.499</v>
      </c>
      <c r="F3085">
        <v>39.7282</v>
      </c>
      <c r="G3085">
        <v>2586.86</v>
      </c>
      <c r="H3085" s="1">
        <v>38533</v>
      </c>
      <c r="I3085" s="1">
        <v>38535</v>
      </c>
      <c r="J3085" t="s">
        <v>15</v>
      </c>
      <c r="K3085">
        <v>88</v>
      </c>
      <c r="L3085">
        <v>16000</v>
      </c>
      <c r="M3085" t="s">
        <v>23</v>
      </c>
      <c r="N3085">
        <v>1</v>
      </c>
    </row>
    <row r="3086" hidden="1" spans="1:14">
      <c r="A3086">
        <v>3159</v>
      </c>
      <c r="B3086" t="s">
        <v>760</v>
      </c>
      <c r="C3086" t="s">
        <v>759</v>
      </c>
      <c r="D3086">
        <v>0</v>
      </c>
      <c r="E3086">
        <v>126.605</v>
      </c>
      <c r="F3086">
        <v>38.5299</v>
      </c>
      <c r="G3086">
        <v>31599.74</v>
      </c>
      <c r="H3086" s="1">
        <v>39302</v>
      </c>
      <c r="I3086" s="1">
        <v>39319</v>
      </c>
      <c r="J3086" t="s">
        <v>15</v>
      </c>
      <c r="K3086">
        <v>454</v>
      </c>
      <c r="L3086">
        <v>170000</v>
      </c>
      <c r="M3086" t="s">
        <v>16</v>
      </c>
      <c r="N3086">
        <v>1</v>
      </c>
    </row>
    <row r="3087" hidden="1" spans="1:14">
      <c r="A3087">
        <v>3701</v>
      </c>
      <c r="B3087">
        <v>0</v>
      </c>
      <c r="C3087" t="s">
        <v>759</v>
      </c>
      <c r="D3087">
        <v>0</v>
      </c>
      <c r="E3087">
        <v>125.713</v>
      </c>
      <c r="F3087">
        <v>39.5887</v>
      </c>
      <c r="G3087">
        <v>51188.84</v>
      </c>
      <c r="H3087" s="1">
        <v>40386</v>
      </c>
      <c r="I3087" s="1">
        <v>40398</v>
      </c>
      <c r="J3087" t="s">
        <v>15</v>
      </c>
      <c r="K3087">
        <v>0</v>
      </c>
      <c r="L3087">
        <v>17000</v>
      </c>
      <c r="M3087" t="s">
        <v>52</v>
      </c>
      <c r="N3087">
        <v>1</v>
      </c>
    </row>
    <row r="3088" hidden="1" spans="1:14">
      <c r="A3088">
        <v>3705</v>
      </c>
      <c r="B3088">
        <v>0</v>
      </c>
      <c r="C3088" t="s">
        <v>759</v>
      </c>
      <c r="E3088">
        <v>124.965</v>
      </c>
      <c r="F3088">
        <v>40.365</v>
      </c>
      <c r="G3088">
        <v>305.538</v>
      </c>
      <c r="H3088" s="1">
        <v>40416</v>
      </c>
      <c r="I3088" s="1">
        <v>40422</v>
      </c>
      <c r="J3088" t="s">
        <v>15</v>
      </c>
      <c r="K3088">
        <v>0</v>
      </c>
      <c r="L3088">
        <v>35000</v>
      </c>
      <c r="M3088" t="s">
        <v>49</v>
      </c>
      <c r="N3088">
        <v>1.5</v>
      </c>
    </row>
    <row r="3089" hidden="1" spans="1:14">
      <c r="A3089">
        <v>3955</v>
      </c>
      <c r="C3089" t="s">
        <v>759</v>
      </c>
      <c r="E3089">
        <v>126.027</v>
      </c>
      <c r="F3089">
        <v>38.7791</v>
      </c>
      <c r="G3089">
        <v>33081.58</v>
      </c>
      <c r="H3089" s="1">
        <v>41110</v>
      </c>
      <c r="I3089" s="1">
        <v>41127</v>
      </c>
      <c r="J3089" t="s">
        <v>15</v>
      </c>
      <c r="K3089">
        <v>169</v>
      </c>
      <c r="L3089">
        <v>63000</v>
      </c>
      <c r="M3089" t="s">
        <v>49</v>
      </c>
      <c r="N3089">
        <v>2</v>
      </c>
    </row>
    <row r="3090" hidden="1" spans="1:14">
      <c r="A3090">
        <v>3979</v>
      </c>
      <c r="B3090" t="s">
        <v>761</v>
      </c>
      <c r="C3090" t="s">
        <v>759</v>
      </c>
      <c r="D3090" t="s">
        <v>571</v>
      </c>
      <c r="E3090">
        <v>126.246</v>
      </c>
      <c r="F3090">
        <v>38.1949</v>
      </c>
      <c r="G3090">
        <v>24179.42</v>
      </c>
      <c r="H3090" s="1">
        <v>41138</v>
      </c>
      <c r="I3090" s="1">
        <v>41159</v>
      </c>
      <c r="J3090" t="s">
        <v>15</v>
      </c>
      <c r="K3090">
        <v>59</v>
      </c>
      <c r="L3090">
        <v>24000</v>
      </c>
      <c r="M3090" t="s">
        <v>762</v>
      </c>
      <c r="N3090">
        <v>1.5</v>
      </c>
    </row>
    <row r="3091" hidden="1" spans="1:14">
      <c r="A3091">
        <v>4074</v>
      </c>
      <c r="C3091" t="s">
        <v>759</v>
      </c>
      <c r="E3091">
        <v>126.319</v>
      </c>
      <c r="F3091">
        <v>39.6151</v>
      </c>
      <c r="G3091">
        <v>21695.38</v>
      </c>
      <c r="H3091" s="1">
        <v>41465</v>
      </c>
      <c r="I3091" s="1">
        <v>41470</v>
      </c>
      <c r="J3091" t="s">
        <v>15</v>
      </c>
      <c r="K3091">
        <v>2</v>
      </c>
      <c r="L3091">
        <v>760</v>
      </c>
      <c r="M3091" t="s">
        <v>49</v>
      </c>
      <c r="N3091">
        <v>1</v>
      </c>
    </row>
    <row r="3092" hidden="1" spans="1:14">
      <c r="A3092">
        <v>4397</v>
      </c>
      <c r="B3092" t="s">
        <v>763</v>
      </c>
      <c r="C3092" t="s">
        <v>759</v>
      </c>
      <c r="E3092">
        <v>128.813</v>
      </c>
      <c r="F3092">
        <v>41.0836</v>
      </c>
      <c r="G3092">
        <v>52546.01</v>
      </c>
      <c r="H3092" s="1">
        <v>42618</v>
      </c>
      <c r="I3092" s="1">
        <v>42635</v>
      </c>
      <c r="J3092" t="s">
        <v>15</v>
      </c>
      <c r="K3092">
        <v>133</v>
      </c>
      <c r="L3092">
        <v>107000</v>
      </c>
      <c r="M3092" t="s">
        <v>764</v>
      </c>
      <c r="N3092">
        <v>1.5</v>
      </c>
    </row>
    <row r="3093" hidden="1" spans="1:14">
      <c r="A3093">
        <v>4674</v>
      </c>
      <c r="C3093" t="s">
        <v>759</v>
      </c>
      <c r="E3093">
        <v>126.573</v>
      </c>
      <c r="F3093">
        <v>38.5309</v>
      </c>
      <c r="G3093">
        <v>25734.39</v>
      </c>
      <c r="H3093" s="1">
        <v>43336</v>
      </c>
      <c r="I3093" s="1">
        <v>43349</v>
      </c>
      <c r="J3093" t="s">
        <v>56</v>
      </c>
      <c r="K3093">
        <v>76</v>
      </c>
      <c r="L3093">
        <v>58000</v>
      </c>
      <c r="M3093" t="s">
        <v>765</v>
      </c>
      <c r="N3093">
        <v>1.5</v>
      </c>
    </row>
    <row r="3094" hidden="1" spans="1:14">
      <c r="A3094">
        <v>1634</v>
      </c>
      <c r="B3094">
        <v>0</v>
      </c>
      <c r="C3094" t="s">
        <v>766</v>
      </c>
      <c r="D3094">
        <v>0</v>
      </c>
      <c r="E3094">
        <v>129.542</v>
      </c>
      <c r="F3094">
        <v>41.7853</v>
      </c>
      <c r="G3094">
        <v>16446.57</v>
      </c>
      <c r="H3094" s="1">
        <v>36769</v>
      </c>
      <c r="I3094" s="1">
        <v>36773</v>
      </c>
      <c r="J3094" t="s">
        <v>15</v>
      </c>
      <c r="K3094">
        <v>42</v>
      </c>
      <c r="L3094">
        <v>0</v>
      </c>
      <c r="M3094" t="s">
        <v>86</v>
      </c>
      <c r="N3094">
        <v>1</v>
      </c>
    </row>
    <row r="3095" hidden="1" spans="1:14">
      <c r="A3095">
        <v>1770</v>
      </c>
      <c r="B3095">
        <v>0</v>
      </c>
      <c r="C3095" t="s">
        <v>766</v>
      </c>
      <c r="D3095">
        <v>0</v>
      </c>
      <c r="E3095">
        <v>126.694</v>
      </c>
      <c r="F3095">
        <v>38.1066</v>
      </c>
      <c r="G3095">
        <v>5048.01</v>
      </c>
      <c r="H3095" s="1">
        <v>37104</v>
      </c>
      <c r="I3095" s="1">
        <v>37107</v>
      </c>
      <c r="J3095" t="s">
        <v>15</v>
      </c>
      <c r="K3095">
        <v>0</v>
      </c>
      <c r="L3095">
        <v>10000</v>
      </c>
      <c r="M3095" t="s">
        <v>16</v>
      </c>
      <c r="N3095">
        <v>1</v>
      </c>
    </row>
    <row r="3096" hidden="1" spans="1:14">
      <c r="A3096">
        <v>1809</v>
      </c>
      <c r="B3096">
        <v>0</v>
      </c>
      <c r="C3096" t="s">
        <v>766</v>
      </c>
      <c r="D3096">
        <v>0</v>
      </c>
      <c r="E3096">
        <v>127.109</v>
      </c>
      <c r="F3096">
        <v>39.7238</v>
      </c>
      <c r="G3096">
        <v>13148.97</v>
      </c>
      <c r="H3096" s="1">
        <v>37173</v>
      </c>
      <c r="I3096" s="1">
        <v>37175</v>
      </c>
      <c r="J3096" t="s">
        <v>15</v>
      </c>
      <c r="K3096">
        <v>81</v>
      </c>
      <c r="L3096">
        <v>60000</v>
      </c>
      <c r="M3096" t="s">
        <v>18</v>
      </c>
      <c r="N3096">
        <v>1</v>
      </c>
    </row>
    <row r="3097" hidden="1" spans="1:14">
      <c r="A3097">
        <v>4513</v>
      </c>
      <c r="C3097" t="s">
        <v>767</v>
      </c>
      <c r="D3097" t="s">
        <v>557</v>
      </c>
      <c r="E3097">
        <v>-7.7468</v>
      </c>
      <c r="F3097">
        <v>54.3667</v>
      </c>
      <c r="G3097">
        <v>29170.95</v>
      </c>
      <c r="H3097" s="1">
        <v>42969</v>
      </c>
      <c r="I3097" s="1">
        <v>42973</v>
      </c>
      <c r="J3097" t="s">
        <v>15</v>
      </c>
      <c r="K3097">
        <v>0</v>
      </c>
      <c r="L3097">
        <v>100</v>
      </c>
      <c r="M3097" t="s">
        <v>52</v>
      </c>
      <c r="N3097">
        <v>1.5</v>
      </c>
    </row>
    <row r="3098" hidden="1" spans="1:14">
      <c r="A3098">
        <v>958</v>
      </c>
      <c r="B3098">
        <v>0</v>
      </c>
      <c r="C3098" t="s">
        <v>768</v>
      </c>
      <c r="D3098">
        <v>0</v>
      </c>
      <c r="E3098">
        <v>9.00832</v>
      </c>
      <c r="F3098">
        <v>60.746</v>
      </c>
      <c r="G3098">
        <v>162737.01</v>
      </c>
      <c r="H3098" s="1">
        <v>34851</v>
      </c>
      <c r="I3098" s="1">
        <v>34864</v>
      </c>
      <c r="J3098" t="s">
        <v>15</v>
      </c>
      <c r="K3098">
        <v>1</v>
      </c>
      <c r="L3098">
        <v>4000</v>
      </c>
      <c r="M3098" t="s">
        <v>38</v>
      </c>
      <c r="N3098">
        <v>2</v>
      </c>
    </row>
    <row r="3099" hidden="1" spans="1:14">
      <c r="A3099">
        <v>2790</v>
      </c>
      <c r="B3099">
        <v>0</v>
      </c>
      <c r="C3099" t="s">
        <v>768</v>
      </c>
      <c r="D3099">
        <v>0</v>
      </c>
      <c r="E3099">
        <v>11.9318</v>
      </c>
      <c r="F3099">
        <v>64.1501</v>
      </c>
      <c r="G3099">
        <v>41523.05</v>
      </c>
      <c r="H3099" s="1">
        <v>38747</v>
      </c>
      <c r="I3099" s="1">
        <v>38752</v>
      </c>
      <c r="J3099" t="s">
        <v>15</v>
      </c>
      <c r="K3099">
        <v>1</v>
      </c>
      <c r="L3099">
        <v>200</v>
      </c>
      <c r="M3099" t="s">
        <v>16</v>
      </c>
      <c r="N3099">
        <v>2</v>
      </c>
    </row>
    <row r="3100" hidden="1" spans="1:14">
      <c r="A3100">
        <v>3823</v>
      </c>
      <c r="C3100" t="s">
        <v>768</v>
      </c>
      <c r="E3100">
        <v>9.65431</v>
      </c>
      <c r="F3100">
        <v>62.3574</v>
      </c>
      <c r="G3100">
        <v>56089.63</v>
      </c>
      <c r="H3100" s="1">
        <v>40702</v>
      </c>
      <c r="I3100" s="1">
        <v>40707</v>
      </c>
      <c r="J3100" t="s">
        <v>15</v>
      </c>
      <c r="K3100">
        <v>0</v>
      </c>
      <c r="L3100">
        <v>0</v>
      </c>
      <c r="M3100" t="s">
        <v>67</v>
      </c>
      <c r="N3100">
        <v>1</v>
      </c>
    </row>
    <row r="3101" hidden="1" spans="1:14">
      <c r="A3101">
        <v>4062</v>
      </c>
      <c r="C3101" t="s">
        <v>768</v>
      </c>
      <c r="E3101">
        <v>10.478</v>
      </c>
      <c r="F3101">
        <v>61.2832</v>
      </c>
      <c r="G3101">
        <v>28071.86</v>
      </c>
      <c r="H3101" s="1">
        <v>41416</v>
      </c>
      <c r="I3101" s="1">
        <v>41422</v>
      </c>
      <c r="J3101" t="s">
        <v>15</v>
      </c>
      <c r="K3101">
        <v>0</v>
      </c>
      <c r="L3101">
        <v>500</v>
      </c>
      <c r="M3101" t="s">
        <v>67</v>
      </c>
      <c r="N3101">
        <v>1.5</v>
      </c>
    </row>
    <row r="3102" hidden="1" spans="1:14">
      <c r="A3102">
        <v>367</v>
      </c>
      <c r="B3102">
        <v>0</v>
      </c>
      <c r="C3102" t="s">
        <v>769</v>
      </c>
      <c r="D3102">
        <v>0</v>
      </c>
      <c r="E3102">
        <v>56.1825</v>
      </c>
      <c r="F3102">
        <v>19.2399</v>
      </c>
      <c r="G3102">
        <v>72162.2</v>
      </c>
      <c r="H3102" s="1">
        <v>32765</v>
      </c>
      <c r="I3102" s="1">
        <v>32767</v>
      </c>
      <c r="J3102" t="s">
        <v>15</v>
      </c>
      <c r="K3102">
        <v>2</v>
      </c>
      <c r="L3102">
        <v>0</v>
      </c>
      <c r="M3102" t="s">
        <v>64</v>
      </c>
      <c r="N3102">
        <v>1</v>
      </c>
    </row>
    <row r="3103" hidden="1" spans="1:14">
      <c r="A3103">
        <v>1238</v>
      </c>
      <c r="B3103">
        <v>0</v>
      </c>
      <c r="C3103" t="s">
        <v>769</v>
      </c>
      <c r="D3103">
        <v>0</v>
      </c>
      <c r="E3103">
        <v>55.9204</v>
      </c>
      <c r="F3103">
        <v>23.5684</v>
      </c>
      <c r="G3103">
        <v>21975.2</v>
      </c>
      <c r="H3103" s="1">
        <v>35602</v>
      </c>
      <c r="I3103" s="1">
        <v>35604</v>
      </c>
      <c r="J3103" t="s">
        <v>15</v>
      </c>
      <c r="K3103">
        <v>4</v>
      </c>
      <c r="L3103">
        <v>0</v>
      </c>
      <c r="M3103" t="s">
        <v>16</v>
      </c>
      <c r="N3103">
        <v>1</v>
      </c>
    </row>
    <row r="3104" hidden="1" spans="1:14">
      <c r="A3104">
        <v>1923</v>
      </c>
      <c r="B3104">
        <v>0</v>
      </c>
      <c r="C3104" t="s">
        <v>769</v>
      </c>
      <c r="D3104">
        <v>0</v>
      </c>
      <c r="E3104">
        <v>53.5803</v>
      </c>
      <c r="F3104">
        <v>17.2473</v>
      </c>
      <c r="G3104">
        <v>9461.91</v>
      </c>
      <c r="H3104" s="1">
        <v>37386</v>
      </c>
      <c r="I3104" s="1">
        <v>37388</v>
      </c>
      <c r="J3104" t="s">
        <v>15</v>
      </c>
      <c r="K3104">
        <v>9</v>
      </c>
      <c r="L3104">
        <v>100</v>
      </c>
      <c r="M3104" t="s">
        <v>86</v>
      </c>
      <c r="N3104">
        <v>2</v>
      </c>
    </row>
    <row r="3105" hidden="1" spans="1:14">
      <c r="A3105">
        <v>2205</v>
      </c>
      <c r="B3105">
        <v>0</v>
      </c>
      <c r="C3105" t="s">
        <v>769</v>
      </c>
      <c r="D3105">
        <v>0</v>
      </c>
      <c r="E3105">
        <v>58.5899</v>
      </c>
      <c r="F3105">
        <v>23.361</v>
      </c>
      <c r="G3105">
        <v>23062.38</v>
      </c>
      <c r="H3105" s="1">
        <v>37725</v>
      </c>
      <c r="I3105" s="1">
        <v>37730</v>
      </c>
      <c r="J3105" t="s">
        <v>15</v>
      </c>
      <c r="K3105">
        <v>30</v>
      </c>
      <c r="L3105">
        <v>0</v>
      </c>
      <c r="M3105" t="s">
        <v>18</v>
      </c>
      <c r="N3105">
        <v>1</v>
      </c>
    </row>
    <row r="3106" hidden="1" spans="1:14">
      <c r="A3106">
        <v>3093</v>
      </c>
      <c r="C3106" t="s">
        <v>769</v>
      </c>
      <c r="E3106">
        <v>57.933</v>
      </c>
      <c r="F3106">
        <v>28.5367</v>
      </c>
      <c r="G3106">
        <v>372988.5</v>
      </c>
      <c r="H3106" s="1">
        <v>39239</v>
      </c>
      <c r="I3106" s="1">
        <v>39245</v>
      </c>
      <c r="J3106" t="s">
        <v>15</v>
      </c>
      <c r="K3106">
        <v>61</v>
      </c>
      <c r="L3106">
        <v>60000</v>
      </c>
      <c r="M3106" t="s">
        <v>86</v>
      </c>
      <c r="N3106">
        <v>1</v>
      </c>
    </row>
    <row r="3107" hidden="1" spans="1:14">
      <c r="A3107">
        <v>4105</v>
      </c>
      <c r="B3107" t="s">
        <v>770</v>
      </c>
      <c r="C3107" t="s">
        <v>769</v>
      </c>
      <c r="E3107">
        <v>57.4276</v>
      </c>
      <c r="F3107">
        <v>21.6819</v>
      </c>
      <c r="G3107">
        <v>181848.02</v>
      </c>
      <c r="H3107" s="1">
        <v>41586</v>
      </c>
      <c r="I3107" s="1">
        <v>41597</v>
      </c>
      <c r="J3107" t="s">
        <v>15</v>
      </c>
      <c r="K3107">
        <v>100</v>
      </c>
      <c r="L3107">
        <v>0</v>
      </c>
      <c r="M3107" t="s">
        <v>429</v>
      </c>
      <c r="N3107">
        <v>1.5</v>
      </c>
    </row>
    <row r="3108" hidden="1" spans="1:14">
      <c r="A3108">
        <v>4347</v>
      </c>
      <c r="B3108" t="s">
        <v>771</v>
      </c>
      <c r="C3108" t="s">
        <v>769</v>
      </c>
      <c r="D3108" t="s">
        <v>772</v>
      </c>
      <c r="E3108">
        <v>53.5676</v>
      </c>
      <c r="F3108">
        <v>21.311</v>
      </c>
      <c r="G3108">
        <v>134747.93</v>
      </c>
      <c r="H3108" s="1">
        <v>42468</v>
      </c>
      <c r="I3108" s="1">
        <v>42473</v>
      </c>
      <c r="J3108" t="s">
        <v>15</v>
      </c>
      <c r="K3108">
        <v>5</v>
      </c>
      <c r="L3108">
        <v>0</v>
      </c>
      <c r="M3108" t="s">
        <v>52</v>
      </c>
      <c r="N3108">
        <v>1</v>
      </c>
    </row>
    <row r="3109" hidden="1" spans="1:14">
      <c r="A3109">
        <v>4554</v>
      </c>
      <c r="C3109" t="s">
        <v>769</v>
      </c>
      <c r="D3109" t="s">
        <v>773</v>
      </c>
      <c r="E3109">
        <v>55.9677</v>
      </c>
      <c r="F3109">
        <v>24.3598</v>
      </c>
      <c r="G3109">
        <v>50430.4</v>
      </c>
      <c r="H3109" s="1">
        <v>43085</v>
      </c>
      <c r="I3109" s="1">
        <v>43086</v>
      </c>
      <c r="J3109" t="s">
        <v>15</v>
      </c>
      <c r="K3109">
        <v>3</v>
      </c>
      <c r="L3109">
        <v>200</v>
      </c>
      <c r="M3109" t="s">
        <v>52</v>
      </c>
      <c r="N3109">
        <v>1</v>
      </c>
    </row>
    <row r="3110" hidden="1" spans="1:14">
      <c r="A3110">
        <v>4802</v>
      </c>
      <c r="C3110" t="s">
        <v>769</v>
      </c>
      <c r="E3110">
        <v>57.2296</v>
      </c>
      <c r="F3110">
        <v>19.8969</v>
      </c>
      <c r="G3110">
        <v>72575.92</v>
      </c>
      <c r="H3110" s="1">
        <v>43732</v>
      </c>
      <c r="I3110" s="1">
        <v>43737</v>
      </c>
      <c r="J3110" t="s">
        <v>56</v>
      </c>
      <c r="K3110">
        <v>0</v>
      </c>
      <c r="L3110">
        <v>10</v>
      </c>
      <c r="M3110" t="s">
        <v>774</v>
      </c>
      <c r="N3110">
        <v>1.5</v>
      </c>
    </row>
    <row r="3111" hidden="1" spans="1:14">
      <c r="A3111">
        <v>4923</v>
      </c>
      <c r="C3111" t="s">
        <v>769</v>
      </c>
      <c r="E3111">
        <v>54.5326</v>
      </c>
      <c r="F3111">
        <v>18.3982</v>
      </c>
      <c r="G3111">
        <v>95375</v>
      </c>
      <c r="H3111" s="1">
        <v>43978</v>
      </c>
      <c r="I3111" s="1">
        <v>43982</v>
      </c>
      <c r="J3111" t="s">
        <v>56</v>
      </c>
      <c r="K3111">
        <v>1</v>
      </c>
      <c r="L3111">
        <v>100</v>
      </c>
      <c r="M3111" t="s">
        <v>52</v>
      </c>
      <c r="N3111">
        <v>1.5</v>
      </c>
    </row>
    <row r="3112" hidden="1" spans="1:14">
      <c r="A3112">
        <v>368</v>
      </c>
      <c r="B3112">
        <v>0</v>
      </c>
      <c r="C3112" t="s">
        <v>57</v>
      </c>
      <c r="D3112">
        <v>0</v>
      </c>
      <c r="E3112">
        <v>68.9544</v>
      </c>
      <c r="F3112">
        <v>26.1618</v>
      </c>
      <c r="G3112">
        <v>129476.87</v>
      </c>
      <c r="H3112" s="1">
        <v>32768</v>
      </c>
      <c r="I3112" s="1">
        <v>32770</v>
      </c>
      <c r="J3112" t="s">
        <v>15</v>
      </c>
      <c r="K3112">
        <v>7</v>
      </c>
      <c r="L3112">
        <v>0</v>
      </c>
      <c r="M3112" t="s">
        <v>86</v>
      </c>
      <c r="N3112">
        <v>1</v>
      </c>
    </row>
    <row r="3113" hidden="1" spans="1:14">
      <c r="A3113">
        <v>348</v>
      </c>
      <c r="B3113">
        <v>0</v>
      </c>
      <c r="C3113" t="s">
        <v>57</v>
      </c>
      <c r="D3113">
        <v>0</v>
      </c>
      <c r="E3113">
        <v>71.1137</v>
      </c>
      <c r="F3113">
        <v>28.8877</v>
      </c>
      <c r="G3113">
        <v>331514.36</v>
      </c>
      <c r="H3113" s="1">
        <v>32718</v>
      </c>
      <c r="I3113" s="1">
        <v>32727</v>
      </c>
      <c r="J3113" t="s">
        <v>15</v>
      </c>
      <c r="K3113">
        <v>53</v>
      </c>
      <c r="L3113">
        <v>0</v>
      </c>
      <c r="M3113" t="s">
        <v>23</v>
      </c>
      <c r="N3113">
        <v>1</v>
      </c>
    </row>
    <row r="3114" hidden="1" spans="1:14">
      <c r="A3114">
        <v>412</v>
      </c>
      <c r="B3114">
        <v>0</v>
      </c>
      <c r="C3114" t="s">
        <v>57</v>
      </c>
      <c r="D3114">
        <v>0</v>
      </c>
      <c r="E3114">
        <v>72.2929</v>
      </c>
      <c r="F3114">
        <v>34.4927</v>
      </c>
      <c r="G3114">
        <v>21727.03</v>
      </c>
      <c r="H3114" s="1">
        <v>33009</v>
      </c>
      <c r="I3114" s="1">
        <v>33011</v>
      </c>
      <c r="J3114" t="s">
        <v>15</v>
      </c>
      <c r="K3114">
        <v>4</v>
      </c>
      <c r="L3114">
        <v>1200</v>
      </c>
      <c r="M3114" t="s">
        <v>16</v>
      </c>
      <c r="N3114">
        <v>1</v>
      </c>
    </row>
    <row r="3115" hidden="1" spans="1:14">
      <c r="A3115">
        <v>435</v>
      </c>
      <c r="B3115">
        <v>0</v>
      </c>
      <c r="C3115" t="s">
        <v>57</v>
      </c>
      <c r="D3115">
        <v>0</v>
      </c>
      <c r="E3115">
        <v>72.2699</v>
      </c>
      <c r="F3115">
        <v>31.0394</v>
      </c>
      <c r="G3115">
        <v>190865.32</v>
      </c>
      <c r="H3115" s="1">
        <v>33064</v>
      </c>
      <c r="I3115" s="1">
        <v>33066</v>
      </c>
      <c r="J3115" t="s">
        <v>15</v>
      </c>
      <c r="K3115">
        <v>0</v>
      </c>
      <c r="L3115">
        <v>6000</v>
      </c>
      <c r="M3115" t="s">
        <v>16</v>
      </c>
      <c r="N3115">
        <v>1</v>
      </c>
    </row>
    <row r="3116" hidden="1" spans="1:14">
      <c r="A3116">
        <v>523</v>
      </c>
      <c r="B3116">
        <v>0</v>
      </c>
      <c r="C3116" t="s">
        <v>57</v>
      </c>
      <c r="D3116">
        <v>0</v>
      </c>
      <c r="E3116">
        <v>72.1321</v>
      </c>
      <c r="F3116">
        <v>34.0792</v>
      </c>
      <c r="G3116">
        <v>79582</v>
      </c>
      <c r="H3116" s="1">
        <v>33400</v>
      </c>
      <c r="I3116" s="1">
        <v>33401</v>
      </c>
      <c r="J3116" t="s">
        <v>15</v>
      </c>
      <c r="K3116">
        <v>39</v>
      </c>
      <c r="L3116">
        <v>2400</v>
      </c>
      <c r="M3116" t="s">
        <v>16</v>
      </c>
      <c r="N3116">
        <v>1</v>
      </c>
    </row>
    <row r="3117" hidden="1" spans="1:14">
      <c r="A3117">
        <v>668</v>
      </c>
      <c r="B3117">
        <v>0</v>
      </c>
      <c r="C3117" t="s">
        <v>57</v>
      </c>
      <c r="D3117">
        <v>0</v>
      </c>
      <c r="E3117">
        <v>68.9621</v>
      </c>
      <c r="F3117">
        <v>26.1618</v>
      </c>
      <c r="G3117">
        <v>137573.26</v>
      </c>
      <c r="H3117" s="1">
        <v>33800</v>
      </c>
      <c r="I3117" s="1">
        <v>33826</v>
      </c>
      <c r="J3117" t="s">
        <v>15</v>
      </c>
      <c r="K3117">
        <v>94</v>
      </c>
      <c r="L3117">
        <v>1280000</v>
      </c>
      <c r="M3117" t="s">
        <v>23</v>
      </c>
      <c r="N3117">
        <v>1</v>
      </c>
    </row>
    <row r="3118" hidden="1" spans="1:14">
      <c r="A3118">
        <v>679</v>
      </c>
      <c r="B3118">
        <v>0</v>
      </c>
      <c r="C3118" t="s">
        <v>57</v>
      </c>
      <c r="D3118">
        <v>0</v>
      </c>
      <c r="E3118">
        <v>67.2606</v>
      </c>
      <c r="F3118">
        <v>25.03</v>
      </c>
      <c r="G3118">
        <v>7350.66</v>
      </c>
      <c r="H3118" s="1">
        <v>33826</v>
      </c>
      <c r="I3118" s="1">
        <v>33831</v>
      </c>
      <c r="J3118" t="s">
        <v>15</v>
      </c>
      <c r="K3118">
        <v>22</v>
      </c>
      <c r="L3118">
        <v>3000</v>
      </c>
      <c r="M3118" t="s">
        <v>23</v>
      </c>
      <c r="N3118">
        <v>1</v>
      </c>
    </row>
    <row r="3119" hidden="1" spans="1:14">
      <c r="A3119">
        <v>692</v>
      </c>
      <c r="B3119">
        <v>0</v>
      </c>
      <c r="C3119" t="s">
        <v>57</v>
      </c>
      <c r="D3119" t="s">
        <v>131</v>
      </c>
      <c r="E3119">
        <v>79.068</v>
      </c>
      <c r="F3119">
        <v>28.3907</v>
      </c>
      <c r="G3119">
        <v>873375.01</v>
      </c>
      <c r="H3119" s="1">
        <v>33855</v>
      </c>
      <c r="I3119" s="1">
        <v>33865</v>
      </c>
      <c r="J3119" t="s">
        <v>15</v>
      </c>
      <c r="K3119">
        <v>2750</v>
      </c>
      <c r="L3119">
        <v>3000000</v>
      </c>
      <c r="M3119" t="s">
        <v>23</v>
      </c>
      <c r="N3119">
        <v>2</v>
      </c>
    </row>
    <row r="3120" hidden="1" spans="1:14">
      <c r="A3120">
        <v>859</v>
      </c>
      <c r="B3120">
        <v>0</v>
      </c>
      <c r="C3120" t="s">
        <v>57</v>
      </c>
      <c r="D3120">
        <v>0</v>
      </c>
      <c r="E3120">
        <v>67.2212</v>
      </c>
      <c r="F3120">
        <v>30.3321</v>
      </c>
      <c r="G3120">
        <v>21185.79</v>
      </c>
      <c r="H3120" s="1">
        <v>34519</v>
      </c>
      <c r="I3120" s="1">
        <v>34523</v>
      </c>
      <c r="J3120" t="s">
        <v>15</v>
      </c>
      <c r="K3120">
        <v>12</v>
      </c>
      <c r="L3120">
        <v>0</v>
      </c>
      <c r="M3120" t="s">
        <v>16</v>
      </c>
      <c r="N3120">
        <v>1</v>
      </c>
    </row>
    <row r="3121" hidden="1" spans="1:14">
      <c r="A3121">
        <v>863</v>
      </c>
      <c r="B3121">
        <v>0</v>
      </c>
      <c r="C3121" t="s">
        <v>57</v>
      </c>
      <c r="D3121">
        <v>0</v>
      </c>
      <c r="E3121">
        <v>71.1034</v>
      </c>
      <c r="F3121">
        <v>28.9156</v>
      </c>
      <c r="G3121">
        <v>343251.55</v>
      </c>
      <c r="H3121" s="1">
        <v>34526</v>
      </c>
      <c r="I3121" s="1">
        <v>34593</v>
      </c>
      <c r="J3121" t="s">
        <v>15</v>
      </c>
      <c r="K3121">
        <v>333</v>
      </c>
      <c r="L3121">
        <v>30000</v>
      </c>
      <c r="M3121" t="s">
        <v>23</v>
      </c>
      <c r="N3121">
        <v>1</v>
      </c>
    </row>
    <row r="3122" hidden="1" spans="1:14">
      <c r="A3122">
        <v>883</v>
      </c>
      <c r="B3122">
        <v>0</v>
      </c>
      <c r="C3122" t="s">
        <v>57</v>
      </c>
      <c r="D3122">
        <v>0</v>
      </c>
      <c r="E3122">
        <v>68.1903</v>
      </c>
      <c r="F3122">
        <v>27.7849</v>
      </c>
      <c r="G3122">
        <v>318187.81</v>
      </c>
      <c r="H3122" s="1">
        <v>34555</v>
      </c>
      <c r="I3122" s="1">
        <v>34561</v>
      </c>
      <c r="J3122" t="s">
        <v>15</v>
      </c>
      <c r="K3122">
        <v>26</v>
      </c>
      <c r="L3122">
        <v>40000</v>
      </c>
      <c r="M3122" t="s">
        <v>54</v>
      </c>
      <c r="N3122">
        <v>1</v>
      </c>
    </row>
    <row r="3123" hidden="1" spans="1:14">
      <c r="A3123">
        <v>888</v>
      </c>
      <c r="B3123">
        <v>0</v>
      </c>
      <c r="C3123" t="s">
        <v>57</v>
      </c>
      <c r="D3123">
        <v>0</v>
      </c>
      <c r="E3123">
        <v>67.8824</v>
      </c>
      <c r="F3123">
        <v>29.6075</v>
      </c>
      <c r="G3123">
        <v>17316.85</v>
      </c>
      <c r="H3123" s="1">
        <v>34568</v>
      </c>
      <c r="I3123" s="1">
        <v>34573</v>
      </c>
      <c r="J3123" t="s">
        <v>15</v>
      </c>
      <c r="K3123">
        <v>24</v>
      </c>
      <c r="L3123">
        <v>0</v>
      </c>
      <c r="M3123" t="s">
        <v>64</v>
      </c>
      <c r="N3123">
        <v>1</v>
      </c>
    </row>
    <row r="3124" hidden="1" spans="1:14">
      <c r="A3124">
        <v>973</v>
      </c>
      <c r="B3124">
        <v>0</v>
      </c>
      <c r="C3124" t="s">
        <v>57</v>
      </c>
      <c r="D3124">
        <v>0</v>
      </c>
      <c r="E3124">
        <v>68.5019</v>
      </c>
      <c r="F3124">
        <v>29.8869</v>
      </c>
      <c r="G3124">
        <v>672265.35</v>
      </c>
      <c r="H3124" s="1">
        <v>34899</v>
      </c>
      <c r="I3124" s="1">
        <v>34921</v>
      </c>
      <c r="J3124" t="s">
        <v>15</v>
      </c>
      <c r="K3124">
        <v>600</v>
      </c>
      <c r="L3124">
        <v>600000</v>
      </c>
      <c r="M3124" t="s">
        <v>23</v>
      </c>
      <c r="N3124">
        <v>1</v>
      </c>
    </row>
    <row r="3125" hidden="1" spans="1:14">
      <c r="A3125">
        <v>1108</v>
      </c>
      <c r="B3125">
        <v>0</v>
      </c>
      <c r="C3125" t="s">
        <v>57</v>
      </c>
      <c r="D3125">
        <v>0</v>
      </c>
      <c r="E3125">
        <v>72.4557</v>
      </c>
      <c r="F3125">
        <v>30.8497</v>
      </c>
      <c r="G3125">
        <v>202950.18</v>
      </c>
      <c r="H3125" s="1">
        <v>35310</v>
      </c>
      <c r="I3125" s="1">
        <v>35315</v>
      </c>
      <c r="J3125" t="s">
        <v>15</v>
      </c>
      <c r="K3125">
        <v>119</v>
      </c>
      <c r="L3125">
        <v>100000</v>
      </c>
      <c r="M3125" t="s">
        <v>49</v>
      </c>
      <c r="N3125">
        <v>2</v>
      </c>
    </row>
    <row r="3126" hidden="1" spans="1:14">
      <c r="A3126">
        <v>1181</v>
      </c>
      <c r="B3126">
        <v>0</v>
      </c>
      <c r="C3126" t="s">
        <v>57</v>
      </c>
      <c r="D3126">
        <v>0</v>
      </c>
      <c r="E3126">
        <v>72.5263</v>
      </c>
      <c r="F3126">
        <v>32.3559</v>
      </c>
      <c r="G3126">
        <v>276909.38</v>
      </c>
      <c r="H3126" s="1">
        <v>35654</v>
      </c>
      <c r="I3126" s="1">
        <v>35676</v>
      </c>
      <c r="J3126" t="s">
        <v>15</v>
      </c>
      <c r="K3126">
        <v>165</v>
      </c>
      <c r="L3126">
        <v>836300</v>
      </c>
      <c r="M3126" t="s">
        <v>23</v>
      </c>
      <c r="N3126">
        <v>2</v>
      </c>
    </row>
    <row r="3127" hidden="1" spans="1:14">
      <c r="A3127">
        <v>1251</v>
      </c>
      <c r="B3127">
        <v>0</v>
      </c>
      <c r="C3127" t="s">
        <v>57</v>
      </c>
      <c r="D3127">
        <v>0</v>
      </c>
      <c r="E3127">
        <v>74.5774</v>
      </c>
      <c r="F3127">
        <v>34.9725</v>
      </c>
      <c r="G3127">
        <v>5802.05</v>
      </c>
      <c r="H3127" s="1">
        <v>35636</v>
      </c>
      <c r="I3127" s="1">
        <v>35640</v>
      </c>
      <c r="J3127" t="s">
        <v>15</v>
      </c>
      <c r="K3127">
        <v>16</v>
      </c>
      <c r="L3127">
        <v>0</v>
      </c>
      <c r="M3127" t="s">
        <v>23</v>
      </c>
      <c r="N3127">
        <v>1</v>
      </c>
    </row>
    <row r="3128" hidden="1" spans="1:14">
      <c r="A3128">
        <v>1252</v>
      </c>
      <c r="B3128">
        <v>0</v>
      </c>
      <c r="C3128" t="s">
        <v>57</v>
      </c>
      <c r="D3128">
        <v>0</v>
      </c>
      <c r="E3128">
        <v>72.2365</v>
      </c>
      <c r="F3128">
        <v>32.2874</v>
      </c>
      <c r="G3128">
        <v>127909.46</v>
      </c>
      <c r="H3128" s="1">
        <v>35636</v>
      </c>
      <c r="I3128" s="1">
        <v>35639</v>
      </c>
      <c r="J3128" t="s">
        <v>15</v>
      </c>
      <c r="K3128">
        <v>31</v>
      </c>
      <c r="L3128">
        <v>0</v>
      </c>
      <c r="M3128" t="s">
        <v>23</v>
      </c>
      <c r="N3128">
        <v>1</v>
      </c>
    </row>
    <row r="3129" hidden="1" spans="1:14">
      <c r="A3129">
        <v>1308</v>
      </c>
      <c r="B3129">
        <v>0</v>
      </c>
      <c r="C3129" t="s">
        <v>57</v>
      </c>
      <c r="D3129" t="s">
        <v>550</v>
      </c>
      <c r="E3129">
        <v>60.1151</v>
      </c>
      <c r="F3129">
        <v>27.187</v>
      </c>
      <c r="G3129">
        <v>165619.86</v>
      </c>
      <c r="H3129" s="1">
        <v>35856</v>
      </c>
      <c r="I3129" s="1">
        <v>35859</v>
      </c>
      <c r="J3129" t="s">
        <v>15</v>
      </c>
      <c r="K3129">
        <v>300</v>
      </c>
      <c r="L3129">
        <v>240000</v>
      </c>
      <c r="M3129" t="s">
        <v>16</v>
      </c>
      <c r="N3129">
        <v>1</v>
      </c>
    </row>
    <row r="3130" hidden="1" spans="1:14">
      <c r="A3130">
        <v>1513</v>
      </c>
      <c r="B3130">
        <v>0</v>
      </c>
      <c r="C3130" t="s">
        <v>57</v>
      </c>
      <c r="D3130">
        <v>0</v>
      </c>
      <c r="E3130">
        <v>69.8959</v>
      </c>
      <c r="F3130">
        <v>24.9156</v>
      </c>
      <c r="G3130">
        <v>59617.85</v>
      </c>
      <c r="H3130" s="1">
        <v>36300</v>
      </c>
      <c r="I3130" s="1">
        <v>36302</v>
      </c>
      <c r="J3130" t="s">
        <v>15</v>
      </c>
      <c r="K3130">
        <v>168</v>
      </c>
      <c r="L3130">
        <v>200000</v>
      </c>
      <c r="M3130" t="s">
        <v>86</v>
      </c>
      <c r="N3130">
        <v>1</v>
      </c>
    </row>
    <row r="3131" hidden="1" spans="1:14">
      <c r="A3131">
        <v>2017</v>
      </c>
      <c r="B3131">
        <v>0</v>
      </c>
      <c r="C3131" t="s">
        <v>57</v>
      </c>
      <c r="D3131">
        <v>0</v>
      </c>
      <c r="E3131">
        <v>71.2064</v>
      </c>
      <c r="F3131">
        <v>30.0167</v>
      </c>
      <c r="G3131">
        <v>1352.07</v>
      </c>
      <c r="H3131" s="1">
        <v>37471</v>
      </c>
      <c r="I3131" s="1">
        <v>37475</v>
      </c>
      <c r="J3131" t="s">
        <v>15</v>
      </c>
      <c r="K3131">
        <v>3</v>
      </c>
      <c r="L3131">
        <v>800</v>
      </c>
      <c r="M3131" t="s">
        <v>16</v>
      </c>
      <c r="N3131">
        <v>1</v>
      </c>
    </row>
    <row r="3132" hidden="1" spans="1:14">
      <c r="A3132">
        <v>2040</v>
      </c>
      <c r="B3132">
        <v>0</v>
      </c>
      <c r="C3132" t="s">
        <v>57</v>
      </c>
      <c r="D3132">
        <v>0</v>
      </c>
      <c r="E3132">
        <v>72.0269</v>
      </c>
      <c r="F3132">
        <v>34.492</v>
      </c>
      <c r="G3132">
        <v>4902.73</v>
      </c>
      <c r="H3132" s="1">
        <v>37490</v>
      </c>
      <c r="I3132" s="1">
        <v>37496</v>
      </c>
      <c r="J3132" t="s">
        <v>15</v>
      </c>
      <c r="K3132">
        <v>22</v>
      </c>
      <c r="L3132">
        <v>3000</v>
      </c>
      <c r="M3132" t="s">
        <v>16</v>
      </c>
      <c r="N3132">
        <v>1</v>
      </c>
    </row>
    <row r="3133" hidden="1" spans="1:14">
      <c r="A3133">
        <v>2160</v>
      </c>
      <c r="B3133">
        <v>0</v>
      </c>
      <c r="C3133" t="s">
        <v>57</v>
      </c>
      <c r="D3133" t="s">
        <v>37</v>
      </c>
      <c r="E3133">
        <v>68.0677</v>
      </c>
      <c r="F3133">
        <v>27.5247</v>
      </c>
      <c r="G3133">
        <v>433469.94</v>
      </c>
      <c r="H3133" s="1">
        <v>37668</v>
      </c>
      <c r="I3133" s="1">
        <v>37674</v>
      </c>
      <c r="J3133" t="s">
        <v>15</v>
      </c>
      <c r="K3133">
        <v>20</v>
      </c>
      <c r="L3133">
        <v>3000</v>
      </c>
      <c r="M3133" t="s">
        <v>16</v>
      </c>
      <c r="N3133">
        <v>1</v>
      </c>
    </row>
    <row r="3134" hidden="1" spans="1:14">
      <c r="A3134">
        <v>2163</v>
      </c>
      <c r="B3134">
        <v>0</v>
      </c>
      <c r="C3134" t="s">
        <v>57</v>
      </c>
      <c r="D3134">
        <v>0</v>
      </c>
      <c r="E3134">
        <v>73.7749</v>
      </c>
      <c r="F3134">
        <v>34.4037</v>
      </c>
      <c r="G3134">
        <v>26796.79</v>
      </c>
      <c r="H3134" s="1">
        <v>37667</v>
      </c>
      <c r="I3134" s="1">
        <v>37676</v>
      </c>
      <c r="J3134" t="s">
        <v>15</v>
      </c>
      <c r="K3134">
        <v>27</v>
      </c>
      <c r="L3134">
        <v>0</v>
      </c>
      <c r="M3134" t="s">
        <v>16</v>
      </c>
      <c r="N3134">
        <v>1</v>
      </c>
    </row>
    <row r="3135" hidden="1" spans="1:14">
      <c r="A3135">
        <v>2279</v>
      </c>
      <c r="B3135">
        <v>0</v>
      </c>
      <c r="C3135" t="s">
        <v>57</v>
      </c>
      <c r="D3135" t="s">
        <v>131</v>
      </c>
      <c r="E3135">
        <v>72.2101</v>
      </c>
      <c r="F3135">
        <v>28.7319</v>
      </c>
      <c r="G3135">
        <v>868200.94</v>
      </c>
      <c r="H3135" s="1">
        <v>37817</v>
      </c>
      <c r="I3135" s="1">
        <v>37865</v>
      </c>
      <c r="J3135" t="s">
        <v>15</v>
      </c>
      <c r="K3135">
        <v>285</v>
      </c>
      <c r="L3135">
        <v>900000</v>
      </c>
      <c r="M3135" t="s">
        <v>23</v>
      </c>
      <c r="N3135">
        <v>1</v>
      </c>
    </row>
    <row r="3136" hidden="1" spans="1:14">
      <c r="A3136">
        <v>2343</v>
      </c>
      <c r="B3136">
        <v>0</v>
      </c>
      <c r="C3136" t="s">
        <v>57</v>
      </c>
      <c r="D3136">
        <v>0</v>
      </c>
      <c r="E3136">
        <v>72.0521</v>
      </c>
      <c r="F3136">
        <v>35.2335</v>
      </c>
      <c r="G3136">
        <v>3519.3</v>
      </c>
      <c r="H3136" s="1">
        <v>37869</v>
      </c>
      <c r="I3136" s="1">
        <v>37870</v>
      </c>
      <c r="J3136" t="s">
        <v>15</v>
      </c>
      <c r="K3136">
        <v>30</v>
      </c>
      <c r="L3136">
        <v>0</v>
      </c>
      <c r="M3136" t="s">
        <v>18</v>
      </c>
      <c r="N3136">
        <v>1</v>
      </c>
    </row>
    <row r="3137" hidden="1" spans="1:14">
      <c r="A3137">
        <v>2624</v>
      </c>
      <c r="B3137">
        <v>0</v>
      </c>
      <c r="C3137" t="s">
        <v>57</v>
      </c>
      <c r="D3137">
        <v>0</v>
      </c>
      <c r="E3137">
        <v>64.3806</v>
      </c>
      <c r="F3137">
        <v>26.1547</v>
      </c>
      <c r="G3137">
        <v>123212.59</v>
      </c>
      <c r="H3137" s="1">
        <v>38392</v>
      </c>
      <c r="I3137" s="1">
        <v>38399</v>
      </c>
      <c r="J3137" t="s">
        <v>15</v>
      </c>
      <c r="K3137">
        <v>300</v>
      </c>
      <c r="L3137">
        <v>40000</v>
      </c>
      <c r="M3137" t="s">
        <v>16</v>
      </c>
      <c r="N3137">
        <v>1</v>
      </c>
    </row>
    <row r="3138" hidden="1" spans="1:14">
      <c r="A3138">
        <v>2631</v>
      </c>
      <c r="B3138">
        <v>0</v>
      </c>
      <c r="C3138" t="s">
        <v>57</v>
      </c>
      <c r="D3138">
        <v>0</v>
      </c>
      <c r="E3138">
        <v>66.9303</v>
      </c>
      <c r="F3138">
        <v>30.7184</v>
      </c>
      <c r="G3138">
        <v>104031.03</v>
      </c>
      <c r="H3138" s="1">
        <v>38413</v>
      </c>
      <c r="I3138" s="1">
        <v>38419</v>
      </c>
      <c r="J3138" t="s">
        <v>15</v>
      </c>
      <c r="K3138">
        <v>15</v>
      </c>
      <c r="L3138">
        <v>5000</v>
      </c>
      <c r="M3138" t="s">
        <v>16</v>
      </c>
      <c r="N3138">
        <v>1</v>
      </c>
    </row>
    <row r="3139" hidden="1" spans="1:14">
      <c r="A3139">
        <v>2641</v>
      </c>
      <c r="B3139">
        <v>0</v>
      </c>
      <c r="C3139" t="s">
        <v>57</v>
      </c>
      <c r="D3139">
        <v>0</v>
      </c>
      <c r="E3139">
        <v>68.3724</v>
      </c>
      <c r="F3139">
        <v>29.5182</v>
      </c>
      <c r="G3139">
        <v>75648.02</v>
      </c>
      <c r="H3139" s="1">
        <v>38431</v>
      </c>
      <c r="I3139" s="1">
        <v>38435</v>
      </c>
      <c r="J3139" t="s">
        <v>15</v>
      </c>
      <c r="K3139">
        <v>20</v>
      </c>
      <c r="L3139">
        <v>3500</v>
      </c>
      <c r="M3139" t="s">
        <v>16</v>
      </c>
      <c r="N3139">
        <v>1</v>
      </c>
    </row>
    <row r="3140" hidden="1" spans="1:14">
      <c r="A3140">
        <v>2675</v>
      </c>
      <c r="B3140">
        <v>0</v>
      </c>
      <c r="C3140" t="s">
        <v>57</v>
      </c>
      <c r="D3140" t="s">
        <v>37</v>
      </c>
      <c r="E3140">
        <v>71.5076</v>
      </c>
      <c r="F3140">
        <v>34.272</v>
      </c>
      <c r="G3140">
        <v>28630.77</v>
      </c>
      <c r="H3140" s="1">
        <v>38524</v>
      </c>
      <c r="I3140" s="1">
        <v>38569</v>
      </c>
      <c r="J3140" t="s">
        <v>15</v>
      </c>
      <c r="K3140">
        <v>5</v>
      </c>
      <c r="L3140">
        <v>50000</v>
      </c>
      <c r="M3140" t="s">
        <v>39</v>
      </c>
      <c r="N3140">
        <v>2</v>
      </c>
    </row>
    <row r="3141" hidden="1" spans="1:14">
      <c r="A3141">
        <v>2689</v>
      </c>
      <c r="B3141">
        <v>0</v>
      </c>
      <c r="C3141" t="s">
        <v>57</v>
      </c>
      <c r="D3141" t="s">
        <v>131</v>
      </c>
      <c r="E3141">
        <v>73.5637</v>
      </c>
      <c r="F3141">
        <v>30.923</v>
      </c>
      <c r="G3141">
        <v>433454.63</v>
      </c>
      <c r="H3141" s="1">
        <v>38538</v>
      </c>
      <c r="I3141" s="1">
        <v>38578</v>
      </c>
      <c r="J3141" t="s">
        <v>15</v>
      </c>
      <c r="K3141">
        <v>40</v>
      </c>
      <c r="L3141">
        <v>452000</v>
      </c>
      <c r="M3141" t="s">
        <v>23</v>
      </c>
      <c r="N3141">
        <v>1</v>
      </c>
    </row>
    <row r="3142" hidden="1" spans="1:14">
      <c r="A3142">
        <v>2908</v>
      </c>
      <c r="B3142">
        <v>0</v>
      </c>
      <c r="C3142" t="s">
        <v>57</v>
      </c>
      <c r="D3142">
        <v>0</v>
      </c>
      <c r="E3142">
        <v>72.6179</v>
      </c>
      <c r="F3142">
        <v>35.3523</v>
      </c>
      <c r="G3142">
        <v>1429.8</v>
      </c>
      <c r="H3142" s="1">
        <v>38901</v>
      </c>
      <c r="I3142" s="1">
        <v>38902</v>
      </c>
      <c r="J3142" t="s">
        <v>15</v>
      </c>
      <c r="K3142">
        <v>22</v>
      </c>
      <c r="L3142">
        <v>0</v>
      </c>
      <c r="M3142" t="s">
        <v>16</v>
      </c>
      <c r="N3142">
        <v>1</v>
      </c>
    </row>
    <row r="3143" hidden="1" spans="1:14">
      <c r="A3143">
        <v>2916</v>
      </c>
      <c r="B3143">
        <v>0</v>
      </c>
      <c r="C3143" t="s">
        <v>57</v>
      </c>
      <c r="D3143" t="s">
        <v>37</v>
      </c>
      <c r="E3143">
        <v>69.9486</v>
      </c>
      <c r="F3143">
        <v>33.0562</v>
      </c>
      <c r="G3143">
        <v>6984.07</v>
      </c>
      <c r="H3143" s="1">
        <v>38907</v>
      </c>
      <c r="I3143" s="1">
        <v>38911</v>
      </c>
      <c r="J3143" t="s">
        <v>15</v>
      </c>
      <c r="K3143">
        <v>23</v>
      </c>
      <c r="L3143">
        <v>50</v>
      </c>
      <c r="M3143" t="s">
        <v>16</v>
      </c>
      <c r="N3143">
        <v>1</v>
      </c>
    </row>
    <row r="3144" hidden="1" spans="1:14">
      <c r="A3144">
        <v>2917</v>
      </c>
      <c r="B3144">
        <v>0</v>
      </c>
      <c r="C3144" t="s">
        <v>57</v>
      </c>
      <c r="D3144">
        <v>0</v>
      </c>
      <c r="E3144">
        <v>74.1578</v>
      </c>
      <c r="F3144">
        <v>35.2679</v>
      </c>
      <c r="G3144">
        <v>456.857</v>
      </c>
      <c r="H3144" s="1">
        <v>38909</v>
      </c>
      <c r="I3144" s="1">
        <v>38910</v>
      </c>
      <c r="J3144" t="s">
        <v>15</v>
      </c>
      <c r="K3144">
        <v>4</v>
      </c>
      <c r="L3144">
        <v>0</v>
      </c>
      <c r="M3144" t="s">
        <v>16</v>
      </c>
      <c r="N3144">
        <v>1</v>
      </c>
    </row>
    <row r="3145" hidden="1" spans="1:14">
      <c r="A3145">
        <v>2931</v>
      </c>
      <c r="B3145">
        <v>0</v>
      </c>
      <c r="C3145" t="s">
        <v>57</v>
      </c>
      <c r="D3145" t="s">
        <v>131</v>
      </c>
      <c r="E3145">
        <v>73.1998</v>
      </c>
      <c r="F3145">
        <v>34.6098</v>
      </c>
      <c r="G3145">
        <v>182706.86</v>
      </c>
      <c r="H3145" s="1">
        <v>38922</v>
      </c>
      <c r="I3145" s="1">
        <v>38951</v>
      </c>
      <c r="J3145" t="s">
        <v>15</v>
      </c>
      <c r="K3145">
        <v>248</v>
      </c>
      <c r="L3145">
        <v>0</v>
      </c>
      <c r="M3145" t="s">
        <v>23</v>
      </c>
      <c r="N3145">
        <v>1</v>
      </c>
    </row>
    <row r="3146" hidden="1" spans="1:14">
      <c r="A3146">
        <v>2938</v>
      </c>
      <c r="B3146">
        <v>0</v>
      </c>
      <c r="C3146" t="s">
        <v>57</v>
      </c>
      <c r="D3146">
        <v>0</v>
      </c>
      <c r="E3146">
        <v>67.1218</v>
      </c>
      <c r="F3146">
        <v>25.0278</v>
      </c>
      <c r="G3146">
        <v>2748.04</v>
      </c>
      <c r="H3146" s="1">
        <v>38930</v>
      </c>
      <c r="I3146" s="1">
        <v>38930</v>
      </c>
      <c r="J3146" t="s">
        <v>15</v>
      </c>
      <c r="K3146">
        <v>12</v>
      </c>
      <c r="L3146">
        <v>0</v>
      </c>
      <c r="M3146" t="s">
        <v>23</v>
      </c>
      <c r="N3146">
        <v>1</v>
      </c>
    </row>
    <row r="3147" hidden="1" spans="1:14">
      <c r="A3147">
        <v>3003</v>
      </c>
      <c r="B3147">
        <v>0</v>
      </c>
      <c r="C3147" t="s">
        <v>57</v>
      </c>
      <c r="D3147">
        <v>0</v>
      </c>
      <c r="E3147">
        <v>66.5167</v>
      </c>
      <c r="F3147">
        <v>28.0363</v>
      </c>
      <c r="G3147">
        <v>28938.65</v>
      </c>
      <c r="H3147" s="1">
        <v>39055</v>
      </c>
      <c r="I3147" s="1">
        <v>39057</v>
      </c>
      <c r="J3147" t="s">
        <v>15</v>
      </c>
      <c r="K3147">
        <v>5</v>
      </c>
      <c r="L3147">
        <v>0</v>
      </c>
      <c r="M3147" t="s">
        <v>16</v>
      </c>
      <c r="N3147">
        <v>1</v>
      </c>
    </row>
    <row r="3148" hidden="1" spans="1:14">
      <c r="A3148">
        <v>3101</v>
      </c>
      <c r="B3148" t="s">
        <v>775</v>
      </c>
      <c r="C3148" t="s">
        <v>57</v>
      </c>
      <c r="D3148">
        <v>0</v>
      </c>
      <c r="E3148">
        <v>72.2258</v>
      </c>
      <c r="F3148">
        <v>34.9758</v>
      </c>
      <c r="G3148">
        <v>12117.23</v>
      </c>
      <c r="H3148" s="1">
        <v>39249</v>
      </c>
      <c r="I3148" s="1">
        <v>39253</v>
      </c>
      <c r="J3148" t="s">
        <v>15</v>
      </c>
      <c r="K3148">
        <v>22</v>
      </c>
      <c r="L3148">
        <v>500</v>
      </c>
      <c r="M3148" t="s">
        <v>18</v>
      </c>
      <c r="N3148">
        <v>1</v>
      </c>
    </row>
    <row r="3149" hidden="1" spans="1:14">
      <c r="A3149">
        <v>3108</v>
      </c>
      <c r="B3149" t="s">
        <v>776</v>
      </c>
      <c r="C3149" t="s">
        <v>57</v>
      </c>
      <c r="D3149">
        <v>0</v>
      </c>
      <c r="E3149">
        <v>67.1351</v>
      </c>
      <c r="F3149">
        <v>24.9939</v>
      </c>
      <c r="G3149">
        <v>2215.04</v>
      </c>
      <c r="H3149" s="1">
        <v>39256</v>
      </c>
      <c r="I3149" s="1">
        <v>39258</v>
      </c>
      <c r="J3149" t="s">
        <v>15</v>
      </c>
      <c r="K3149">
        <v>230</v>
      </c>
      <c r="L3149">
        <v>0</v>
      </c>
      <c r="M3149" t="s">
        <v>23</v>
      </c>
      <c r="N3149">
        <v>1</v>
      </c>
    </row>
    <row r="3150" hidden="1" spans="1:14">
      <c r="A3150">
        <v>3112</v>
      </c>
      <c r="B3150" t="s">
        <v>777</v>
      </c>
      <c r="C3150" t="s">
        <v>57</v>
      </c>
      <c r="D3150">
        <v>0</v>
      </c>
      <c r="E3150">
        <v>67.9025</v>
      </c>
      <c r="F3150">
        <v>25.2563</v>
      </c>
      <c r="G3150">
        <v>115766.52</v>
      </c>
      <c r="H3150" s="1">
        <v>39259</v>
      </c>
      <c r="I3150" s="1">
        <v>39283</v>
      </c>
      <c r="J3150" t="s">
        <v>15</v>
      </c>
      <c r="K3150">
        <v>280</v>
      </c>
      <c r="L3150">
        <v>400000</v>
      </c>
      <c r="M3150" t="s">
        <v>86</v>
      </c>
      <c r="N3150">
        <v>1</v>
      </c>
    </row>
    <row r="3151" hidden="1" spans="1:14">
      <c r="A3151">
        <v>3116</v>
      </c>
      <c r="B3151" t="s">
        <v>778</v>
      </c>
      <c r="C3151" t="s">
        <v>57</v>
      </c>
      <c r="D3151">
        <v>0</v>
      </c>
      <c r="E3151">
        <v>71.8699</v>
      </c>
      <c r="F3151">
        <v>34.2749</v>
      </c>
      <c r="G3151">
        <v>29411.27</v>
      </c>
      <c r="H3151" s="1">
        <v>39261</v>
      </c>
      <c r="I3151" s="1">
        <v>39285</v>
      </c>
      <c r="J3151" t="s">
        <v>15</v>
      </c>
      <c r="K3151">
        <v>130</v>
      </c>
      <c r="L3151">
        <v>2000</v>
      </c>
      <c r="M3151" t="s">
        <v>16</v>
      </c>
      <c r="N3151">
        <v>1</v>
      </c>
    </row>
    <row r="3152" hidden="1" spans="1:14">
      <c r="A3152">
        <v>3162</v>
      </c>
      <c r="B3152">
        <v>0</v>
      </c>
      <c r="C3152" t="s">
        <v>57</v>
      </c>
      <c r="D3152">
        <v>0</v>
      </c>
      <c r="E3152">
        <v>68.8257</v>
      </c>
      <c r="F3152">
        <v>26.0192</v>
      </c>
      <c r="G3152">
        <v>190121.71</v>
      </c>
      <c r="H3152" s="1">
        <v>39304</v>
      </c>
      <c r="I3152" s="1">
        <v>39307</v>
      </c>
      <c r="J3152" t="s">
        <v>15</v>
      </c>
      <c r="K3152">
        <v>35</v>
      </c>
      <c r="L3152">
        <v>0</v>
      </c>
      <c r="M3152" t="s">
        <v>23</v>
      </c>
      <c r="N3152">
        <v>1</v>
      </c>
    </row>
    <row r="3153" hidden="1" spans="1:14">
      <c r="A3153">
        <v>3165</v>
      </c>
      <c r="B3153">
        <v>0</v>
      </c>
      <c r="C3153" t="s">
        <v>57</v>
      </c>
      <c r="D3153">
        <v>0</v>
      </c>
      <c r="E3153">
        <v>74.3382</v>
      </c>
      <c r="F3153">
        <v>35.9513</v>
      </c>
      <c r="G3153">
        <v>16541.18</v>
      </c>
      <c r="H3153" s="1">
        <v>39306</v>
      </c>
      <c r="I3153" s="1">
        <v>39308</v>
      </c>
      <c r="J3153" t="s">
        <v>15</v>
      </c>
      <c r="K3153">
        <v>22</v>
      </c>
      <c r="L3153">
        <v>0</v>
      </c>
      <c r="M3153" t="s">
        <v>16</v>
      </c>
      <c r="N3153">
        <v>1</v>
      </c>
    </row>
    <row r="3154" hidden="1" spans="1:14">
      <c r="A3154">
        <v>3347</v>
      </c>
      <c r="B3154" t="s">
        <v>779</v>
      </c>
      <c r="C3154" t="s">
        <v>57</v>
      </c>
      <c r="D3154">
        <v>0</v>
      </c>
      <c r="E3154">
        <v>71.7026</v>
      </c>
      <c r="F3154">
        <v>33.9163</v>
      </c>
      <c r="G3154">
        <v>32493.08</v>
      </c>
      <c r="H3154" s="1">
        <v>39662</v>
      </c>
      <c r="I3154" s="1">
        <v>39664</v>
      </c>
      <c r="J3154" t="s">
        <v>15</v>
      </c>
      <c r="K3154">
        <v>35</v>
      </c>
      <c r="L3154">
        <v>200000</v>
      </c>
      <c r="M3154" t="s">
        <v>64</v>
      </c>
      <c r="N3154">
        <v>2</v>
      </c>
    </row>
    <row r="3155" hidden="1" spans="1:14">
      <c r="A3155">
        <v>3359</v>
      </c>
      <c r="B3155" t="s">
        <v>780</v>
      </c>
      <c r="C3155" t="s">
        <v>57</v>
      </c>
      <c r="E3155">
        <v>72.6347</v>
      </c>
      <c r="F3155">
        <v>30.7385</v>
      </c>
      <c r="G3155">
        <v>165918.21</v>
      </c>
      <c r="H3155" s="1">
        <v>39669</v>
      </c>
      <c r="I3155" s="1">
        <v>39680</v>
      </c>
      <c r="J3155" t="s">
        <v>15</v>
      </c>
      <c r="K3155">
        <v>37</v>
      </c>
      <c r="L3155">
        <v>90752</v>
      </c>
      <c r="M3155" t="s">
        <v>490</v>
      </c>
      <c r="N3155">
        <v>1.5</v>
      </c>
    </row>
    <row r="3156" hidden="1" spans="1:14">
      <c r="A3156">
        <v>3508</v>
      </c>
      <c r="B3156" t="s">
        <v>781</v>
      </c>
      <c r="C3156" t="s">
        <v>57</v>
      </c>
      <c r="D3156">
        <v>0</v>
      </c>
      <c r="E3156">
        <v>67.1852</v>
      </c>
      <c r="F3156">
        <v>24.8786</v>
      </c>
      <c r="G3156">
        <v>10367.35</v>
      </c>
      <c r="H3156" s="1">
        <v>40011</v>
      </c>
      <c r="I3156" s="1">
        <v>40013</v>
      </c>
      <c r="J3156" t="s">
        <v>15</v>
      </c>
      <c r="K3156">
        <v>26</v>
      </c>
      <c r="L3156">
        <v>0</v>
      </c>
      <c r="M3156" t="s">
        <v>52</v>
      </c>
      <c r="N3156">
        <v>1</v>
      </c>
    </row>
    <row r="3157" hidden="1" spans="1:14">
      <c r="A3157">
        <v>3526</v>
      </c>
      <c r="B3157" t="s">
        <v>782</v>
      </c>
      <c r="C3157" t="s">
        <v>57</v>
      </c>
      <c r="D3157">
        <v>0</v>
      </c>
      <c r="E3157">
        <v>72.2471</v>
      </c>
      <c r="F3157">
        <v>33.9207</v>
      </c>
      <c r="G3157">
        <v>30560.13</v>
      </c>
      <c r="H3157" s="1">
        <v>40040</v>
      </c>
      <c r="I3157" s="1">
        <v>40042</v>
      </c>
      <c r="J3157">
        <v>0</v>
      </c>
      <c r="K3157">
        <v>27</v>
      </c>
      <c r="L3157">
        <v>1200</v>
      </c>
      <c r="M3157" t="s">
        <v>52</v>
      </c>
      <c r="N3157">
        <v>1.5</v>
      </c>
    </row>
    <row r="3158" hidden="1" spans="1:14">
      <c r="A3158">
        <v>3647</v>
      </c>
      <c r="B3158">
        <v>0</v>
      </c>
      <c r="C3158" t="s">
        <v>57</v>
      </c>
      <c r="D3158">
        <v>0</v>
      </c>
      <c r="E3158">
        <v>73.3855</v>
      </c>
      <c r="F3158">
        <v>35.5882</v>
      </c>
      <c r="G3158">
        <v>6706.99</v>
      </c>
      <c r="H3158" s="1">
        <v>40306</v>
      </c>
      <c r="I3158" s="1">
        <v>40321</v>
      </c>
      <c r="J3158">
        <v>0</v>
      </c>
      <c r="K3158">
        <v>0</v>
      </c>
      <c r="L3158">
        <v>0</v>
      </c>
      <c r="M3158" t="s">
        <v>49</v>
      </c>
      <c r="N3158">
        <v>1</v>
      </c>
    </row>
    <row r="3159" hidden="1" spans="1:14">
      <c r="A3159">
        <v>3658</v>
      </c>
      <c r="B3159" t="s">
        <v>783</v>
      </c>
      <c r="C3159" t="s">
        <v>57</v>
      </c>
      <c r="E3159">
        <v>67.9052</v>
      </c>
      <c r="F3159">
        <v>25.1175</v>
      </c>
      <c r="G3159">
        <v>59028.73</v>
      </c>
      <c r="H3159" s="1">
        <v>40335</v>
      </c>
      <c r="I3159" s="1">
        <v>40336</v>
      </c>
      <c r="J3159">
        <v>0</v>
      </c>
      <c r="K3159">
        <v>23</v>
      </c>
      <c r="L3159">
        <v>4000</v>
      </c>
      <c r="M3159" t="s">
        <v>784</v>
      </c>
      <c r="N3159">
        <v>1</v>
      </c>
    </row>
    <row r="3160" hidden="1" spans="1:14">
      <c r="A3160">
        <v>3666</v>
      </c>
      <c r="B3160">
        <v>0</v>
      </c>
      <c r="C3160" t="s">
        <v>57</v>
      </c>
      <c r="D3160">
        <v>0</v>
      </c>
      <c r="E3160">
        <v>72.0792</v>
      </c>
      <c r="F3160">
        <v>36.027</v>
      </c>
      <c r="G3160">
        <v>9325.99</v>
      </c>
      <c r="H3160" s="1">
        <v>40351</v>
      </c>
      <c r="I3160" s="1">
        <v>40353</v>
      </c>
      <c r="J3160">
        <v>0</v>
      </c>
      <c r="K3160">
        <v>46</v>
      </c>
      <c r="L3160">
        <v>0</v>
      </c>
      <c r="M3160" t="s">
        <v>52</v>
      </c>
      <c r="N3160">
        <v>1</v>
      </c>
    </row>
    <row r="3161" hidden="1" spans="1:14">
      <c r="A3161">
        <v>3687</v>
      </c>
      <c r="B3161">
        <v>0</v>
      </c>
      <c r="C3161" t="s">
        <v>57</v>
      </c>
      <c r="D3161">
        <v>0</v>
      </c>
      <c r="E3161">
        <v>66.9459</v>
      </c>
      <c r="F3161">
        <v>30.5059</v>
      </c>
      <c r="G3161">
        <v>14176.85</v>
      </c>
      <c r="H3161" s="1">
        <v>40380</v>
      </c>
      <c r="I3161" s="1">
        <v>40382</v>
      </c>
      <c r="J3161">
        <v>0</v>
      </c>
      <c r="K3161">
        <v>60</v>
      </c>
      <c r="L3161">
        <v>0</v>
      </c>
      <c r="M3161" t="s">
        <v>52</v>
      </c>
      <c r="N3161">
        <v>1.5</v>
      </c>
    </row>
    <row r="3162" hidden="1" spans="1:14">
      <c r="A3162">
        <v>3696</v>
      </c>
      <c r="B3162" t="s">
        <v>785</v>
      </c>
      <c r="C3162" t="s">
        <v>57</v>
      </c>
      <c r="D3162">
        <v>0</v>
      </c>
      <c r="E3162">
        <v>73.2579</v>
      </c>
      <c r="F3162">
        <v>33.3634</v>
      </c>
      <c r="G3162">
        <v>129691.63</v>
      </c>
      <c r="H3162" s="1">
        <v>40386</v>
      </c>
      <c r="I3162" s="1">
        <v>40497</v>
      </c>
      <c r="J3162" t="s">
        <v>15</v>
      </c>
      <c r="K3162">
        <v>1750</v>
      </c>
      <c r="L3162">
        <v>10000000</v>
      </c>
      <c r="M3162" t="s">
        <v>54</v>
      </c>
      <c r="N3162">
        <v>2</v>
      </c>
    </row>
    <row r="3163" hidden="1" spans="1:14">
      <c r="A3163">
        <v>3827</v>
      </c>
      <c r="C3163" t="s">
        <v>57</v>
      </c>
      <c r="E3163">
        <v>69.7095</v>
      </c>
      <c r="F3163">
        <v>27.9311</v>
      </c>
      <c r="G3163">
        <v>31965.46</v>
      </c>
      <c r="H3163" s="1">
        <v>40710</v>
      </c>
      <c r="I3163" s="1">
        <v>40715</v>
      </c>
      <c r="J3163" t="s">
        <v>15</v>
      </c>
      <c r="K3163">
        <v>0</v>
      </c>
      <c r="L3163">
        <v>0</v>
      </c>
      <c r="M3163" t="s">
        <v>54</v>
      </c>
      <c r="N3163">
        <v>1.5</v>
      </c>
    </row>
    <row r="3164" hidden="1" spans="1:14">
      <c r="A3164">
        <v>3857</v>
      </c>
      <c r="C3164" t="s">
        <v>57</v>
      </c>
      <c r="E3164">
        <v>69.0669</v>
      </c>
      <c r="F3164">
        <v>25.0123</v>
      </c>
      <c r="G3164">
        <v>32667.16</v>
      </c>
      <c r="H3164" s="1">
        <v>40767</v>
      </c>
      <c r="I3164" s="1">
        <v>40848</v>
      </c>
      <c r="J3164" t="s">
        <v>15</v>
      </c>
      <c r="K3164">
        <v>434</v>
      </c>
      <c r="L3164">
        <v>660000</v>
      </c>
      <c r="M3164" t="s">
        <v>54</v>
      </c>
      <c r="N3164">
        <v>1.5</v>
      </c>
    </row>
    <row r="3165" hidden="1" spans="1:14">
      <c r="A3165">
        <v>3859</v>
      </c>
      <c r="C3165" t="s">
        <v>57</v>
      </c>
      <c r="E3165">
        <v>71.7428</v>
      </c>
      <c r="F3165">
        <v>38.2779</v>
      </c>
      <c r="G3165">
        <v>47599.43</v>
      </c>
      <c r="H3165" s="1">
        <v>40780</v>
      </c>
      <c r="I3165" s="1">
        <v>40784</v>
      </c>
      <c r="J3165" t="s">
        <v>15</v>
      </c>
      <c r="K3165">
        <v>71</v>
      </c>
      <c r="L3165">
        <v>300</v>
      </c>
      <c r="M3165" t="s">
        <v>54</v>
      </c>
      <c r="N3165">
        <v>2</v>
      </c>
    </row>
    <row r="3166" hidden="1" spans="1:14">
      <c r="A3166">
        <v>3974</v>
      </c>
      <c r="B3166" t="s">
        <v>786</v>
      </c>
      <c r="C3166" t="s">
        <v>57</v>
      </c>
      <c r="E3166">
        <v>73.5222</v>
      </c>
      <c r="F3166">
        <v>35.0305</v>
      </c>
      <c r="G3166">
        <v>98264.36</v>
      </c>
      <c r="H3166" s="1">
        <v>41144</v>
      </c>
      <c r="I3166" s="1">
        <v>41150</v>
      </c>
      <c r="J3166" t="s">
        <v>15</v>
      </c>
      <c r="K3166">
        <v>26</v>
      </c>
      <c r="L3166">
        <v>1200</v>
      </c>
      <c r="M3166" t="s">
        <v>54</v>
      </c>
      <c r="N3166">
        <v>1.5</v>
      </c>
    </row>
    <row r="3167" hidden="1" spans="1:14">
      <c r="A3167">
        <v>3984</v>
      </c>
      <c r="C3167" t="s">
        <v>57</v>
      </c>
      <c r="E3167">
        <v>68.7756</v>
      </c>
      <c r="F3167">
        <v>28.0445</v>
      </c>
      <c r="G3167">
        <v>23036.11</v>
      </c>
      <c r="H3167" s="1">
        <v>41162</v>
      </c>
      <c r="I3167" s="1">
        <v>41211</v>
      </c>
      <c r="J3167" t="s">
        <v>15</v>
      </c>
      <c r="K3167">
        <v>400</v>
      </c>
      <c r="L3167">
        <v>742000</v>
      </c>
      <c r="M3167" t="s">
        <v>54</v>
      </c>
      <c r="N3167">
        <v>1.5</v>
      </c>
    </row>
    <row r="3168" hidden="1" spans="1:14">
      <c r="A3168">
        <v>4078</v>
      </c>
      <c r="C3168" t="s">
        <v>57</v>
      </c>
      <c r="D3168" t="s">
        <v>37</v>
      </c>
      <c r="E3168">
        <v>70.6377</v>
      </c>
      <c r="F3168">
        <v>32.8144</v>
      </c>
      <c r="G3168">
        <v>549425.38</v>
      </c>
      <c r="H3168" s="1">
        <v>41487</v>
      </c>
      <c r="I3168" s="1">
        <v>41493</v>
      </c>
      <c r="J3168" t="s">
        <v>15</v>
      </c>
      <c r="K3168">
        <v>135</v>
      </c>
      <c r="L3168">
        <v>81000</v>
      </c>
      <c r="M3168" t="s">
        <v>49</v>
      </c>
      <c r="N3168">
        <v>1.5</v>
      </c>
    </row>
    <row r="3169" hidden="1" spans="1:14">
      <c r="A3169">
        <v>4082</v>
      </c>
      <c r="C3169" t="s">
        <v>57</v>
      </c>
      <c r="E3169">
        <v>69.1065</v>
      </c>
      <c r="F3169">
        <v>28.7404</v>
      </c>
      <c r="G3169">
        <v>462763.09</v>
      </c>
      <c r="H3169" s="1">
        <v>41493</v>
      </c>
      <c r="I3169" s="1">
        <v>41507</v>
      </c>
      <c r="J3169" t="s">
        <v>15</v>
      </c>
      <c r="K3169">
        <v>70</v>
      </c>
      <c r="L3169">
        <v>12000</v>
      </c>
      <c r="M3169" t="s">
        <v>787</v>
      </c>
      <c r="N3169">
        <v>1.5</v>
      </c>
    </row>
    <row r="3170" hidden="1" spans="1:14">
      <c r="A3170">
        <v>4179</v>
      </c>
      <c r="C3170" t="s">
        <v>57</v>
      </c>
      <c r="D3170" t="s">
        <v>131</v>
      </c>
      <c r="E3170">
        <v>75.3419</v>
      </c>
      <c r="F3170">
        <v>33.9449</v>
      </c>
      <c r="G3170">
        <v>253686.93</v>
      </c>
      <c r="H3170" s="1">
        <v>41883</v>
      </c>
      <c r="I3170" s="1">
        <v>41923</v>
      </c>
      <c r="J3170" t="s">
        <v>15</v>
      </c>
      <c r="K3170">
        <v>300</v>
      </c>
      <c r="L3170">
        <v>30000</v>
      </c>
      <c r="M3170" t="s">
        <v>735</v>
      </c>
      <c r="N3170">
        <v>2</v>
      </c>
    </row>
    <row r="3171" hidden="1" spans="1:14">
      <c r="A3171">
        <v>4245</v>
      </c>
      <c r="C3171" t="s">
        <v>57</v>
      </c>
      <c r="E3171">
        <v>71.8901</v>
      </c>
      <c r="F3171">
        <v>33.5131</v>
      </c>
      <c r="G3171">
        <v>21148.15</v>
      </c>
      <c r="H3171" s="1">
        <v>42120</v>
      </c>
      <c r="I3171" s="1">
        <v>42122</v>
      </c>
      <c r="J3171" t="s">
        <v>15</v>
      </c>
      <c r="K3171">
        <v>44</v>
      </c>
      <c r="L3171">
        <v>4800</v>
      </c>
      <c r="M3171" t="s">
        <v>52</v>
      </c>
      <c r="N3171">
        <v>1.5</v>
      </c>
    </row>
    <row r="3172" hidden="1" spans="1:14">
      <c r="A3172">
        <v>4270</v>
      </c>
      <c r="C3172" t="s">
        <v>57</v>
      </c>
      <c r="E3172">
        <v>72.8428</v>
      </c>
      <c r="F3172">
        <v>35.0129</v>
      </c>
      <c r="G3172">
        <v>73485.14</v>
      </c>
      <c r="H3172" s="1">
        <v>42180</v>
      </c>
      <c r="I3172" s="1">
        <v>42184</v>
      </c>
      <c r="J3172" t="s">
        <v>15</v>
      </c>
      <c r="K3172">
        <v>10</v>
      </c>
      <c r="L3172">
        <v>0</v>
      </c>
      <c r="M3172" t="s">
        <v>52</v>
      </c>
      <c r="N3172">
        <v>1.5</v>
      </c>
    </row>
    <row r="3173" hidden="1" spans="1:14">
      <c r="A3173">
        <v>4272</v>
      </c>
      <c r="C3173" t="s">
        <v>57</v>
      </c>
      <c r="E3173">
        <v>72.2737</v>
      </c>
      <c r="F3173">
        <v>34.3432</v>
      </c>
      <c r="G3173">
        <v>137039.96</v>
      </c>
      <c r="H3173" s="1">
        <v>42200</v>
      </c>
      <c r="I3173" s="1">
        <v>42235</v>
      </c>
      <c r="J3173" t="s">
        <v>15</v>
      </c>
      <c r="K3173">
        <v>166</v>
      </c>
      <c r="L3173">
        <v>803000</v>
      </c>
      <c r="M3173" t="s">
        <v>54</v>
      </c>
      <c r="N3173">
        <v>1.5</v>
      </c>
    </row>
    <row r="3174" hidden="1" spans="1:14">
      <c r="A3174">
        <v>4339</v>
      </c>
      <c r="B3174" t="s">
        <v>788</v>
      </c>
      <c r="C3174" t="s">
        <v>57</v>
      </c>
      <c r="E3174">
        <v>71.7788</v>
      </c>
      <c r="F3174">
        <v>33.0545</v>
      </c>
      <c r="G3174">
        <v>111748.39</v>
      </c>
      <c r="H3174" s="1">
        <v>42441</v>
      </c>
      <c r="I3174" s="1">
        <v>42473</v>
      </c>
      <c r="J3174" t="s">
        <v>15</v>
      </c>
      <c r="K3174">
        <v>121</v>
      </c>
      <c r="L3174">
        <v>2400</v>
      </c>
      <c r="M3174" t="s">
        <v>49</v>
      </c>
      <c r="N3174">
        <v>1.5</v>
      </c>
    </row>
    <row r="3175" hidden="1" spans="1:14">
      <c r="A3175">
        <v>4372</v>
      </c>
      <c r="C3175" t="s">
        <v>57</v>
      </c>
      <c r="E3175">
        <v>72.7933</v>
      </c>
      <c r="F3175">
        <v>36.1038</v>
      </c>
      <c r="G3175">
        <v>31431.28</v>
      </c>
      <c r="H3175" s="1">
        <v>42554</v>
      </c>
      <c r="I3175" s="1">
        <v>42557</v>
      </c>
      <c r="J3175" t="s">
        <v>15</v>
      </c>
      <c r="K3175">
        <v>30</v>
      </c>
      <c r="L3175">
        <v>80</v>
      </c>
      <c r="M3175" t="s">
        <v>49</v>
      </c>
      <c r="N3175">
        <v>1.5</v>
      </c>
    </row>
    <row r="3176" hidden="1" spans="1:14">
      <c r="A3176">
        <v>4489</v>
      </c>
      <c r="C3176" t="s">
        <v>57</v>
      </c>
      <c r="E3176">
        <v>72.3232</v>
      </c>
      <c r="F3176">
        <v>33.4014</v>
      </c>
      <c r="G3176">
        <v>222047.34</v>
      </c>
      <c r="H3176" s="1">
        <v>42911</v>
      </c>
      <c r="I3176" s="1">
        <v>42919</v>
      </c>
      <c r="J3176" t="s">
        <v>15</v>
      </c>
      <c r="K3176">
        <v>11</v>
      </c>
      <c r="L3176">
        <v>1000</v>
      </c>
      <c r="M3176" t="s">
        <v>54</v>
      </c>
      <c r="N3176">
        <v>1</v>
      </c>
    </row>
    <row r="3177" hidden="1" spans="1:14">
      <c r="A3177">
        <v>4501</v>
      </c>
      <c r="C3177" t="s">
        <v>57</v>
      </c>
      <c r="E3177">
        <v>74.0057</v>
      </c>
      <c r="F3177">
        <v>35.4339</v>
      </c>
      <c r="G3177">
        <v>42978.95</v>
      </c>
      <c r="H3177" s="1">
        <v>42950</v>
      </c>
      <c r="I3177" s="1">
        <v>42957</v>
      </c>
      <c r="J3177" t="s">
        <v>15</v>
      </c>
      <c r="K3177">
        <v>5</v>
      </c>
      <c r="L3177">
        <v>0</v>
      </c>
      <c r="M3177" t="s">
        <v>789</v>
      </c>
      <c r="N3177">
        <v>1.5</v>
      </c>
    </row>
    <row r="3178" hidden="1" spans="1:14">
      <c r="A3178">
        <v>4645</v>
      </c>
      <c r="C3178" t="s">
        <v>57</v>
      </c>
      <c r="E3178">
        <v>72.5706</v>
      </c>
      <c r="F3178">
        <v>33.3024</v>
      </c>
      <c r="G3178">
        <v>148548.16</v>
      </c>
      <c r="H3178" s="1">
        <v>43284</v>
      </c>
      <c r="I3178" s="1">
        <v>43292</v>
      </c>
      <c r="J3178" t="s">
        <v>58</v>
      </c>
      <c r="K3178">
        <v>6</v>
      </c>
      <c r="L3178">
        <v>13</v>
      </c>
      <c r="M3178" t="s">
        <v>54</v>
      </c>
      <c r="N3178">
        <v>1</v>
      </c>
    </row>
    <row r="3179" hidden="1" spans="1:14">
      <c r="A3179">
        <v>4773</v>
      </c>
      <c r="C3179" t="s">
        <v>57</v>
      </c>
      <c r="E3179">
        <v>73.3624</v>
      </c>
      <c r="F3179">
        <v>36.1403</v>
      </c>
      <c r="G3179">
        <v>30502.4</v>
      </c>
      <c r="H3179" s="1">
        <v>43653</v>
      </c>
      <c r="I3179" s="1">
        <v>43659</v>
      </c>
      <c r="J3179" t="s">
        <v>56</v>
      </c>
      <c r="K3179">
        <v>0</v>
      </c>
      <c r="L3179">
        <v>100</v>
      </c>
      <c r="M3179" t="s">
        <v>790</v>
      </c>
      <c r="N3179">
        <v>2</v>
      </c>
    </row>
    <row r="3180" hidden="1" spans="1:14">
      <c r="A3180">
        <v>4879</v>
      </c>
      <c r="C3180" t="s">
        <v>57</v>
      </c>
      <c r="E3180">
        <v>71.0365</v>
      </c>
      <c r="F3180">
        <v>33.3026</v>
      </c>
      <c r="G3180">
        <v>116828.75</v>
      </c>
      <c r="H3180" s="1">
        <v>43896</v>
      </c>
      <c r="I3180" s="1">
        <v>43907</v>
      </c>
      <c r="J3180" t="s">
        <v>56</v>
      </c>
      <c r="K3180">
        <v>33</v>
      </c>
      <c r="L3180">
        <v>1200</v>
      </c>
      <c r="M3180" t="s">
        <v>49</v>
      </c>
      <c r="N3180">
        <v>1.5</v>
      </c>
    </row>
    <row r="3181" hidden="1" spans="1:14">
      <c r="A3181">
        <v>4953</v>
      </c>
      <c r="C3181" t="s">
        <v>57</v>
      </c>
      <c r="E3181">
        <v>68.2157</v>
      </c>
      <c r="F3181">
        <v>26.9573</v>
      </c>
      <c r="G3181">
        <v>97006.28</v>
      </c>
      <c r="H3181" s="1">
        <v>44067</v>
      </c>
      <c r="I3181" s="1">
        <v>44070</v>
      </c>
      <c r="J3181" t="s">
        <v>56</v>
      </c>
      <c r="K3181">
        <v>0</v>
      </c>
      <c r="L3181">
        <v>1300</v>
      </c>
      <c r="M3181" t="s">
        <v>54</v>
      </c>
      <c r="N3181">
        <v>1.5</v>
      </c>
    </row>
    <row r="3182" hidden="1" spans="1:14">
      <c r="A3182">
        <v>5099</v>
      </c>
      <c r="C3182" t="s">
        <v>57</v>
      </c>
      <c r="E3182">
        <v>73.1273</v>
      </c>
      <c r="F3182">
        <v>34.1447</v>
      </c>
      <c r="G3182">
        <v>5316.69</v>
      </c>
      <c r="H3182" s="1">
        <v>44405</v>
      </c>
      <c r="I3182" s="1">
        <v>44406</v>
      </c>
      <c r="J3182" t="s">
        <v>56</v>
      </c>
      <c r="K3182">
        <v>2</v>
      </c>
      <c r="L3182">
        <v>0</v>
      </c>
      <c r="M3182" t="s">
        <v>52</v>
      </c>
      <c r="N3182">
        <v>1.5</v>
      </c>
    </row>
    <row r="3183" hidden="1" spans="1:14">
      <c r="A3183">
        <v>5123</v>
      </c>
      <c r="C3183" t="s">
        <v>57</v>
      </c>
      <c r="E3183">
        <v>66.9909</v>
      </c>
      <c r="F3183">
        <v>25.2097</v>
      </c>
      <c r="G3183">
        <v>3873.53</v>
      </c>
      <c r="H3183" s="1">
        <v>44458</v>
      </c>
      <c r="I3183" s="1">
        <v>44459</v>
      </c>
      <c r="J3183" t="s">
        <v>56</v>
      </c>
      <c r="K3183">
        <v>0</v>
      </c>
      <c r="L3183">
        <v>0</v>
      </c>
      <c r="M3183" t="s">
        <v>54</v>
      </c>
      <c r="N3183">
        <v>1.5</v>
      </c>
    </row>
    <row r="3184" hidden="1" spans="1:14">
      <c r="A3184">
        <v>205</v>
      </c>
      <c r="B3184">
        <v>0</v>
      </c>
      <c r="C3184" t="s">
        <v>791</v>
      </c>
      <c r="D3184">
        <v>0</v>
      </c>
      <c r="E3184">
        <v>72.1319</v>
      </c>
      <c r="F3184">
        <v>31.8882</v>
      </c>
      <c r="G3184">
        <v>220520.86</v>
      </c>
      <c r="H3184" s="1">
        <v>32342</v>
      </c>
      <c r="I3184" s="1">
        <v>32360</v>
      </c>
      <c r="J3184" t="s">
        <v>15</v>
      </c>
      <c r="K3184">
        <v>158</v>
      </c>
      <c r="L3184">
        <v>163000</v>
      </c>
      <c r="M3184" t="s">
        <v>23</v>
      </c>
      <c r="N3184">
        <v>1</v>
      </c>
    </row>
    <row r="3185" hidden="1" spans="1:14">
      <c r="A3185">
        <v>234</v>
      </c>
      <c r="B3185">
        <v>0</v>
      </c>
      <c r="C3185" t="s">
        <v>791</v>
      </c>
      <c r="D3185">
        <v>0</v>
      </c>
      <c r="E3185">
        <v>68.0427</v>
      </c>
      <c r="F3185">
        <v>25.6834</v>
      </c>
      <c r="G3185">
        <v>33007.62</v>
      </c>
      <c r="H3185" s="1">
        <v>32373</v>
      </c>
      <c r="I3185" s="1">
        <v>32380</v>
      </c>
      <c r="J3185" t="s">
        <v>15</v>
      </c>
      <c r="K3185">
        <v>0</v>
      </c>
      <c r="L3185">
        <v>200000</v>
      </c>
      <c r="M3185" t="s">
        <v>64</v>
      </c>
      <c r="N3185">
        <v>1</v>
      </c>
    </row>
    <row r="3186" hidden="1" spans="1:14">
      <c r="A3186">
        <v>1757</v>
      </c>
      <c r="B3186">
        <v>0</v>
      </c>
      <c r="C3186" t="s">
        <v>791</v>
      </c>
      <c r="D3186">
        <v>0</v>
      </c>
      <c r="E3186">
        <v>73.2608</v>
      </c>
      <c r="F3186">
        <v>34.9888</v>
      </c>
      <c r="G3186">
        <v>111090.8</v>
      </c>
      <c r="H3186" s="1">
        <v>37094</v>
      </c>
      <c r="I3186" s="1">
        <v>37097</v>
      </c>
      <c r="J3186" t="s">
        <v>15</v>
      </c>
      <c r="K3186">
        <v>230</v>
      </c>
      <c r="L3186">
        <v>40000</v>
      </c>
      <c r="M3186" t="s">
        <v>18</v>
      </c>
      <c r="N3186">
        <v>1</v>
      </c>
    </row>
    <row r="3187" hidden="1" spans="1:14">
      <c r="A3187">
        <v>1780</v>
      </c>
      <c r="B3187">
        <v>0</v>
      </c>
      <c r="C3187" t="s">
        <v>791</v>
      </c>
      <c r="D3187">
        <v>0</v>
      </c>
      <c r="E3187">
        <v>70.7261</v>
      </c>
      <c r="F3187">
        <v>30.0691</v>
      </c>
      <c r="G3187">
        <v>3031.91</v>
      </c>
      <c r="H3187" s="1">
        <v>37119</v>
      </c>
      <c r="I3187" s="1">
        <v>37119</v>
      </c>
      <c r="J3187" t="s">
        <v>15</v>
      </c>
      <c r="K3187">
        <v>6</v>
      </c>
      <c r="L3187">
        <v>0</v>
      </c>
      <c r="M3187" t="s">
        <v>18</v>
      </c>
      <c r="N3187">
        <v>1</v>
      </c>
    </row>
    <row r="3188" hidden="1" spans="1:14">
      <c r="A3188">
        <v>1147</v>
      </c>
      <c r="B3188">
        <v>0</v>
      </c>
      <c r="C3188" t="s">
        <v>792</v>
      </c>
      <c r="D3188">
        <v>0</v>
      </c>
      <c r="E3188">
        <v>35.229</v>
      </c>
      <c r="F3188">
        <v>32.165</v>
      </c>
      <c r="G3188">
        <v>3610.33</v>
      </c>
      <c r="H3188" s="1">
        <v>35483</v>
      </c>
      <c r="I3188" s="1">
        <v>35487</v>
      </c>
      <c r="J3188" t="s">
        <v>15</v>
      </c>
      <c r="K3188">
        <v>16</v>
      </c>
      <c r="L3188">
        <v>0</v>
      </c>
      <c r="M3188" t="s">
        <v>16</v>
      </c>
      <c r="N3188">
        <v>1</v>
      </c>
    </row>
    <row r="3189" hidden="1" spans="1:14">
      <c r="A3189">
        <v>4019</v>
      </c>
      <c r="C3189" t="s">
        <v>792</v>
      </c>
      <c r="D3189" t="s">
        <v>561</v>
      </c>
      <c r="E3189">
        <v>36.4502</v>
      </c>
      <c r="F3189">
        <v>32.8398</v>
      </c>
      <c r="G3189">
        <v>29142.93</v>
      </c>
      <c r="H3189" s="1">
        <v>41282</v>
      </c>
      <c r="I3189" s="1">
        <v>41284</v>
      </c>
      <c r="J3189" t="s">
        <v>15</v>
      </c>
      <c r="K3189">
        <v>2</v>
      </c>
      <c r="L3189">
        <v>1600</v>
      </c>
      <c r="M3189" t="s">
        <v>49</v>
      </c>
      <c r="N3189">
        <v>1.5</v>
      </c>
    </row>
    <row r="3190" hidden="1" spans="1:14">
      <c r="A3190">
        <v>4210</v>
      </c>
      <c r="C3190" t="s">
        <v>792</v>
      </c>
      <c r="E3190">
        <v>34.4532</v>
      </c>
      <c r="F3190">
        <v>31.3378</v>
      </c>
      <c r="G3190">
        <v>2861.66</v>
      </c>
      <c r="H3190" s="1">
        <v>41969</v>
      </c>
      <c r="I3190" s="1">
        <v>41978</v>
      </c>
      <c r="J3190" t="s">
        <v>15</v>
      </c>
      <c r="K3190">
        <v>0</v>
      </c>
      <c r="L3190">
        <v>300</v>
      </c>
      <c r="M3190" t="s">
        <v>52</v>
      </c>
      <c r="N3190">
        <v>1.5</v>
      </c>
    </row>
    <row r="3191" hidden="1" spans="1:14">
      <c r="A3191">
        <v>1023</v>
      </c>
      <c r="B3191">
        <v>0</v>
      </c>
      <c r="C3191" t="s">
        <v>332</v>
      </c>
      <c r="D3191">
        <v>0</v>
      </c>
      <c r="E3191">
        <v>-80.49</v>
      </c>
      <c r="F3191">
        <v>8.26752</v>
      </c>
      <c r="G3191">
        <v>13740</v>
      </c>
      <c r="H3191" s="1">
        <v>34982</v>
      </c>
      <c r="I3191" s="1">
        <v>34992</v>
      </c>
      <c r="J3191" t="s">
        <v>15</v>
      </c>
      <c r="K3191">
        <v>1</v>
      </c>
      <c r="L3191">
        <v>500</v>
      </c>
      <c r="M3191" t="s">
        <v>16</v>
      </c>
      <c r="N3191">
        <v>1</v>
      </c>
    </row>
    <row r="3192" hidden="1" spans="1:14">
      <c r="A3192">
        <v>1045</v>
      </c>
      <c r="B3192">
        <v>0</v>
      </c>
      <c r="C3192" t="s">
        <v>332</v>
      </c>
      <c r="D3192">
        <v>0</v>
      </c>
      <c r="E3192">
        <v>-80.1678</v>
      </c>
      <c r="F3192">
        <v>8.80064</v>
      </c>
      <c r="G3192">
        <v>31005.41</v>
      </c>
      <c r="H3192" s="1">
        <v>35078</v>
      </c>
      <c r="I3192" s="1">
        <v>35080</v>
      </c>
      <c r="J3192" t="s">
        <v>15</v>
      </c>
      <c r="K3192">
        <v>6</v>
      </c>
      <c r="L3192">
        <v>0</v>
      </c>
      <c r="M3192" t="s">
        <v>16</v>
      </c>
      <c r="N3192">
        <v>1</v>
      </c>
    </row>
    <row r="3193" hidden="1" spans="1:14">
      <c r="A3193">
        <v>2292</v>
      </c>
      <c r="B3193">
        <v>0</v>
      </c>
      <c r="C3193" t="s">
        <v>332</v>
      </c>
      <c r="D3193">
        <v>0</v>
      </c>
      <c r="E3193">
        <v>-79.7265</v>
      </c>
      <c r="F3193">
        <v>8.90315</v>
      </c>
      <c r="G3193">
        <v>546.934</v>
      </c>
      <c r="H3193" s="1">
        <v>37814</v>
      </c>
      <c r="I3193" s="1">
        <v>37815</v>
      </c>
      <c r="J3193" t="s">
        <v>15</v>
      </c>
      <c r="K3193">
        <v>0</v>
      </c>
      <c r="L3193">
        <v>4000</v>
      </c>
      <c r="M3193" t="s">
        <v>16</v>
      </c>
      <c r="N3193">
        <v>2</v>
      </c>
    </row>
    <row r="3194" hidden="1" spans="1:14">
      <c r="A3194">
        <v>2567</v>
      </c>
      <c r="B3194">
        <v>0</v>
      </c>
      <c r="C3194" t="s">
        <v>332</v>
      </c>
      <c r="D3194">
        <v>0</v>
      </c>
      <c r="E3194">
        <v>-79.5161</v>
      </c>
      <c r="F3194">
        <v>9.01103</v>
      </c>
      <c r="G3194">
        <v>81.7624</v>
      </c>
      <c r="H3194" s="1">
        <v>38247</v>
      </c>
      <c r="I3194" s="1">
        <v>38249</v>
      </c>
      <c r="J3194" t="s">
        <v>15</v>
      </c>
      <c r="K3194">
        <v>13</v>
      </c>
      <c r="L3194">
        <v>11700</v>
      </c>
      <c r="M3194" t="s">
        <v>16</v>
      </c>
      <c r="N3194">
        <v>1</v>
      </c>
    </row>
    <row r="3195" hidden="1" spans="1:14">
      <c r="A3195">
        <v>2590</v>
      </c>
      <c r="B3195">
        <v>0</v>
      </c>
      <c r="C3195" t="s">
        <v>332</v>
      </c>
      <c r="D3195">
        <v>0</v>
      </c>
      <c r="E3195">
        <v>-77.8578</v>
      </c>
      <c r="F3195">
        <v>8.43937</v>
      </c>
      <c r="G3195">
        <v>5108.2</v>
      </c>
      <c r="H3195" s="1">
        <v>38314</v>
      </c>
      <c r="I3195" s="1">
        <v>38317</v>
      </c>
      <c r="J3195" t="s">
        <v>15</v>
      </c>
      <c r="K3195">
        <v>0</v>
      </c>
      <c r="L3195">
        <v>6500</v>
      </c>
      <c r="M3195" t="s">
        <v>16</v>
      </c>
      <c r="N3195">
        <v>2</v>
      </c>
    </row>
    <row r="3196" hidden="1" spans="1:14">
      <c r="A3196">
        <v>2997</v>
      </c>
      <c r="B3196" t="s">
        <v>793</v>
      </c>
      <c r="C3196" t="s">
        <v>332</v>
      </c>
      <c r="D3196">
        <v>0</v>
      </c>
      <c r="E3196">
        <v>-78.71</v>
      </c>
      <c r="F3196">
        <v>8.90473</v>
      </c>
      <c r="G3196">
        <v>17734.74</v>
      </c>
      <c r="H3196" s="1">
        <v>39042</v>
      </c>
      <c r="I3196" s="1">
        <v>39051</v>
      </c>
      <c r="J3196" t="s">
        <v>15</v>
      </c>
      <c r="K3196">
        <v>11</v>
      </c>
      <c r="L3196">
        <v>1290</v>
      </c>
      <c r="M3196" t="s">
        <v>16</v>
      </c>
      <c r="N3196">
        <v>1</v>
      </c>
    </row>
    <row r="3197" hidden="1" spans="1:14">
      <c r="A3197">
        <v>3592</v>
      </c>
      <c r="B3197">
        <v>0</v>
      </c>
      <c r="C3197" t="s">
        <v>332</v>
      </c>
      <c r="E3197">
        <v>-82.6444</v>
      </c>
      <c r="F3197">
        <v>9.11544</v>
      </c>
      <c r="G3197">
        <v>23337.85</v>
      </c>
      <c r="H3197" s="1">
        <v>40189</v>
      </c>
      <c r="I3197" s="1">
        <v>40191</v>
      </c>
      <c r="J3197">
        <v>0</v>
      </c>
      <c r="K3197">
        <v>0</v>
      </c>
      <c r="L3197">
        <v>1000</v>
      </c>
      <c r="M3197" t="s">
        <v>49</v>
      </c>
      <c r="N3197">
        <v>1</v>
      </c>
    </row>
    <row r="3198" hidden="1" spans="1:14">
      <c r="A3198">
        <v>3759</v>
      </c>
      <c r="B3198">
        <v>0</v>
      </c>
      <c r="C3198" t="s">
        <v>332</v>
      </c>
      <c r="E3198">
        <v>-78.5977</v>
      </c>
      <c r="F3198">
        <v>8.88357</v>
      </c>
      <c r="G3198">
        <v>23750.6</v>
      </c>
      <c r="H3198" s="1">
        <v>40520</v>
      </c>
      <c r="I3198" s="1">
        <v>40529</v>
      </c>
      <c r="J3198" t="s">
        <v>15</v>
      </c>
      <c r="K3198">
        <v>10</v>
      </c>
      <c r="L3198">
        <v>2000</v>
      </c>
      <c r="M3198" t="s">
        <v>52</v>
      </c>
      <c r="N3198">
        <v>1.5</v>
      </c>
    </row>
    <row r="3199" hidden="1" spans="1:14">
      <c r="A3199">
        <v>4181</v>
      </c>
      <c r="C3199" t="s">
        <v>332</v>
      </c>
      <c r="E3199">
        <v>-80.9628</v>
      </c>
      <c r="F3199">
        <v>8.23894</v>
      </c>
      <c r="G3199">
        <v>22658.51</v>
      </c>
      <c r="H3199" s="1">
        <v>41869</v>
      </c>
      <c r="I3199" s="1">
        <v>41886</v>
      </c>
      <c r="J3199" t="s">
        <v>15</v>
      </c>
      <c r="K3199">
        <v>9</v>
      </c>
      <c r="L3199">
        <v>116</v>
      </c>
      <c r="M3199" t="s">
        <v>49</v>
      </c>
      <c r="N3199">
        <v>1</v>
      </c>
    </row>
    <row r="3200" hidden="1" spans="1:14">
      <c r="A3200">
        <v>5104</v>
      </c>
      <c r="C3200" t="s">
        <v>332</v>
      </c>
      <c r="E3200">
        <v>-82.002</v>
      </c>
      <c r="F3200">
        <v>8.78486</v>
      </c>
      <c r="G3200">
        <v>11376.15</v>
      </c>
      <c r="H3200" s="1">
        <v>44399</v>
      </c>
      <c r="I3200" s="1">
        <v>44405</v>
      </c>
      <c r="J3200" t="s">
        <v>56</v>
      </c>
      <c r="K3200">
        <v>0</v>
      </c>
      <c r="L3200">
        <v>1408</v>
      </c>
      <c r="M3200" t="s">
        <v>49</v>
      </c>
      <c r="N3200">
        <v>1.5</v>
      </c>
    </row>
    <row r="3201" hidden="1" spans="1:14">
      <c r="A3201">
        <v>645</v>
      </c>
      <c r="B3201">
        <v>0</v>
      </c>
      <c r="C3201" t="s">
        <v>794</v>
      </c>
      <c r="D3201">
        <v>0</v>
      </c>
      <c r="E3201">
        <v>142.822</v>
      </c>
      <c r="F3201">
        <v>-3.79249</v>
      </c>
      <c r="G3201">
        <v>71645.06</v>
      </c>
      <c r="H3201" s="1">
        <v>33727</v>
      </c>
      <c r="I3201" s="1">
        <v>33730</v>
      </c>
      <c r="J3201" t="s">
        <v>15</v>
      </c>
      <c r="K3201">
        <v>0</v>
      </c>
      <c r="L3201">
        <v>10000</v>
      </c>
      <c r="M3201" t="s">
        <v>16</v>
      </c>
      <c r="N3201">
        <v>2</v>
      </c>
    </row>
    <row r="3202" hidden="1" spans="1:14">
      <c r="A3202">
        <v>824</v>
      </c>
      <c r="B3202">
        <v>0</v>
      </c>
      <c r="C3202" t="s">
        <v>794</v>
      </c>
      <c r="D3202">
        <v>0</v>
      </c>
      <c r="E3202">
        <v>148.53</v>
      </c>
      <c r="F3202">
        <v>-9.05287</v>
      </c>
      <c r="G3202">
        <v>65497.93</v>
      </c>
      <c r="H3202" s="1">
        <v>34350</v>
      </c>
      <c r="I3202" s="1">
        <v>34354</v>
      </c>
      <c r="J3202" t="s">
        <v>15</v>
      </c>
      <c r="K3202">
        <v>9</v>
      </c>
      <c r="L3202">
        <v>0</v>
      </c>
      <c r="M3202" t="s">
        <v>86</v>
      </c>
      <c r="N3202">
        <v>1</v>
      </c>
    </row>
    <row r="3203" hidden="1" spans="1:14">
      <c r="A3203">
        <v>1349</v>
      </c>
      <c r="B3203">
        <v>0</v>
      </c>
      <c r="C3203" t="s">
        <v>794</v>
      </c>
      <c r="D3203">
        <v>0</v>
      </c>
      <c r="E3203">
        <v>142.971</v>
      </c>
      <c r="F3203">
        <v>-7.16459</v>
      </c>
      <c r="G3203">
        <v>53963.34</v>
      </c>
      <c r="H3203" s="1">
        <v>35912</v>
      </c>
      <c r="I3203" s="1">
        <v>35916</v>
      </c>
      <c r="J3203" t="s">
        <v>15</v>
      </c>
      <c r="K3203">
        <v>0</v>
      </c>
      <c r="L3203">
        <v>30000</v>
      </c>
      <c r="M3203" t="s">
        <v>16</v>
      </c>
      <c r="N3203">
        <v>1</v>
      </c>
    </row>
    <row r="3204" hidden="1" spans="1:14">
      <c r="A3204">
        <v>2220</v>
      </c>
      <c r="B3204">
        <v>0</v>
      </c>
      <c r="C3204" t="s">
        <v>794</v>
      </c>
      <c r="D3204">
        <v>0</v>
      </c>
      <c r="E3204">
        <v>143.696</v>
      </c>
      <c r="F3204">
        <v>-4.40215</v>
      </c>
      <c r="G3204">
        <v>24063.21</v>
      </c>
      <c r="H3204" s="1">
        <v>37725</v>
      </c>
      <c r="I3204" s="1">
        <v>37745</v>
      </c>
      <c r="J3204" t="s">
        <v>15</v>
      </c>
      <c r="K3204">
        <v>0</v>
      </c>
      <c r="L3204">
        <v>0</v>
      </c>
      <c r="M3204" t="s">
        <v>16</v>
      </c>
      <c r="N3204">
        <v>1</v>
      </c>
    </row>
    <row r="3205" hidden="1" spans="1:14">
      <c r="A3205">
        <v>2378</v>
      </c>
      <c r="B3205">
        <v>0</v>
      </c>
      <c r="C3205" t="s">
        <v>794</v>
      </c>
      <c r="D3205">
        <v>0</v>
      </c>
      <c r="E3205">
        <v>147.419</v>
      </c>
      <c r="F3205">
        <v>-6.63283</v>
      </c>
      <c r="G3205">
        <v>952.089</v>
      </c>
      <c r="H3205" s="1">
        <v>37931</v>
      </c>
      <c r="I3205" s="1">
        <v>37935</v>
      </c>
      <c r="J3205" t="s">
        <v>15</v>
      </c>
      <c r="K3205">
        <v>2</v>
      </c>
      <c r="L3205">
        <v>5000</v>
      </c>
      <c r="M3205" t="s">
        <v>16</v>
      </c>
      <c r="N3205">
        <v>1</v>
      </c>
    </row>
    <row r="3206" hidden="1" spans="1:14">
      <c r="A3206">
        <v>2449</v>
      </c>
      <c r="B3206">
        <v>0</v>
      </c>
      <c r="C3206" t="s">
        <v>794</v>
      </c>
      <c r="D3206">
        <v>0</v>
      </c>
      <c r="E3206">
        <v>144.544</v>
      </c>
      <c r="F3206">
        <v>-5.87694</v>
      </c>
      <c r="G3206">
        <v>2011.2</v>
      </c>
      <c r="H3206" s="1">
        <v>38051</v>
      </c>
      <c r="I3206" s="1">
        <v>38055</v>
      </c>
      <c r="J3206" t="s">
        <v>15</v>
      </c>
      <c r="K3206">
        <v>0</v>
      </c>
      <c r="L3206">
        <v>10000</v>
      </c>
      <c r="M3206" t="s">
        <v>16</v>
      </c>
      <c r="N3206">
        <v>1</v>
      </c>
    </row>
    <row r="3207" hidden="1" spans="1:14">
      <c r="A3207">
        <v>2459</v>
      </c>
      <c r="B3207">
        <v>0</v>
      </c>
      <c r="C3207" t="s">
        <v>794</v>
      </c>
      <c r="D3207">
        <v>0</v>
      </c>
      <c r="E3207">
        <v>145.509</v>
      </c>
      <c r="F3207">
        <v>-5.6766</v>
      </c>
      <c r="G3207">
        <v>3315.43</v>
      </c>
      <c r="H3207" s="1">
        <v>38066</v>
      </c>
      <c r="I3207" s="1">
        <v>38077</v>
      </c>
      <c r="J3207" t="s">
        <v>15</v>
      </c>
      <c r="K3207">
        <v>2</v>
      </c>
      <c r="L3207">
        <v>4000</v>
      </c>
      <c r="M3207" t="s">
        <v>16</v>
      </c>
      <c r="N3207">
        <v>1</v>
      </c>
    </row>
    <row r="3208" hidden="1" spans="1:14">
      <c r="A3208">
        <v>2795</v>
      </c>
      <c r="B3208" t="s">
        <v>795</v>
      </c>
      <c r="C3208" t="s">
        <v>794</v>
      </c>
      <c r="D3208">
        <v>0</v>
      </c>
      <c r="E3208">
        <v>147.275</v>
      </c>
      <c r="F3208">
        <v>-9.06991</v>
      </c>
      <c r="G3208">
        <v>34451.65</v>
      </c>
      <c r="H3208" s="1">
        <v>38751</v>
      </c>
      <c r="I3208" s="1">
        <v>38767</v>
      </c>
      <c r="J3208" t="s">
        <v>15</v>
      </c>
      <c r="K3208">
        <v>1</v>
      </c>
      <c r="L3208">
        <v>12000</v>
      </c>
      <c r="M3208" t="s">
        <v>16</v>
      </c>
      <c r="N3208">
        <v>2</v>
      </c>
    </row>
    <row r="3209" hidden="1" spans="1:14">
      <c r="A3209">
        <v>2812</v>
      </c>
      <c r="B3209">
        <v>0</v>
      </c>
      <c r="C3209" t="s">
        <v>794</v>
      </c>
      <c r="D3209">
        <v>0</v>
      </c>
      <c r="E3209">
        <v>144.381</v>
      </c>
      <c r="F3209">
        <v>-5.79946</v>
      </c>
      <c r="G3209">
        <v>7506.79</v>
      </c>
      <c r="H3209" s="1">
        <v>38766</v>
      </c>
      <c r="I3209" s="1">
        <v>38772</v>
      </c>
      <c r="J3209" t="s">
        <v>15</v>
      </c>
      <c r="K3209">
        <v>6</v>
      </c>
      <c r="L3209">
        <v>5000</v>
      </c>
      <c r="M3209" t="s">
        <v>16</v>
      </c>
      <c r="N3209">
        <v>1</v>
      </c>
    </row>
    <row r="3210" hidden="1" spans="1:14">
      <c r="A3210">
        <v>2846</v>
      </c>
      <c r="B3210">
        <v>0</v>
      </c>
      <c r="C3210" t="s">
        <v>794</v>
      </c>
      <c r="D3210">
        <v>0</v>
      </c>
      <c r="E3210">
        <v>143.217</v>
      </c>
      <c r="F3210">
        <v>-4.26192</v>
      </c>
      <c r="G3210">
        <v>41563.97</v>
      </c>
      <c r="H3210" s="1">
        <v>38819</v>
      </c>
      <c r="I3210" s="1">
        <v>38825</v>
      </c>
      <c r="J3210" t="s">
        <v>15</v>
      </c>
      <c r="K3210">
        <v>0</v>
      </c>
      <c r="L3210">
        <v>400</v>
      </c>
      <c r="M3210" t="s">
        <v>16</v>
      </c>
      <c r="N3210">
        <v>1</v>
      </c>
    </row>
    <row r="3211" hidden="1" spans="1:14">
      <c r="A3211">
        <v>2854</v>
      </c>
      <c r="B3211">
        <v>0</v>
      </c>
      <c r="C3211" t="s">
        <v>794</v>
      </c>
      <c r="D3211">
        <v>0</v>
      </c>
      <c r="E3211">
        <v>143.697</v>
      </c>
      <c r="F3211">
        <v>-6.15624</v>
      </c>
      <c r="G3211">
        <v>4698.61</v>
      </c>
      <c r="H3211" s="1">
        <v>38834</v>
      </c>
      <c r="I3211" s="1">
        <v>38837</v>
      </c>
      <c r="J3211" t="s">
        <v>15</v>
      </c>
      <c r="K3211">
        <v>1</v>
      </c>
      <c r="L3211">
        <v>300</v>
      </c>
      <c r="M3211" t="s">
        <v>796</v>
      </c>
      <c r="N3211">
        <v>1</v>
      </c>
    </row>
    <row r="3212" hidden="1" spans="1:14">
      <c r="A3212">
        <v>3163</v>
      </c>
      <c r="B3212">
        <v>0</v>
      </c>
      <c r="C3212" t="s">
        <v>794</v>
      </c>
      <c r="D3212">
        <v>0</v>
      </c>
      <c r="E3212">
        <v>147.317</v>
      </c>
      <c r="F3212">
        <v>-6.69662</v>
      </c>
      <c r="G3212">
        <v>2710.34</v>
      </c>
      <c r="H3212" s="1">
        <v>39304</v>
      </c>
      <c r="I3212" s="1">
        <v>39315</v>
      </c>
      <c r="J3212" t="s">
        <v>15</v>
      </c>
      <c r="K3212">
        <v>2</v>
      </c>
      <c r="L3212">
        <v>5000</v>
      </c>
      <c r="M3212" t="s">
        <v>16</v>
      </c>
      <c r="N3212">
        <v>1</v>
      </c>
    </row>
    <row r="3213" hidden="1" spans="1:14">
      <c r="A3213">
        <v>3225</v>
      </c>
      <c r="B3213" t="s">
        <v>797</v>
      </c>
      <c r="C3213" t="s">
        <v>794</v>
      </c>
      <c r="D3213">
        <v>0</v>
      </c>
      <c r="E3213">
        <v>149.222</v>
      </c>
      <c r="F3213">
        <v>-9.03235</v>
      </c>
      <c r="G3213">
        <v>12652.21</v>
      </c>
      <c r="H3213" s="1">
        <v>39398</v>
      </c>
      <c r="I3213" s="1">
        <v>39412</v>
      </c>
      <c r="J3213" t="s">
        <v>15</v>
      </c>
      <c r="K3213">
        <v>170</v>
      </c>
      <c r="L3213">
        <v>13000</v>
      </c>
      <c r="M3213" t="s">
        <v>86</v>
      </c>
      <c r="N3213">
        <v>1</v>
      </c>
    </row>
    <row r="3214" hidden="1" spans="1:14">
      <c r="A3214">
        <v>4028</v>
      </c>
      <c r="B3214" t="s">
        <v>798</v>
      </c>
      <c r="C3214" t="s">
        <v>794</v>
      </c>
      <c r="E3214">
        <v>144.477</v>
      </c>
      <c r="F3214">
        <v>-5.88736</v>
      </c>
      <c r="G3214">
        <v>245461.58</v>
      </c>
      <c r="H3214" s="1">
        <v>41244</v>
      </c>
      <c r="I3214" s="1">
        <v>41317</v>
      </c>
      <c r="J3214" t="s">
        <v>15</v>
      </c>
      <c r="K3214">
        <v>0</v>
      </c>
      <c r="L3214">
        <v>500</v>
      </c>
      <c r="M3214" t="s">
        <v>49</v>
      </c>
      <c r="N3214">
        <v>1</v>
      </c>
    </row>
    <row r="3215" hidden="1" spans="1:14">
      <c r="A3215">
        <v>4892</v>
      </c>
      <c r="C3215" t="s">
        <v>794</v>
      </c>
      <c r="E3215">
        <v>146.752</v>
      </c>
      <c r="F3215">
        <v>-6.92513</v>
      </c>
      <c r="G3215">
        <v>14567.65</v>
      </c>
      <c r="H3215" s="1">
        <v>43922</v>
      </c>
      <c r="I3215" s="1">
        <v>43924</v>
      </c>
      <c r="J3215" t="s">
        <v>56</v>
      </c>
      <c r="K3215">
        <v>0</v>
      </c>
      <c r="L3215">
        <v>0</v>
      </c>
      <c r="M3215" t="s">
        <v>49</v>
      </c>
      <c r="N3215">
        <v>1</v>
      </c>
    </row>
    <row r="3216" hidden="1" spans="1:14">
      <c r="A3216">
        <v>818</v>
      </c>
      <c r="B3216">
        <v>0</v>
      </c>
      <c r="C3216" t="s">
        <v>799</v>
      </c>
      <c r="D3216">
        <v>0</v>
      </c>
      <c r="E3216">
        <v>145.32</v>
      </c>
      <c r="F3216">
        <v>-6.46321</v>
      </c>
      <c r="G3216">
        <v>9588.1</v>
      </c>
      <c r="H3216" s="1">
        <v>34332</v>
      </c>
      <c r="I3216" s="1">
        <v>34333</v>
      </c>
      <c r="J3216" t="s">
        <v>15</v>
      </c>
      <c r="K3216">
        <v>14</v>
      </c>
      <c r="L3216">
        <v>3500</v>
      </c>
      <c r="M3216" t="s">
        <v>16</v>
      </c>
      <c r="N3216">
        <v>1</v>
      </c>
    </row>
    <row r="3217" hidden="1" spans="1:14">
      <c r="A3217">
        <v>4168</v>
      </c>
      <c r="C3217" t="s">
        <v>800</v>
      </c>
      <c r="E3217">
        <v>143.399</v>
      </c>
      <c r="F3217">
        <v>-6.06802</v>
      </c>
      <c r="G3217">
        <v>51770.21</v>
      </c>
      <c r="H3217" s="1">
        <v>41840</v>
      </c>
      <c r="I3217" s="1">
        <v>41849</v>
      </c>
      <c r="J3217" t="s">
        <v>15</v>
      </c>
      <c r="K3217">
        <v>4</v>
      </c>
      <c r="L3217">
        <v>0</v>
      </c>
      <c r="M3217" t="s">
        <v>49</v>
      </c>
      <c r="N3217">
        <v>1.5</v>
      </c>
    </row>
    <row r="3218" hidden="1" spans="1:14">
      <c r="A3218">
        <v>387</v>
      </c>
      <c r="B3218">
        <v>0</v>
      </c>
      <c r="C3218" t="s">
        <v>89</v>
      </c>
      <c r="D3218">
        <v>0</v>
      </c>
      <c r="E3218">
        <v>-56.6593</v>
      </c>
      <c r="F3218">
        <v>-26.6947</v>
      </c>
      <c r="G3218">
        <v>36790.78</v>
      </c>
      <c r="H3218" s="1">
        <v>32887</v>
      </c>
      <c r="I3218" s="1">
        <v>32946</v>
      </c>
      <c r="J3218" t="s">
        <v>15</v>
      </c>
      <c r="K3218">
        <v>0</v>
      </c>
      <c r="L3218">
        <v>120000</v>
      </c>
      <c r="M3218" t="s">
        <v>16</v>
      </c>
      <c r="N3218">
        <v>1</v>
      </c>
    </row>
    <row r="3219" hidden="1" spans="1:14">
      <c r="A3219">
        <v>936</v>
      </c>
      <c r="B3219">
        <v>0</v>
      </c>
      <c r="C3219" t="s">
        <v>89</v>
      </c>
      <c r="D3219">
        <v>0</v>
      </c>
      <c r="E3219">
        <v>-57.5391</v>
      </c>
      <c r="F3219">
        <v>-23.8263</v>
      </c>
      <c r="G3219">
        <v>49342.56</v>
      </c>
      <c r="H3219" s="1">
        <v>34744</v>
      </c>
      <c r="I3219" s="1">
        <v>34751</v>
      </c>
      <c r="J3219" t="s">
        <v>15</v>
      </c>
      <c r="K3219">
        <v>0</v>
      </c>
      <c r="L3219">
        <v>20000</v>
      </c>
      <c r="M3219" t="s">
        <v>16</v>
      </c>
      <c r="N3219">
        <v>1</v>
      </c>
    </row>
    <row r="3220" hidden="1" spans="1:14">
      <c r="A3220">
        <v>968</v>
      </c>
      <c r="B3220">
        <v>0</v>
      </c>
      <c r="C3220" t="s">
        <v>89</v>
      </c>
      <c r="D3220">
        <v>0</v>
      </c>
      <c r="E3220">
        <v>-57.4637</v>
      </c>
      <c r="F3220">
        <v>-23.8173</v>
      </c>
      <c r="G3220">
        <v>50608.04</v>
      </c>
      <c r="H3220" s="1">
        <v>34885</v>
      </c>
      <c r="I3220" s="1">
        <v>34885</v>
      </c>
      <c r="J3220" t="s">
        <v>15</v>
      </c>
      <c r="K3220">
        <v>0</v>
      </c>
      <c r="L3220">
        <v>27000</v>
      </c>
      <c r="M3220" t="s">
        <v>16</v>
      </c>
      <c r="N3220">
        <v>1</v>
      </c>
    </row>
    <row r="3221" hidden="1" spans="1:14">
      <c r="A3221">
        <v>1304</v>
      </c>
      <c r="B3221">
        <v>0</v>
      </c>
      <c r="C3221" t="s">
        <v>89</v>
      </c>
      <c r="D3221">
        <v>0</v>
      </c>
      <c r="E3221">
        <v>-57.8725</v>
      </c>
      <c r="F3221">
        <v>-20.8879</v>
      </c>
      <c r="G3221">
        <v>317648.25</v>
      </c>
      <c r="H3221" s="1">
        <v>35779</v>
      </c>
      <c r="I3221" s="1">
        <v>35839</v>
      </c>
      <c r="J3221" t="s">
        <v>15</v>
      </c>
      <c r="K3221">
        <v>50</v>
      </c>
      <c r="L3221">
        <v>100000</v>
      </c>
      <c r="M3221" t="s">
        <v>86</v>
      </c>
      <c r="N3221">
        <v>1</v>
      </c>
    </row>
    <row r="3222" hidden="1" spans="1:14">
      <c r="A3222">
        <v>1351</v>
      </c>
      <c r="B3222">
        <v>0</v>
      </c>
      <c r="C3222" t="s">
        <v>89</v>
      </c>
      <c r="D3222">
        <v>0</v>
      </c>
      <c r="E3222">
        <v>-59.1497</v>
      </c>
      <c r="F3222">
        <v>-22.9217</v>
      </c>
      <c r="G3222">
        <v>242666.66</v>
      </c>
      <c r="H3222" s="1">
        <v>35855</v>
      </c>
      <c r="I3222" s="1">
        <v>35922</v>
      </c>
      <c r="J3222" t="s">
        <v>15</v>
      </c>
      <c r="K3222">
        <v>55</v>
      </c>
      <c r="L3222">
        <v>85000</v>
      </c>
      <c r="M3222" t="s">
        <v>16</v>
      </c>
      <c r="N3222">
        <v>1</v>
      </c>
    </row>
    <row r="3223" hidden="1" spans="1:14">
      <c r="A3223">
        <v>1925</v>
      </c>
      <c r="B3223">
        <v>0</v>
      </c>
      <c r="C3223" t="s">
        <v>89</v>
      </c>
      <c r="D3223">
        <v>0</v>
      </c>
      <c r="E3223">
        <v>-57.811</v>
      </c>
      <c r="F3223">
        <v>-26.6767</v>
      </c>
      <c r="G3223">
        <v>52917.92</v>
      </c>
      <c r="H3223" s="1">
        <v>37382</v>
      </c>
      <c r="I3223" s="1">
        <v>37404</v>
      </c>
      <c r="J3223" t="s">
        <v>15</v>
      </c>
      <c r="K3223">
        <v>0</v>
      </c>
      <c r="L3223">
        <v>1000</v>
      </c>
      <c r="M3223" t="s">
        <v>16</v>
      </c>
      <c r="N3223">
        <v>1</v>
      </c>
    </row>
    <row r="3224" hidden="1" spans="1:14">
      <c r="A3224">
        <v>2586</v>
      </c>
      <c r="B3224">
        <v>0</v>
      </c>
      <c r="C3224" t="s">
        <v>89</v>
      </c>
      <c r="D3224" t="s">
        <v>87</v>
      </c>
      <c r="E3224">
        <v>-57.5059</v>
      </c>
      <c r="F3224">
        <v>-26.5435</v>
      </c>
      <c r="G3224">
        <v>127493.44</v>
      </c>
      <c r="H3224" s="1">
        <v>38298</v>
      </c>
      <c r="I3224" s="1">
        <v>38336</v>
      </c>
      <c r="J3224" t="s">
        <v>15</v>
      </c>
      <c r="K3224">
        <v>0</v>
      </c>
      <c r="L3224">
        <v>0</v>
      </c>
      <c r="M3224" t="s">
        <v>16</v>
      </c>
      <c r="N3224">
        <v>1</v>
      </c>
    </row>
    <row r="3225" hidden="1" spans="1:14">
      <c r="A3225">
        <v>3559</v>
      </c>
      <c r="B3225" t="s">
        <v>801</v>
      </c>
      <c r="C3225" t="s">
        <v>89</v>
      </c>
      <c r="D3225">
        <v>0</v>
      </c>
      <c r="E3225">
        <v>-56.2737</v>
      </c>
      <c r="F3225">
        <v>-25.0929</v>
      </c>
      <c r="G3225">
        <v>163340.77</v>
      </c>
      <c r="H3225" s="1">
        <v>40112</v>
      </c>
      <c r="I3225" s="1">
        <v>40114</v>
      </c>
      <c r="J3225">
        <v>0</v>
      </c>
      <c r="K3225">
        <v>0</v>
      </c>
      <c r="L3225">
        <v>0</v>
      </c>
      <c r="M3225" t="s">
        <v>49</v>
      </c>
      <c r="N3225">
        <v>1</v>
      </c>
    </row>
    <row r="3226" hidden="1" spans="1:14">
      <c r="A3226">
        <v>3919</v>
      </c>
      <c r="B3226" t="s">
        <v>802</v>
      </c>
      <c r="C3226" t="s">
        <v>89</v>
      </c>
      <c r="D3226" t="s">
        <v>87</v>
      </c>
      <c r="E3226">
        <v>-59.2722</v>
      </c>
      <c r="F3226">
        <v>-23.6467</v>
      </c>
      <c r="G3226">
        <v>120344.81</v>
      </c>
      <c r="H3226" s="1">
        <v>41004</v>
      </c>
      <c r="I3226" s="1">
        <v>41025</v>
      </c>
      <c r="J3226" t="s">
        <v>15</v>
      </c>
      <c r="K3226">
        <v>2</v>
      </c>
      <c r="L3226">
        <v>5000</v>
      </c>
      <c r="M3226" t="s">
        <v>52</v>
      </c>
      <c r="N3226">
        <v>1.5</v>
      </c>
    </row>
    <row r="3227" hidden="1" spans="1:14">
      <c r="A3227">
        <v>4075</v>
      </c>
      <c r="C3227" t="s">
        <v>89</v>
      </c>
      <c r="E3227">
        <v>-57.6536</v>
      </c>
      <c r="F3227">
        <v>-24.146</v>
      </c>
      <c r="G3227">
        <v>131222.52</v>
      </c>
      <c r="H3227" s="1">
        <v>41459</v>
      </c>
      <c r="I3227" s="1">
        <v>41470</v>
      </c>
      <c r="J3227" t="s">
        <v>15</v>
      </c>
      <c r="K3227">
        <v>0</v>
      </c>
      <c r="L3227">
        <v>52000</v>
      </c>
      <c r="M3227" t="s">
        <v>49</v>
      </c>
      <c r="N3227">
        <v>1.5</v>
      </c>
    </row>
    <row r="3228" hidden="1" spans="1:14">
      <c r="A3228">
        <v>4127</v>
      </c>
      <c r="B3228" t="s">
        <v>803</v>
      </c>
      <c r="C3228" t="s">
        <v>89</v>
      </c>
      <c r="E3228">
        <v>-57.5833</v>
      </c>
      <c r="F3228">
        <v>-25.2205</v>
      </c>
      <c r="G3228">
        <v>6829.57</v>
      </c>
      <c r="H3228" s="1">
        <v>41695</v>
      </c>
      <c r="I3228" s="1">
        <v>41708</v>
      </c>
      <c r="J3228" t="s">
        <v>15</v>
      </c>
      <c r="K3228">
        <v>0</v>
      </c>
      <c r="L3228">
        <v>2000</v>
      </c>
      <c r="M3228" t="s">
        <v>49</v>
      </c>
      <c r="N3228">
        <v>1</v>
      </c>
    </row>
    <row r="3229" hidden="1" spans="1:14">
      <c r="A3229">
        <v>4150</v>
      </c>
      <c r="C3229" t="s">
        <v>89</v>
      </c>
      <c r="D3229" t="s">
        <v>88</v>
      </c>
      <c r="E3229">
        <v>-53.547</v>
      </c>
      <c r="F3229">
        <v>-24.3541</v>
      </c>
      <c r="G3229">
        <v>554605.25</v>
      </c>
      <c r="H3229" s="1">
        <v>41793</v>
      </c>
      <c r="I3229" s="1">
        <v>41834</v>
      </c>
      <c r="J3229" t="s">
        <v>15</v>
      </c>
      <c r="K3229">
        <v>9</v>
      </c>
      <c r="L3229">
        <v>265000</v>
      </c>
      <c r="M3229" t="s">
        <v>804</v>
      </c>
      <c r="N3229">
        <v>2</v>
      </c>
    </row>
    <row r="3230" hidden="1" spans="1:14">
      <c r="A3230">
        <v>4281</v>
      </c>
      <c r="C3230" t="s">
        <v>89</v>
      </c>
      <c r="E3230">
        <v>-58.273</v>
      </c>
      <c r="F3230">
        <v>-25.0451</v>
      </c>
      <c r="G3230">
        <v>28652.69</v>
      </c>
      <c r="H3230" s="1">
        <v>42210</v>
      </c>
      <c r="I3230" s="1">
        <v>42221</v>
      </c>
      <c r="J3230" t="s">
        <v>15</v>
      </c>
      <c r="K3230">
        <v>0</v>
      </c>
      <c r="L3230">
        <v>3700</v>
      </c>
      <c r="M3230" t="s">
        <v>49</v>
      </c>
      <c r="N3230">
        <v>1.5</v>
      </c>
    </row>
    <row r="3231" hidden="1" spans="1:14">
      <c r="A3231">
        <v>4315</v>
      </c>
      <c r="B3231" t="s">
        <v>805</v>
      </c>
      <c r="C3231" t="s">
        <v>89</v>
      </c>
      <c r="D3231" t="s">
        <v>95</v>
      </c>
      <c r="E3231">
        <v>-55.8482</v>
      </c>
      <c r="F3231">
        <v>-26.0369</v>
      </c>
      <c r="G3231">
        <v>574056.99</v>
      </c>
      <c r="H3231" s="1">
        <v>42339</v>
      </c>
      <c r="I3231" s="1">
        <v>42398</v>
      </c>
      <c r="J3231" t="s">
        <v>15</v>
      </c>
      <c r="K3231">
        <v>12</v>
      </c>
      <c r="L3231">
        <v>170000</v>
      </c>
      <c r="M3231" t="s">
        <v>49</v>
      </c>
      <c r="N3231">
        <v>2</v>
      </c>
    </row>
    <row r="3232" hidden="1" spans="1:14">
      <c r="A3232">
        <v>4562</v>
      </c>
      <c r="C3232" t="s">
        <v>89</v>
      </c>
      <c r="E3232">
        <v>-57.5988</v>
      </c>
      <c r="F3232">
        <v>-25.312</v>
      </c>
      <c r="G3232">
        <v>2924.11</v>
      </c>
      <c r="H3232" s="1">
        <v>43113</v>
      </c>
      <c r="I3232" s="1">
        <v>43122</v>
      </c>
      <c r="J3232" t="s">
        <v>15</v>
      </c>
      <c r="K3232">
        <v>0</v>
      </c>
      <c r="L3232">
        <v>5000</v>
      </c>
      <c r="M3232" t="s">
        <v>49</v>
      </c>
      <c r="N3232">
        <v>1</v>
      </c>
    </row>
    <row r="3233" hidden="1" spans="1:14">
      <c r="A3233">
        <v>4703</v>
      </c>
      <c r="C3233" t="s">
        <v>89</v>
      </c>
      <c r="E3233">
        <v>-57.0853</v>
      </c>
      <c r="F3233">
        <v>-25.3427</v>
      </c>
      <c r="G3233">
        <v>97154.2</v>
      </c>
      <c r="H3233" s="1">
        <v>43402</v>
      </c>
      <c r="I3233" s="1">
        <v>43411</v>
      </c>
      <c r="J3233" t="s">
        <v>56</v>
      </c>
      <c r="K3233">
        <v>0</v>
      </c>
      <c r="L3233">
        <v>10000</v>
      </c>
      <c r="M3233" t="s">
        <v>49</v>
      </c>
      <c r="N3233">
        <v>1</v>
      </c>
    </row>
    <row r="3234" hidden="1" spans="1:14">
      <c r="A3234">
        <v>4736</v>
      </c>
      <c r="C3234" t="s">
        <v>89</v>
      </c>
      <c r="D3234" t="s">
        <v>167</v>
      </c>
      <c r="E3234">
        <v>-57.8276</v>
      </c>
      <c r="F3234">
        <v>-22.6654</v>
      </c>
      <c r="G3234">
        <v>259389.42</v>
      </c>
      <c r="H3234" s="1">
        <v>43539</v>
      </c>
      <c r="I3234" s="1">
        <v>43557</v>
      </c>
      <c r="J3234" t="s">
        <v>56</v>
      </c>
      <c r="K3234">
        <v>0</v>
      </c>
      <c r="L3234">
        <v>250</v>
      </c>
      <c r="M3234" t="s">
        <v>49</v>
      </c>
      <c r="N3234">
        <v>1</v>
      </c>
    </row>
    <row r="3235" hidden="1" spans="1:14">
      <c r="A3235">
        <v>5018</v>
      </c>
      <c r="C3235" t="s">
        <v>89</v>
      </c>
      <c r="E3235">
        <v>-57.8276</v>
      </c>
      <c r="F3235">
        <v>-23.4087</v>
      </c>
      <c r="G3235">
        <v>118548.31</v>
      </c>
      <c r="H3235" s="1">
        <v>44226</v>
      </c>
      <c r="I3235" s="1">
        <v>44235</v>
      </c>
      <c r="J3235" t="s">
        <v>56</v>
      </c>
      <c r="K3235">
        <v>10</v>
      </c>
      <c r="L3235">
        <v>0</v>
      </c>
      <c r="M3235" t="s">
        <v>49</v>
      </c>
      <c r="N3235">
        <v>1.5</v>
      </c>
    </row>
    <row r="3236" hidden="1" spans="1:14">
      <c r="A3236">
        <v>73</v>
      </c>
      <c r="B3236">
        <v>0</v>
      </c>
      <c r="C3236" t="s">
        <v>174</v>
      </c>
      <c r="E3236">
        <v>-69.0747</v>
      </c>
      <c r="F3236">
        <v>-16.1155</v>
      </c>
      <c r="G3236">
        <v>94944.29</v>
      </c>
      <c r="H3236" s="1">
        <v>31444</v>
      </c>
      <c r="I3236" s="1">
        <v>31533</v>
      </c>
      <c r="J3236" t="s">
        <v>15</v>
      </c>
      <c r="K3236">
        <v>0</v>
      </c>
      <c r="L3236">
        <v>300000</v>
      </c>
      <c r="M3236" t="s">
        <v>64</v>
      </c>
      <c r="N3236">
        <v>2</v>
      </c>
    </row>
    <row r="3237" hidden="1" spans="1:14">
      <c r="A3237">
        <v>121</v>
      </c>
      <c r="B3237">
        <v>0</v>
      </c>
      <c r="C3237" t="s">
        <v>174</v>
      </c>
      <c r="D3237">
        <v>0</v>
      </c>
      <c r="E3237">
        <v>-74.0575</v>
      </c>
      <c r="F3237">
        <v>-12.3047</v>
      </c>
      <c r="G3237">
        <v>29211.31</v>
      </c>
      <c r="H3237" s="1">
        <v>31809</v>
      </c>
      <c r="I3237" s="1">
        <v>31818</v>
      </c>
      <c r="J3237" t="s">
        <v>15</v>
      </c>
      <c r="K3237">
        <v>113</v>
      </c>
      <c r="L3237">
        <v>2000</v>
      </c>
      <c r="M3237" t="s">
        <v>16</v>
      </c>
      <c r="N3237">
        <v>1</v>
      </c>
    </row>
    <row r="3238" hidden="1" spans="1:14">
      <c r="A3238">
        <v>169</v>
      </c>
      <c r="B3238">
        <v>0</v>
      </c>
      <c r="C3238" t="s">
        <v>174</v>
      </c>
      <c r="D3238">
        <v>0</v>
      </c>
      <c r="E3238">
        <v>-72.4803</v>
      </c>
      <c r="F3238">
        <v>-12.823</v>
      </c>
      <c r="G3238">
        <v>5174.04</v>
      </c>
      <c r="H3238" s="1">
        <v>32195</v>
      </c>
      <c r="I3238" s="1">
        <v>32195</v>
      </c>
      <c r="J3238" t="s">
        <v>15</v>
      </c>
      <c r="K3238">
        <v>0</v>
      </c>
      <c r="L3238">
        <v>0</v>
      </c>
      <c r="M3238" t="s">
        <v>49</v>
      </c>
      <c r="N3238">
        <v>1</v>
      </c>
    </row>
    <row r="3239" hidden="1" spans="1:14">
      <c r="A3239">
        <v>313</v>
      </c>
      <c r="B3239">
        <v>0</v>
      </c>
      <c r="C3239" t="s">
        <v>174</v>
      </c>
      <c r="D3239">
        <v>0</v>
      </c>
      <c r="E3239">
        <v>-80.5262</v>
      </c>
      <c r="F3239">
        <v>-5.5536</v>
      </c>
      <c r="G3239">
        <v>21796.2</v>
      </c>
      <c r="H3239" s="1">
        <v>32684</v>
      </c>
      <c r="I3239" s="1">
        <v>32688</v>
      </c>
      <c r="J3239" t="s">
        <v>15</v>
      </c>
      <c r="K3239">
        <v>0</v>
      </c>
      <c r="L3239">
        <v>0</v>
      </c>
      <c r="M3239" t="s">
        <v>16</v>
      </c>
      <c r="N3239">
        <v>1</v>
      </c>
    </row>
    <row r="3240" hidden="1" spans="1:14">
      <c r="A3240">
        <v>289</v>
      </c>
      <c r="B3240">
        <v>0</v>
      </c>
      <c r="C3240" t="s">
        <v>174</v>
      </c>
      <c r="D3240">
        <v>0</v>
      </c>
      <c r="E3240">
        <v>-76.7805</v>
      </c>
      <c r="F3240">
        <v>-11.5274</v>
      </c>
      <c r="G3240">
        <v>2956.89</v>
      </c>
      <c r="H3240" s="1">
        <v>32555</v>
      </c>
      <c r="I3240" s="1">
        <v>32561</v>
      </c>
      <c r="J3240" t="s">
        <v>15</v>
      </c>
      <c r="K3240">
        <v>60</v>
      </c>
      <c r="L3240">
        <v>1000</v>
      </c>
      <c r="M3240" t="s">
        <v>16</v>
      </c>
      <c r="N3240">
        <v>1</v>
      </c>
    </row>
    <row r="3241" hidden="1" spans="1:14">
      <c r="A3241">
        <v>397</v>
      </c>
      <c r="B3241">
        <v>0</v>
      </c>
      <c r="C3241" t="s">
        <v>174</v>
      </c>
      <c r="D3241">
        <v>0</v>
      </c>
      <c r="E3241">
        <v>-72.9381</v>
      </c>
      <c r="F3241">
        <v>-13.4786</v>
      </c>
      <c r="G3241">
        <v>132815.37</v>
      </c>
      <c r="H3241" s="1">
        <v>32924</v>
      </c>
      <c r="I3241" s="1">
        <v>32927</v>
      </c>
      <c r="J3241" t="s">
        <v>15</v>
      </c>
      <c r="K3241">
        <v>21</v>
      </c>
      <c r="L3241">
        <v>100</v>
      </c>
      <c r="M3241" t="s">
        <v>16</v>
      </c>
      <c r="N3241">
        <v>1</v>
      </c>
    </row>
    <row r="3242" hidden="1" spans="1:14">
      <c r="A3242">
        <v>486</v>
      </c>
      <c r="B3242">
        <v>0</v>
      </c>
      <c r="C3242" t="s">
        <v>174</v>
      </c>
      <c r="D3242">
        <v>0</v>
      </c>
      <c r="E3242">
        <v>-73.8493</v>
      </c>
      <c r="F3242">
        <v>-13.4786</v>
      </c>
      <c r="G3242">
        <v>111346.2</v>
      </c>
      <c r="H3242" s="1">
        <v>33235</v>
      </c>
      <c r="I3242" s="1">
        <v>33237</v>
      </c>
      <c r="J3242" t="s">
        <v>15</v>
      </c>
      <c r="K3242">
        <v>20</v>
      </c>
      <c r="L3242">
        <v>2000</v>
      </c>
      <c r="M3242" t="s">
        <v>16</v>
      </c>
      <c r="N3242">
        <v>1</v>
      </c>
    </row>
    <row r="3243" hidden="1" spans="1:14">
      <c r="A3243">
        <v>628</v>
      </c>
      <c r="B3243">
        <v>0</v>
      </c>
      <c r="C3243" t="s">
        <v>174</v>
      </c>
      <c r="D3243">
        <v>0</v>
      </c>
      <c r="E3243">
        <v>-79.6066</v>
      </c>
      <c r="F3243">
        <v>-4.68836</v>
      </c>
      <c r="G3243">
        <v>40568.07</v>
      </c>
      <c r="H3243" s="1">
        <v>33666</v>
      </c>
      <c r="I3243" s="1">
        <v>33688</v>
      </c>
      <c r="J3243" t="s">
        <v>15</v>
      </c>
      <c r="K3243">
        <v>0</v>
      </c>
      <c r="L3243">
        <v>32000</v>
      </c>
      <c r="M3243" t="s">
        <v>16</v>
      </c>
      <c r="N3243">
        <v>2</v>
      </c>
    </row>
    <row r="3244" hidden="1" spans="1:14">
      <c r="A3244">
        <v>828</v>
      </c>
      <c r="B3244">
        <v>0</v>
      </c>
      <c r="C3244" t="s">
        <v>174</v>
      </c>
      <c r="D3244">
        <v>0</v>
      </c>
      <c r="E3244">
        <v>-77.0482</v>
      </c>
      <c r="F3244">
        <v>-8.13028</v>
      </c>
      <c r="G3244">
        <v>609261.38</v>
      </c>
      <c r="H3244" s="1">
        <v>34365</v>
      </c>
      <c r="I3244" s="1">
        <v>34385</v>
      </c>
      <c r="J3244" t="s">
        <v>15</v>
      </c>
      <c r="K3244">
        <v>63</v>
      </c>
      <c r="L3244">
        <v>12000</v>
      </c>
      <c r="M3244" t="s">
        <v>16</v>
      </c>
      <c r="N3244">
        <v>1</v>
      </c>
    </row>
    <row r="3245" hidden="1" spans="1:14">
      <c r="A3245">
        <v>831</v>
      </c>
      <c r="B3245">
        <v>0</v>
      </c>
      <c r="C3245" t="s">
        <v>174</v>
      </c>
      <c r="D3245">
        <v>0</v>
      </c>
      <c r="E3245">
        <v>-76.0086</v>
      </c>
      <c r="F3245">
        <v>-12.0008</v>
      </c>
      <c r="G3245">
        <v>27660.41</v>
      </c>
      <c r="H3245" s="1">
        <v>34392</v>
      </c>
      <c r="I3245" s="1">
        <v>34399</v>
      </c>
      <c r="J3245" t="s">
        <v>15</v>
      </c>
      <c r="K3245">
        <v>17</v>
      </c>
      <c r="L3245">
        <v>120000</v>
      </c>
      <c r="M3245" t="s">
        <v>16</v>
      </c>
      <c r="N3245">
        <v>2</v>
      </c>
    </row>
    <row r="3246" hidden="1" spans="1:14">
      <c r="A3246">
        <v>1145</v>
      </c>
      <c r="B3246">
        <v>0</v>
      </c>
      <c r="C3246" t="s">
        <v>174</v>
      </c>
      <c r="D3246">
        <v>0</v>
      </c>
      <c r="E3246">
        <v>-72.3791</v>
      </c>
      <c r="F3246">
        <v>-13.7619</v>
      </c>
      <c r="G3246">
        <v>7522.33</v>
      </c>
      <c r="H3246" s="1">
        <v>35478</v>
      </c>
      <c r="I3246" s="1">
        <v>35478</v>
      </c>
      <c r="J3246" t="s">
        <v>15</v>
      </c>
      <c r="K3246">
        <v>41</v>
      </c>
      <c r="L3246">
        <v>600</v>
      </c>
      <c r="M3246" t="s">
        <v>16</v>
      </c>
      <c r="N3246">
        <v>1</v>
      </c>
    </row>
    <row r="3247" hidden="1" spans="1:14">
      <c r="A3247">
        <v>1299</v>
      </c>
      <c r="B3247">
        <v>0</v>
      </c>
      <c r="C3247" t="s">
        <v>174</v>
      </c>
      <c r="D3247" t="s">
        <v>322</v>
      </c>
      <c r="E3247">
        <v>-72.7401</v>
      </c>
      <c r="F3247">
        <v>-10.0704</v>
      </c>
      <c r="G3247">
        <v>1990345.45</v>
      </c>
      <c r="H3247" s="1">
        <v>35749</v>
      </c>
      <c r="I3247" s="1">
        <v>35838</v>
      </c>
      <c r="J3247" t="s">
        <v>15</v>
      </c>
      <c r="K3247">
        <v>200</v>
      </c>
      <c r="L3247">
        <v>100000</v>
      </c>
      <c r="M3247" t="s">
        <v>86</v>
      </c>
      <c r="N3247">
        <v>1</v>
      </c>
    </row>
    <row r="3248" hidden="1" spans="1:14">
      <c r="A3248">
        <v>1303</v>
      </c>
      <c r="B3248">
        <v>0</v>
      </c>
      <c r="C3248" t="s">
        <v>174</v>
      </c>
      <c r="D3248" t="s">
        <v>322</v>
      </c>
      <c r="E3248">
        <v>-75.7124</v>
      </c>
      <c r="F3248">
        <v>-6.77841</v>
      </c>
      <c r="G3248">
        <v>1339873.49</v>
      </c>
      <c r="H3248" s="1">
        <v>35836</v>
      </c>
      <c r="I3248" s="1">
        <v>35869</v>
      </c>
      <c r="J3248" t="s">
        <v>15</v>
      </c>
      <c r="K3248">
        <v>364</v>
      </c>
      <c r="L3248">
        <v>0</v>
      </c>
      <c r="M3248" t="s">
        <v>86</v>
      </c>
      <c r="N3248">
        <v>1</v>
      </c>
    </row>
    <row r="3249" hidden="1" spans="1:14">
      <c r="A3249">
        <v>1509</v>
      </c>
      <c r="B3249">
        <v>0</v>
      </c>
      <c r="C3249" t="s">
        <v>174</v>
      </c>
      <c r="D3249">
        <v>0</v>
      </c>
      <c r="E3249">
        <v>-69.9695</v>
      </c>
      <c r="F3249">
        <v>-3.40199</v>
      </c>
      <c r="G3249">
        <v>184577.68</v>
      </c>
      <c r="H3249" s="1">
        <v>36293</v>
      </c>
      <c r="I3249" s="1">
        <v>36304</v>
      </c>
      <c r="J3249" t="s">
        <v>15</v>
      </c>
      <c r="K3249">
        <v>4</v>
      </c>
      <c r="L3249">
        <v>250000</v>
      </c>
      <c r="M3249" t="s">
        <v>18</v>
      </c>
      <c r="N3249">
        <v>1</v>
      </c>
    </row>
    <row r="3250" hidden="1" spans="1:14">
      <c r="A3250">
        <v>1848</v>
      </c>
      <c r="B3250">
        <v>0</v>
      </c>
      <c r="C3250" t="s">
        <v>174</v>
      </c>
      <c r="D3250">
        <v>0</v>
      </c>
      <c r="E3250">
        <v>-73.8067</v>
      </c>
      <c r="F3250">
        <v>-3.16741</v>
      </c>
      <c r="G3250">
        <v>272804.86</v>
      </c>
      <c r="H3250" s="1">
        <v>37251</v>
      </c>
      <c r="I3250" s="1">
        <v>37254</v>
      </c>
      <c r="J3250" t="s">
        <v>15</v>
      </c>
      <c r="K3250">
        <v>6</v>
      </c>
      <c r="L3250">
        <v>20000</v>
      </c>
      <c r="M3250" t="s">
        <v>16</v>
      </c>
      <c r="N3250">
        <v>1</v>
      </c>
    </row>
    <row r="3251" hidden="1" spans="1:14">
      <c r="A3251">
        <v>1873</v>
      </c>
      <c r="B3251">
        <v>0</v>
      </c>
      <c r="C3251" t="s">
        <v>174</v>
      </c>
      <c r="D3251">
        <v>0</v>
      </c>
      <c r="E3251">
        <v>-73.808</v>
      </c>
      <c r="F3251">
        <v>-13.4554</v>
      </c>
      <c r="G3251">
        <v>333296.24</v>
      </c>
      <c r="H3251" s="1">
        <v>37291</v>
      </c>
      <c r="I3251" s="1">
        <v>37302</v>
      </c>
      <c r="J3251" t="s">
        <v>15</v>
      </c>
      <c r="K3251">
        <v>6</v>
      </c>
      <c r="L3251">
        <v>20000</v>
      </c>
      <c r="M3251" t="s">
        <v>16</v>
      </c>
      <c r="N3251">
        <v>1</v>
      </c>
    </row>
    <row r="3252" hidden="1" spans="1:14">
      <c r="A3252">
        <v>1898</v>
      </c>
      <c r="B3252">
        <v>0</v>
      </c>
      <c r="C3252" t="s">
        <v>174</v>
      </c>
      <c r="D3252">
        <v>0</v>
      </c>
      <c r="E3252">
        <v>-70.1647</v>
      </c>
      <c r="F3252">
        <v>-15.77</v>
      </c>
      <c r="G3252">
        <v>13766.51</v>
      </c>
      <c r="H3252" s="1">
        <v>37332</v>
      </c>
      <c r="I3252" s="1">
        <v>37346</v>
      </c>
      <c r="J3252" t="s">
        <v>15</v>
      </c>
      <c r="K3252">
        <v>13</v>
      </c>
      <c r="L3252">
        <v>500</v>
      </c>
      <c r="M3252" t="s">
        <v>16</v>
      </c>
      <c r="N3252">
        <v>1</v>
      </c>
    </row>
    <row r="3253" hidden="1" spans="1:14">
      <c r="A3253">
        <v>2084</v>
      </c>
      <c r="B3253">
        <v>0</v>
      </c>
      <c r="C3253" t="s">
        <v>174</v>
      </c>
      <c r="D3253">
        <v>0</v>
      </c>
      <c r="E3253">
        <v>-74.6846</v>
      </c>
      <c r="F3253">
        <v>-10.9711</v>
      </c>
      <c r="G3253">
        <v>6119.98</v>
      </c>
      <c r="H3253" s="1">
        <v>37569</v>
      </c>
      <c r="I3253" s="1">
        <v>37572</v>
      </c>
      <c r="J3253" t="s">
        <v>15</v>
      </c>
      <c r="K3253">
        <v>4</v>
      </c>
      <c r="L3253">
        <v>100</v>
      </c>
      <c r="M3253" t="s">
        <v>16</v>
      </c>
      <c r="N3253">
        <v>1</v>
      </c>
    </row>
    <row r="3254" hidden="1" spans="1:14">
      <c r="A3254">
        <v>2138</v>
      </c>
      <c r="B3254">
        <v>0</v>
      </c>
      <c r="C3254" t="s">
        <v>174</v>
      </c>
      <c r="D3254">
        <v>0</v>
      </c>
      <c r="E3254">
        <v>-70.4323</v>
      </c>
      <c r="F3254">
        <v>-13.3744</v>
      </c>
      <c r="G3254">
        <v>78942.02</v>
      </c>
      <c r="H3254" s="1">
        <v>37644</v>
      </c>
      <c r="I3254" s="1">
        <v>37662</v>
      </c>
      <c r="J3254" t="s">
        <v>15</v>
      </c>
      <c r="K3254">
        <v>7</v>
      </c>
      <c r="L3254">
        <v>12000</v>
      </c>
      <c r="M3254" t="s">
        <v>16</v>
      </c>
      <c r="N3254">
        <v>1</v>
      </c>
    </row>
    <row r="3255" hidden="1" spans="1:14">
      <c r="A3255">
        <v>2144</v>
      </c>
      <c r="B3255">
        <v>0</v>
      </c>
      <c r="C3255" t="s">
        <v>174</v>
      </c>
      <c r="D3255">
        <v>0</v>
      </c>
      <c r="E3255">
        <v>-72.102</v>
      </c>
      <c r="F3255">
        <v>-13.2385</v>
      </c>
      <c r="G3255">
        <v>36369.03</v>
      </c>
      <c r="H3255" s="1">
        <v>37649</v>
      </c>
      <c r="I3255" s="1">
        <v>37662</v>
      </c>
      <c r="J3255" t="s">
        <v>15</v>
      </c>
      <c r="K3255">
        <v>12</v>
      </c>
      <c r="L3255">
        <v>0</v>
      </c>
      <c r="M3255" t="s">
        <v>16</v>
      </c>
      <c r="N3255">
        <v>1</v>
      </c>
    </row>
    <row r="3256" hidden="1" spans="1:14">
      <c r="A3256">
        <v>2145</v>
      </c>
      <c r="B3256">
        <v>0</v>
      </c>
      <c r="C3256" t="s">
        <v>174</v>
      </c>
      <c r="D3256">
        <v>0</v>
      </c>
      <c r="E3256">
        <v>-69.31</v>
      </c>
      <c r="F3256">
        <v>-15.8735</v>
      </c>
      <c r="G3256">
        <v>65370.88</v>
      </c>
      <c r="H3256" s="1">
        <v>37649</v>
      </c>
      <c r="I3256" s="1">
        <v>37662</v>
      </c>
      <c r="J3256" t="s">
        <v>15</v>
      </c>
      <c r="K3256">
        <v>6</v>
      </c>
      <c r="L3256">
        <v>34000</v>
      </c>
      <c r="M3256" t="s">
        <v>16</v>
      </c>
      <c r="N3256">
        <v>1</v>
      </c>
    </row>
    <row r="3257" hidden="1" spans="1:14">
      <c r="A3257">
        <v>2414</v>
      </c>
      <c r="B3257">
        <v>0</v>
      </c>
      <c r="C3257" t="s">
        <v>174</v>
      </c>
      <c r="D3257">
        <v>0</v>
      </c>
      <c r="E3257">
        <v>-76.2224</v>
      </c>
      <c r="F3257">
        <v>-8.29307</v>
      </c>
      <c r="G3257">
        <v>73131.96</v>
      </c>
      <c r="H3257" s="1">
        <v>37994</v>
      </c>
      <c r="I3257" s="1">
        <v>37996</v>
      </c>
      <c r="J3257" t="s">
        <v>15</v>
      </c>
      <c r="K3257">
        <v>0</v>
      </c>
      <c r="L3257">
        <v>11000</v>
      </c>
      <c r="M3257" t="s">
        <v>16</v>
      </c>
      <c r="N3257">
        <v>1</v>
      </c>
    </row>
    <row r="3258" hidden="1" spans="1:14">
      <c r="A3258">
        <v>2468</v>
      </c>
      <c r="B3258">
        <v>0</v>
      </c>
      <c r="C3258" t="s">
        <v>174</v>
      </c>
      <c r="D3258">
        <v>0</v>
      </c>
      <c r="E3258">
        <v>-72.5289</v>
      </c>
      <c r="F3258">
        <v>-13.1078</v>
      </c>
      <c r="G3258">
        <v>271.875</v>
      </c>
      <c r="H3258" s="1">
        <v>38087</v>
      </c>
      <c r="I3258" s="1">
        <v>38088</v>
      </c>
      <c r="J3258" t="s">
        <v>15</v>
      </c>
      <c r="K3258">
        <v>1</v>
      </c>
      <c r="L3258">
        <v>50</v>
      </c>
      <c r="M3258" t="s">
        <v>16</v>
      </c>
      <c r="N3258">
        <v>1</v>
      </c>
    </row>
    <row r="3259" hidden="1" spans="1:14">
      <c r="A3259">
        <v>3007</v>
      </c>
      <c r="B3259">
        <v>0</v>
      </c>
      <c r="C3259" t="s">
        <v>174</v>
      </c>
      <c r="D3259">
        <v>0</v>
      </c>
      <c r="E3259">
        <v>-75.9903</v>
      </c>
      <c r="F3259">
        <v>-9.18487</v>
      </c>
      <c r="G3259">
        <v>134599.05</v>
      </c>
      <c r="H3259" s="1">
        <v>39077</v>
      </c>
      <c r="I3259" s="1">
        <v>39115</v>
      </c>
      <c r="J3259" t="s">
        <v>15</v>
      </c>
      <c r="K3259">
        <v>6</v>
      </c>
      <c r="L3259">
        <v>46000</v>
      </c>
      <c r="M3259" t="s">
        <v>16</v>
      </c>
      <c r="N3259">
        <v>1</v>
      </c>
    </row>
    <row r="3260" hidden="1" spans="1:14">
      <c r="A3260">
        <v>3024</v>
      </c>
      <c r="B3260">
        <v>0</v>
      </c>
      <c r="C3260" t="s">
        <v>174</v>
      </c>
      <c r="D3260">
        <v>0</v>
      </c>
      <c r="E3260">
        <v>-74.4608</v>
      </c>
      <c r="F3260">
        <v>-11.4745</v>
      </c>
      <c r="G3260">
        <v>124921.44</v>
      </c>
      <c r="H3260" s="1">
        <v>39103</v>
      </c>
      <c r="I3260" s="1">
        <v>39123</v>
      </c>
      <c r="J3260" t="s">
        <v>15</v>
      </c>
      <c r="K3260">
        <v>38</v>
      </c>
      <c r="L3260">
        <v>5000</v>
      </c>
      <c r="M3260" t="s">
        <v>16</v>
      </c>
      <c r="N3260">
        <v>1</v>
      </c>
    </row>
    <row r="3261" hidden="1" spans="1:14">
      <c r="A3261">
        <v>3267</v>
      </c>
      <c r="B3261" t="s">
        <v>806</v>
      </c>
      <c r="C3261" t="s">
        <v>174</v>
      </c>
      <c r="D3261">
        <v>0</v>
      </c>
      <c r="E3261">
        <v>-73.0124</v>
      </c>
      <c r="F3261">
        <v>-10.1112</v>
      </c>
      <c r="G3261">
        <v>709143.74</v>
      </c>
      <c r="H3261" s="1">
        <v>39482</v>
      </c>
      <c r="I3261" s="1">
        <v>39575</v>
      </c>
      <c r="J3261" t="s">
        <v>15</v>
      </c>
      <c r="K3261">
        <v>26</v>
      </c>
      <c r="L3261">
        <v>45000</v>
      </c>
      <c r="M3261" t="s">
        <v>16</v>
      </c>
      <c r="N3261">
        <v>1</v>
      </c>
    </row>
    <row r="3262" hidden="1" spans="1:14">
      <c r="A3262">
        <v>3453</v>
      </c>
      <c r="B3262">
        <v>0</v>
      </c>
      <c r="C3262" t="s">
        <v>174</v>
      </c>
      <c r="D3262">
        <v>0</v>
      </c>
      <c r="E3262">
        <v>-74.4359</v>
      </c>
      <c r="F3262">
        <v>-13.5756</v>
      </c>
      <c r="G3262">
        <v>85604.33</v>
      </c>
      <c r="H3262" s="1">
        <v>39859</v>
      </c>
      <c r="I3262" s="1">
        <v>39861</v>
      </c>
      <c r="J3262" t="s">
        <v>15</v>
      </c>
      <c r="K3262">
        <v>6</v>
      </c>
      <c r="L3262">
        <v>10000</v>
      </c>
      <c r="M3262" t="s">
        <v>49</v>
      </c>
      <c r="N3262">
        <v>1</v>
      </c>
    </row>
    <row r="3263" hidden="1" spans="1:14">
      <c r="A3263">
        <v>3583</v>
      </c>
      <c r="B3263" t="s">
        <v>807</v>
      </c>
      <c r="C3263" t="s">
        <v>174</v>
      </c>
      <c r="D3263">
        <v>0</v>
      </c>
      <c r="E3263">
        <v>-75.0108</v>
      </c>
      <c r="F3263">
        <v>-11.826</v>
      </c>
      <c r="G3263">
        <v>172579</v>
      </c>
      <c r="H3263" s="1">
        <v>40167</v>
      </c>
      <c r="I3263" s="1">
        <v>40168</v>
      </c>
      <c r="J3263">
        <v>0</v>
      </c>
      <c r="K3263">
        <v>0</v>
      </c>
      <c r="L3263">
        <v>0</v>
      </c>
      <c r="M3263" t="s">
        <v>49</v>
      </c>
      <c r="N3263">
        <v>1</v>
      </c>
    </row>
    <row r="3264" hidden="1" spans="1:14">
      <c r="A3264">
        <v>3597</v>
      </c>
      <c r="B3264">
        <v>0</v>
      </c>
      <c r="C3264" t="s">
        <v>174</v>
      </c>
      <c r="D3264">
        <v>0</v>
      </c>
      <c r="E3264">
        <v>-72.9391</v>
      </c>
      <c r="F3264">
        <v>-12.9894</v>
      </c>
      <c r="G3264">
        <v>135281.63</v>
      </c>
      <c r="H3264" s="1">
        <v>40203</v>
      </c>
      <c r="I3264" s="1">
        <v>40208</v>
      </c>
      <c r="J3264">
        <v>0</v>
      </c>
      <c r="K3264">
        <v>20</v>
      </c>
      <c r="L3264">
        <v>0</v>
      </c>
      <c r="M3264" t="s">
        <v>52</v>
      </c>
      <c r="N3264">
        <v>2</v>
      </c>
    </row>
    <row r="3265" hidden="1" spans="1:14">
      <c r="A3265">
        <v>3609</v>
      </c>
      <c r="B3265" t="s">
        <v>808</v>
      </c>
      <c r="C3265" t="s">
        <v>174</v>
      </c>
      <c r="E3265">
        <v>-78.2867</v>
      </c>
      <c r="F3265">
        <v>-4.68221</v>
      </c>
      <c r="G3265">
        <v>305772</v>
      </c>
      <c r="H3265" s="1">
        <v>40219</v>
      </c>
      <c r="I3265" s="1">
        <v>40226</v>
      </c>
      <c r="J3265">
        <v>0</v>
      </c>
      <c r="K3265">
        <v>0</v>
      </c>
      <c r="L3265">
        <v>80000</v>
      </c>
      <c r="M3265" t="s">
        <v>52</v>
      </c>
      <c r="N3265">
        <v>1</v>
      </c>
    </row>
    <row r="3266" hidden="1" spans="1:14">
      <c r="A3266">
        <v>3619</v>
      </c>
      <c r="B3266">
        <v>0</v>
      </c>
      <c r="C3266" t="s">
        <v>174</v>
      </c>
      <c r="D3266">
        <v>0</v>
      </c>
      <c r="E3266">
        <v>-73.3575</v>
      </c>
      <c r="F3266">
        <v>-11.8464</v>
      </c>
      <c r="G3266">
        <v>57889.66</v>
      </c>
      <c r="H3266" s="1">
        <v>40239</v>
      </c>
      <c r="I3266" s="1">
        <v>40241</v>
      </c>
      <c r="J3266">
        <v>0</v>
      </c>
      <c r="K3266">
        <v>7</v>
      </c>
      <c r="L3266">
        <v>20</v>
      </c>
      <c r="M3266" t="s">
        <v>49</v>
      </c>
      <c r="N3266">
        <v>1</v>
      </c>
    </row>
    <row r="3267" hidden="1" spans="1:14">
      <c r="A3267">
        <v>3781</v>
      </c>
      <c r="C3267" t="s">
        <v>174</v>
      </c>
      <c r="E3267">
        <v>-71.7581</v>
      </c>
      <c r="F3267">
        <v>-14.5325</v>
      </c>
      <c r="G3267">
        <v>135202.5</v>
      </c>
      <c r="H3267" s="1">
        <v>40584</v>
      </c>
      <c r="I3267" s="1">
        <v>40600</v>
      </c>
      <c r="J3267" t="s">
        <v>15</v>
      </c>
      <c r="K3267">
        <v>0</v>
      </c>
      <c r="L3267">
        <v>300</v>
      </c>
      <c r="M3267" t="s">
        <v>52</v>
      </c>
      <c r="N3267">
        <v>1</v>
      </c>
    </row>
    <row r="3268" hidden="1" spans="1:14">
      <c r="A3268">
        <v>4017</v>
      </c>
      <c r="C3268" t="s">
        <v>174</v>
      </c>
      <c r="E3268">
        <v>-76.4573</v>
      </c>
      <c r="F3268">
        <v>-9.28298</v>
      </c>
      <c r="G3268">
        <v>318648.95</v>
      </c>
      <c r="H3268" s="1">
        <v>41278</v>
      </c>
      <c r="I3268" s="1">
        <v>41284</v>
      </c>
      <c r="J3268" t="s">
        <v>15</v>
      </c>
      <c r="K3268">
        <v>0</v>
      </c>
      <c r="L3268">
        <v>2000</v>
      </c>
      <c r="M3268" t="s">
        <v>52</v>
      </c>
      <c r="N3268">
        <v>1.5</v>
      </c>
    </row>
    <row r="3269" hidden="1" spans="1:14">
      <c r="A3269">
        <v>4027</v>
      </c>
      <c r="C3269" t="s">
        <v>174</v>
      </c>
      <c r="D3269" t="s">
        <v>167</v>
      </c>
      <c r="E3269">
        <v>-69.094</v>
      </c>
      <c r="F3269">
        <v>-20.3461</v>
      </c>
      <c r="G3269">
        <v>577782.56</v>
      </c>
      <c r="H3269" s="1">
        <v>41313</v>
      </c>
      <c r="I3269" s="1">
        <v>41317</v>
      </c>
      <c r="J3269" t="s">
        <v>15</v>
      </c>
      <c r="K3269">
        <v>31</v>
      </c>
      <c r="L3269">
        <v>2400</v>
      </c>
      <c r="M3269" t="s">
        <v>49</v>
      </c>
      <c r="N3269">
        <v>2</v>
      </c>
    </row>
    <row r="3270" hidden="1" spans="1:14">
      <c r="A3270">
        <v>4041</v>
      </c>
      <c r="C3270" t="s">
        <v>174</v>
      </c>
      <c r="D3270" t="s">
        <v>167</v>
      </c>
      <c r="E3270">
        <v>-70.9926</v>
      </c>
      <c r="F3270">
        <v>-16.5124</v>
      </c>
      <c r="G3270">
        <v>740437.68</v>
      </c>
      <c r="H3270" s="1">
        <v>41343</v>
      </c>
      <c r="I3270" s="1">
        <v>41350</v>
      </c>
      <c r="J3270" t="s">
        <v>15</v>
      </c>
      <c r="K3270">
        <v>0</v>
      </c>
      <c r="L3270">
        <v>3000</v>
      </c>
      <c r="M3270" t="s">
        <v>49</v>
      </c>
      <c r="N3270">
        <v>1.5</v>
      </c>
    </row>
    <row r="3271" hidden="1" spans="1:14">
      <c r="A3271">
        <v>4097</v>
      </c>
      <c r="C3271" t="s">
        <v>174</v>
      </c>
      <c r="E3271">
        <v>-76.1873</v>
      </c>
      <c r="F3271">
        <v>-8.5735</v>
      </c>
      <c r="G3271">
        <v>253520.53</v>
      </c>
      <c r="H3271" s="1">
        <v>41558</v>
      </c>
      <c r="I3271" s="1">
        <v>41561</v>
      </c>
      <c r="J3271" t="s">
        <v>15</v>
      </c>
      <c r="K3271">
        <v>0</v>
      </c>
      <c r="L3271">
        <v>1100</v>
      </c>
      <c r="M3271" t="s">
        <v>49</v>
      </c>
      <c r="N3271">
        <v>1.5</v>
      </c>
    </row>
    <row r="3272" hidden="1" spans="1:14">
      <c r="A3272">
        <v>4116</v>
      </c>
      <c r="C3272" t="s">
        <v>174</v>
      </c>
      <c r="E3272">
        <v>-71.5232</v>
      </c>
      <c r="F3272">
        <v>-12.4186</v>
      </c>
      <c r="G3272">
        <v>74144.66</v>
      </c>
      <c r="H3272" s="1">
        <v>41640</v>
      </c>
      <c r="I3272" s="1">
        <v>41643</v>
      </c>
      <c r="J3272" t="s">
        <v>15</v>
      </c>
      <c r="K3272">
        <v>0</v>
      </c>
      <c r="L3272">
        <v>300</v>
      </c>
      <c r="M3272" t="s">
        <v>49</v>
      </c>
      <c r="N3272">
        <v>1</v>
      </c>
    </row>
    <row r="3273" hidden="1" spans="1:14">
      <c r="A3273">
        <v>4441</v>
      </c>
      <c r="C3273" t="s">
        <v>174</v>
      </c>
      <c r="E3273">
        <v>-77.573</v>
      </c>
      <c r="F3273">
        <v>-5.25083</v>
      </c>
      <c r="G3273">
        <v>288499.13</v>
      </c>
      <c r="H3273" s="1">
        <v>42767</v>
      </c>
      <c r="I3273" s="1">
        <v>42773</v>
      </c>
      <c r="J3273" t="s">
        <v>15</v>
      </c>
      <c r="K3273">
        <v>1</v>
      </c>
      <c r="L3273">
        <v>12000</v>
      </c>
      <c r="M3273" t="s">
        <v>49</v>
      </c>
      <c r="N3273">
        <v>1</v>
      </c>
    </row>
    <row r="3274" hidden="1" spans="1:14">
      <c r="A3274">
        <v>4450</v>
      </c>
      <c r="B3274" t="s">
        <v>809</v>
      </c>
      <c r="C3274" t="s">
        <v>174</v>
      </c>
      <c r="E3274">
        <v>-75.1481</v>
      </c>
      <c r="F3274">
        <v>-11.0042</v>
      </c>
      <c r="G3274">
        <v>810942.34</v>
      </c>
      <c r="H3274" s="1">
        <v>42767</v>
      </c>
      <c r="I3274" s="1">
        <v>42816</v>
      </c>
      <c r="J3274" t="s">
        <v>15</v>
      </c>
      <c r="K3274">
        <v>78</v>
      </c>
      <c r="L3274">
        <v>70000</v>
      </c>
      <c r="M3274" t="s">
        <v>49</v>
      </c>
      <c r="N3274">
        <v>2</v>
      </c>
    </row>
    <row r="3275" hidden="1" spans="1:14">
      <c r="A3275">
        <v>4735</v>
      </c>
      <c r="C3275" t="s">
        <v>174</v>
      </c>
      <c r="E3275">
        <v>-75.1489</v>
      </c>
      <c r="F3275">
        <v>-6.29384</v>
      </c>
      <c r="G3275">
        <v>659470.61</v>
      </c>
      <c r="H3275" s="1">
        <v>43553</v>
      </c>
      <c r="I3275" s="1">
        <v>43557</v>
      </c>
      <c r="J3275" t="s">
        <v>56</v>
      </c>
      <c r="K3275">
        <v>0</v>
      </c>
      <c r="L3275">
        <v>150</v>
      </c>
      <c r="M3275" t="s">
        <v>49</v>
      </c>
      <c r="N3275">
        <v>1</v>
      </c>
    </row>
    <row r="3276" hidden="1" spans="1:14">
      <c r="A3276">
        <v>4839</v>
      </c>
      <c r="C3276" t="s">
        <v>174</v>
      </c>
      <c r="E3276">
        <v>-75.0739</v>
      </c>
      <c r="F3276">
        <v>-9.82611</v>
      </c>
      <c r="G3276">
        <v>206909.78</v>
      </c>
      <c r="H3276" s="1">
        <v>43831</v>
      </c>
      <c r="I3276" s="1">
        <v>43838</v>
      </c>
      <c r="J3276" t="s">
        <v>56</v>
      </c>
      <c r="K3276">
        <v>0</v>
      </c>
      <c r="L3276">
        <v>150</v>
      </c>
      <c r="M3276" t="s">
        <v>49</v>
      </c>
      <c r="N3276">
        <v>1.5</v>
      </c>
    </row>
    <row r="3277" hidden="1" spans="1:14">
      <c r="A3277">
        <v>4853</v>
      </c>
      <c r="C3277" t="s">
        <v>174</v>
      </c>
      <c r="E3277">
        <v>-76.9791</v>
      </c>
      <c r="F3277">
        <v>-5.92065</v>
      </c>
      <c r="G3277">
        <v>322182.75</v>
      </c>
      <c r="H3277" s="1">
        <v>43814</v>
      </c>
      <c r="I3277" s="1">
        <v>43830</v>
      </c>
      <c r="J3277" t="s">
        <v>56</v>
      </c>
      <c r="K3277">
        <v>0</v>
      </c>
      <c r="L3277">
        <v>100</v>
      </c>
      <c r="M3277" t="s">
        <v>49</v>
      </c>
      <c r="N3277">
        <v>1</v>
      </c>
    </row>
    <row r="3278" hidden="1" spans="1:14">
      <c r="A3278">
        <v>4856</v>
      </c>
      <c r="C3278" t="s">
        <v>174</v>
      </c>
      <c r="E3278">
        <v>-75.643</v>
      </c>
      <c r="F3278">
        <v>-9.73816</v>
      </c>
      <c r="G3278">
        <v>261687.68</v>
      </c>
      <c r="H3278" s="1">
        <v>43805</v>
      </c>
      <c r="I3278" s="1">
        <v>43813</v>
      </c>
      <c r="J3278" t="s">
        <v>56</v>
      </c>
      <c r="K3278">
        <v>0</v>
      </c>
      <c r="L3278">
        <v>500</v>
      </c>
      <c r="M3278" t="s">
        <v>49</v>
      </c>
      <c r="N3278">
        <v>1</v>
      </c>
    </row>
    <row r="3279" hidden="1" spans="1:14">
      <c r="A3279">
        <v>4869</v>
      </c>
      <c r="C3279" t="s">
        <v>174</v>
      </c>
      <c r="E3279">
        <v>-71.2386</v>
      </c>
      <c r="F3279">
        <v>-14.5764</v>
      </c>
      <c r="G3279">
        <v>146371.91</v>
      </c>
      <c r="H3279" s="1">
        <v>43870</v>
      </c>
      <c r="I3279" s="1">
        <v>43879</v>
      </c>
      <c r="J3279" t="s">
        <v>56</v>
      </c>
      <c r="K3279">
        <v>2</v>
      </c>
      <c r="L3279">
        <v>1600</v>
      </c>
      <c r="M3279" t="s">
        <v>49</v>
      </c>
      <c r="N3279">
        <v>1.5</v>
      </c>
    </row>
    <row r="3280" hidden="1" spans="1:14">
      <c r="A3280">
        <v>4898</v>
      </c>
      <c r="C3280" t="s">
        <v>174</v>
      </c>
      <c r="E3280">
        <v>-76.8801</v>
      </c>
      <c r="F3280">
        <v>-7.01073</v>
      </c>
      <c r="G3280">
        <v>152175.01</v>
      </c>
      <c r="H3280" s="1">
        <v>43918</v>
      </c>
      <c r="I3280" s="1">
        <v>43923</v>
      </c>
      <c r="J3280" t="s">
        <v>56</v>
      </c>
      <c r="K3280">
        <v>0</v>
      </c>
      <c r="L3280">
        <v>120</v>
      </c>
      <c r="M3280" t="s">
        <v>49</v>
      </c>
      <c r="N3280">
        <v>1.5</v>
      </c>
    </row>
    <row r="3281" hidden="1" spans="1:14">
      <c r="A3281">
        <v>5042</v>
      </c>
      <c r="C3281" t="s">
        <v>174</v>
      </c>
      <c r="E3281">
        <v>-79.7133</v>
      </c>
      <c r="F3281">
        <v>-5.5655</v>
      </c>
      <c r="G3281">
        <v>55124.61</v>
      </c>
      <c r="H3281" s="1">
        <v>44257</v>
      </c>
      <c r="I3281" s="1">
        <v>44260</v>
      </c>
      <c r="J3281" t="s">
        <v>56</v>
      </c>
      <c r="K3281">
        <v>0</v>
      </c>
      <c r="L3281">
        <v>100</v>
      </c>
      <c r="M3281" t="s">
        <v>52</v>
      </c>
      <c r="N3281">
        <v>1.5</v>
      </c>
    </row>
    <row r="3282" hidden="1" spans="1:14">
      <c r="A3282">
        <v>5043</v>
      </c>
      <c r="C3282" t="s">
        <v>174</v>
      </c>
      <c r="E3282">
        <v>-70.7561</v>
      </c>
      <c r="F3282">
        <v>-12.066</v>
      </c>
      <c r="G3282">
        <v>99072.96</v>
      </c>
      <c r="H3282" s="1">
        <v>44250</v>
      </c>
      <c r="I3282" s="1">
        <v>44256</v>
      </c>
      <c r="J3282" t="s">
        <v>56</v>
      </c>
      <c r="K3282">
        <v>0</v>
      </c>
      <c r="L3282">
        <v>4000</v>
      </c>
      <c r="M3282" t="s">
        <v>49</v>
      </c>
      <c r="N3282">
        <v>1.5</v>
      </c>
    </row>
    <row r="3283" hidden="1" spans="1:14">
      <c r="A3283">
        <v>5054</v>
      </c>
      <c r="C3283" t="s">
        <v>174</v>
      </c>
      <c r="E3283">
        <v>-74.4553</v>
      </c>
      <c r="F3283">
        <v>-3.02046</v>
      </c>
      <c r="G3283">
        <v>252707.23</v>
      </c>
      <c r="H3283" s="1">
        <v>44287</v>
      </c>
      <c r="I3283" s="1">
        <v>44301</v>
      </c>
      <c r="J3283" t="s">
        <v>56</v>
      </c>
      <c r="K3283">
        <v>0</v>
      </c>
      <c r="L3283">
        <v>0</v>
      </c>
      <c r="M3283" t="s">
        <v>49</v>
      </c>
      <c r="N3283">
        <v>1</v>
      </c>
    </row>
    <row r="3284" hidden="1" spans="1:14">
      <c r="A3284">
        <v>125</v>
      </c>
      <c r="B3284">
        <v>0</v>
      </c>
      <c r="C3284" t="s">
        <v>810</v>
      </c>
      <c r="D3284">
        <v>0</v>
      </c>
      <c r="E3284">
        <v>-76.7345</v>
      </c>
      <c r="F3284">
        <v>-11.8797</v>
      </c>
      <c r="G3284">
        <v>4672.27</v>
      </c>
      <c r="H3284" s="1">
        <v>31845</v>
      </c>
      <c r="I3284" s="1">
        <v>31847</v>
      </c>
      <c r="J3284" t="s">
        <v>15</v>
      </c>
      <c r="K3284">
        <v>12</v>
      </c>
      <c r="L3284">
        <v>1000</v>
      </c>
      <c r="M3284" t="s">
        <v>25</v>
      </c>
      <c r="N3284">
        <v>1</v>
      </c>
    </row>
    <row r="3285" hidden="1" spans="1:14">
      <c r="A3285">
        <v>768</v>
      </c>
      <c r="B3285">
        <v>0</v>
      </c>
      <c r="C3285" t="s">
        <v>810</v>
      </c>
      <c r="D3285">
        <v>0</v>
      </c>
      <c r="E3285">
        <v>-73.5893</v>
      </c>
      <c r="F3285">
        <v>-4.86699</v>
      </c>
      <c r="G3285">
        <v>134855.86</v>
      </c>
      <c r="H3285" s="1">
        <v>34211</v>
      </c>
      <c r="I3285" s="1">
        <v>34211</v>
      </c>
      <c r="J3285" t="s">
        <v>15</v>
      </c>
      <c r="K3285">
        <v>0</v>
      </c>
      <c r="L3285">
        <v>300000</v>
      </c>
      <c r="M3285" t="s">
        <v>16</v>
      </c>
      <c r="N3285">
        <v>1</v>
      </c>
    </row>
    <row r="3286" hidden="1" spans="1:14">
      <c r="A3286">
        <v>807</v>
      </c>
      <c r="B3286">
        <v>0</v>
      </c>
      <c r="C3286" t="s">
        <v>810</v>
      </c>
      <c r="D3286">
        <v>0</v>
      </c>
      <c r="E3286">
        <v>-74.5879</v>
      </c>
      <c r="F3286">
        <v>-10.0433</v>
      </c>
      <c r="G3286">
        <v>162327.61</v>
      </c>
      <c r="H3286" s="1">
        <v>34311</v>
      </c>
      <c r="I3286" s="1">
        <v>34318</v>
      </c>
      <c r="J3286" t="s">
        <v>15</v>
      </c>
      <c r="K3286">
        <v>0</v>
      </c>
      <c r="L3286">
        <v>5000</v>
      </c>
      <c r="M3286" t="s">
        <v>16</v>
      </c>
      <c r="N3286">
        <v>1</v>
      </c>
    </row>
    <row r="3287" hidden="1" spans="1:14">
      <c r="A3287">
        <v>1708</v>
      </c>
      <c r="B3287">
        <v>0</v>
      </c>
      <c r="C3287" t="s">
        <v>810</v>
      </c>
      <c r="D3287">
        <v>0</v>
      </c>
      <c r="E3287">
        <v>-69.7653</v>
      </c>
      <c r="F3287">
        <v>-16.0622</v>
      </c>
      <c r="G3287">
        <v>17426.57</v>
      </c>
      <c r="H3287" s="1">
        <v>36951</v>
      </c>
      <c r="I3287" s="1">
        <v>36971</v>
      </c>
      <c r="J3287" t="s">
        <v>15</v>
      </c>
      <c r="K3287">
        <v>0</v>
      </c>
      <c r="L3287">
        <v>10800</v>
      </c>
      <c r="M3287" t="s">
        <v>16</v>
      </c>
      <c r="N3287">
        <v>1</v>
      </c>
    </row>
    <row r="3288" hidden="1" spans="1:14">
      <c r="A3288">
        <v>1713</v>
      </c>
      <c r="B3288">
        <v>0</v>
      </c>
      <c r="C3288" t="s">
        <v>810</v>
      </c>
      <c r="D3288">
        <v>0</v>
      </c>
      <c r="E3288">
        <v>-73.9043</v>
      </c>
      <c r="F3288">
        <v>-11.8868</v>
      </c>
      <c r="G3288">
        <v>14812.43</v>
      </c>
      <c r="H3288" s="1">
        <v>37006</v>
      </c>
      <c r="I3288" s="1">
        <v>37007</v>
      </c>
      <c r="J3288" t="s">
        <v>15</v>
      </c>
      <c r="K3288">
        <v>9</v>
      </c>
      <c r="L3288">
        <v>300</v>
      </c>
      <c r="M3288" t="s">
        <v>18</v>
      </c>
      <c r="N3288">
        <v>1</v>
      </c>
    </row>
    <row r="3289" hidden="1" spans="1:14">
      <c r="A3289">
        <v>1173</v>
      </c>
      <c r="B3289">
        <v>0</v>
      </c>
      <c r="C3289" t="s">
        <v>811</v>
      </c>
      <c r="D3289">
        <v>0</v>
      </c>
      <c r="E3289">
        <v>120.631</v>
      </c>
      <c r="F3289">
        <v>15.2748</v>
      </c>
      <c r="G3289">
        <v>19168.93</v>
      </c>
      <c r="H3289" s="1">
        <v>35657</v>
      </c>
      <c r="I3289" s="1">
        <v>35665</v>
      </c>
      <c r="J3289" t="s">
        <v>15</v>
      </c>
      <c r="K3289">
        <v>21</v>
      </c>
      <c r="L3289">
        <v>265000</v>
      </c>
      <c r="M3289" t="s">
        <v>86</v>
      </c>
      <c r="N3289">
        <v>1</v>
      </c>
    </row>
    <row r="3290" hidden="1" spans="1:14">
      <c r="A3290">
        <v>596</v>
      </c>
      <c r="B3290">
        <v>0</v>
      </c>
      <c r="C3290" t="s">
        <v>812</v>
      </c>
      <c r="D3290">
        <v>0</v>
      </c>
      <c r="E3290">
        <v>121.394</v>
      </c>
      <c r="F3290">
        <v>17.2236</v>
      </c>
      <c r="G3290">
        <v>54778.89</v>
      </c>
      <c r="H3290" s="1">
        <v>33539</v>
      </c>
      <c r="I3290" s="1">
        <v>33540</v>
      </c>
      <c r="J3290" t="s">
        <v>15</v>
      </c>
      <c r="K3290">
        <v>43</v>
      </c>
      <c r="L3290">
        <v>165000</v>
      </c>
      <c r="M3290" t="s">
        <v>86</v>
      </c>
      <c r="N3290">
        <v>1</v>
      </c>
    </row>
    <row r="3291" hidden="1" spans="1:14">
      <c r="A3291">
        <v>26</v>
      </c>
      <c r="B3291">
        <v>0</v>
      </c>
      <c r="C3291" t="s">
        <v>813</v>
      </c>
      <c r="D3291">
        <v>0</v>
      </c>
      <c r="E3291">
        <v>120.916</v>
      </c>
      <c r="F3291">
        <v>14.7417</v>
      </c>
      <c r="G3291">
        <v>7768.19</v>
      </c>
      <c r="H3291" s="1">
        <v>31220</v>
      </c>
      <c r="I3291" s="1">
        <v>31228</v>
      </c>
      <c r="J3291" t="s">
        <v>15</v>
      </c>
      <c r="K3291">
        <v>98</v>
      </c>
      <c r="L3291">
        <v>130000</v>
      </c>
      <c r="M3291" t="s">
        <v>86</v>
      </c>
      <c r="N3291">
        <v>1</v>
      </c>
    </row>
    <row r="3292" hidden="1" spans="1:14">
      <c r="A3292">
        <v>89</v>
      </c>
      <c r="B3292">
        <v>0</v>
      </c>
      <c r="C3292" t="s">
        <v>813</v>
      </c>
      <c r="E3292">
        <v>120.905</v>
      </c>
      <c r="F3292">
        <v>15.6456</v>
      </c>
      <c r="G3292">
        <v>46621.61</v>
      </c>
      <c r="H3292" s="1">
        <v>31602</v>
      </c>
      <c r="I3292" s="1">
        <v>31606</v>
      </c>
      <c r="J3292" t="s">
        <v>15</v>
      </c>
      <c r="K3292">
        <v>103</v>
      </c>
      <c r="L3292">
        <v>530000</v>
      </c>
      <c r="M3292" t="s">
        <v>86</v>
      </c>
      <c r="N3292">
        <v>1</v>
      </c>
    </row>
    <row r="3293" hidden="1" spans="1:14">
      <c r="A3293">
        <v>109</v>
      </c>
      <c r="B3293">
        <v>0</v>
      </c>
      <c r="C3293" t="s">
        <v>813</v>
      </c>
      <c r="D3293">
        <v>0</v>
      </c>
      <c r="E3293">
        <v>120.882</v>
      </c>
      <c r="F3293">
        <v>14.6553</v>
      </c>
      <c r="G3293">
        <v>24915.98</v>
      </c>
      <c r="H3293" s="1">
        <v>31691</v>
      </c>
      <c r="I3293" s="1">
        <v>31692</v>
      </c>
      <c r="J3293" t="s">
        <v>15</v>
      </c>
      <c r="K3293">
        <v>18</v>
      </c>
      <c r="L3293">
        <v>60000</v>
      </c>
      <c r="M3293" t="s">
        <v>16</v>
      </c>
      <c r="N3293">
        <v>1</v>
      </c>
    </row>
    <row r="3294" hidden="1" spans="1:14">
      <c r="A3294">
        <v>184</v>
      </c>
      <c r="B3294">
        <v>0</v>
      </c>
      <c r="C3294" t="s">
        <v>813</v>
      </c>
      <c r="D3294">
        <v>0</v>
      </c>
      <c r="E3294">
        <v>121.197</v>
      </c>
      <c r="F3294">
        <v>14.6581</v>
      </c>
      <c r="G3294">
        <v>3302.96</v>
      </c>
      <c r="H3294" s="1">
        <v>32295</v>
      </c>
      <c r="I3294" s="1">
        <v>32300</v>
      </c>
      <c r="J3294" t="s">
        <v>15</v>
      </c>
      <c r="K3294">
        <v>35</v>
      </c>
      <c r="L3294">
        <v>5000</v>
      </c>
      <c r="M3294" t="s">
        <v>86</v>
      </c>
      <c r="N3294">
        <v>1</v>
      </c>
    </row>
    <row r="3295" hidden="1" spans="1:14">
      <c r="A3295">
        <v>262</v>
      </c>
      <c r="B3295">
        <v>0</v>
      </c>
      <c r="C3295" t="s">
        <v>813</v>
      </c>
      <c r="D3295">
        <v>0</v>
      </c>
      <c r="E3295">
        <v>125.763</v>
      </c>
      <c r="F3295">
        <v>8.56968</v>
      </c>
      <c r="G3295">
        <v>5343.55</v>
      </c>
      <c r="H3295" s="1">
        <v>32438</v>
      </c>
      <c r="I3295" s="1">
        <v>32442</v>
      </c>
      <c r="J3295" t="s">
        <v>15</v>
      </c>
      <c r="K3295">
        <v>181</v>
      </c>
      <c r="L3295">
        <v>60000</v>
      </c>
      <c r="M3295" t="s">
        <v>86</v>
      </c>
      <c r="N3295">
        <v>1</v>
      </c>
    </row>
    <row r="3296" hidden="1" spans="1:14">
      <c r="A3296">
        <v>266</v>
      </c>
      <c r="B3296">
        <v>0</v>
      </c>
      <c r="C3296" t="s">
        <v>813</v>
      </c>
      <c r="D3296">
        <v>0</v>
      </c>
      <c r="E3296">
        <v>123.271</v>
      </c>
      <c r="F3296">
        <v>13.6637</v>
      </c>
      <c r="G3296">
        <v>10609.96</v>
      </c>
      <c r="H3296" s="1">
        <v>32451</v>
      </c>
      <c r="I3296" s="1">
        <v>32455</v>
      </c>
      <c r="J3296" t="s">
        <v>15</v>
      </c>
      <c r="K3296">
        <v>255</v>
      </c>
      <c r="L3296">
        <v>1000000</v>
      </c>
      <c r="M3296" t="s">
        <v>86</v>
      </c>
      <c r="N3296">
        <v>1</v>
      </c>
    </row>
    <row r="3297" hidden="1" spans="1:14">
      <c r="A3297">
        <v>352</v>
      </c>
      <c r="B3297">
        <v>0</v>
      </c>
      <c r="C3297" t="s">
        <v>813</v>
      </c>
      <c r="D3297">
        <v>0</v>
      </c>
      <c r="E3297">
        <v>125.207</v>
      </c>
      <c r="F3297">
        <v>11.8096</v>
      </c>
      <c r="G3297">
        <v>20682.86</v>
      </c>
      <c r="H3297" s="1">
        <v>32729</v>
      </c>
      <c r="I3297" s="1">
        <v>32734</v>
      </c>
      <c r="J3297" t="s">
        <v>15</v>
      </c>
      <c r="K3297">
        <v>112</v>
      </c>
      <c r="L3297">
        <v>0</v>
      </c>
      <c r="M3297" t="s">
        <v>16</v>
      </c>
      <c r="N3297">
        <v>1</v>
      </c>
    </row>
    <row r="3298" hidden="1" spans="1:14">
      <c r="A3298">
        <v>370</v>
      </c>
      <c r="B3298">
        <v>0</v>
      </c>
      <c r="C3298" t="s">
        <v>813</v>
      </c>
      <c r="D3298">
        <v>0</v>
      </c>
      <c r="E3298">
        <v>121.057</v>
      </c>
      <c r="F3298">
        <v>14.6484</v>
      </c>
      <c r="G3298">
        <v>1321.63</v>
      </c>
      <c r="H3298" s="1">
        <v>32774</v>
      </c>
      <c r="I3298" s="1">
        <v>32776</v>
      </c>
      <c r="J3298" t="s">
        <v>15</v>
      </c>
      <c r="K3298">
        <v>2</v>
      </c>
      <c r="L3298">
        <v>0</v>
      </c>
      <c r="M3298" t="s">
        <v>16</v>
      </c>
      <c r="N3298">
        <v>1</v>
      </c>
    </row>
    <row r="3299" hidden="1" spans="1:14">
      <c r="A3299">
        <v>371</v>
      </c>
      <c r="B3299">
        <v>0</v>
      </c>
      <c r="C3299" t="s">
        <v>813</v>
      </c>
      <c r="D3299">
        <v>0</v>
      </c>
      <c r="E3299">
        <v>121.864</v>
      </c>
      <c r="F3299">
        <v>18.0456</v>
      </c>
      <c r="G3299">
        <v>5324.03</v>
      </c>
      <c r="H3299" s="1">
        <v>32787</v>
      </c>
      <c r="I3299" s="1">
        <v>32791</v>
      </c>
      <c r="J3299" t="s">
        <v>15</v>
      </c>
      <c r="K3299">
        <v>45</v>
      </c>
      <c r="L3299">
        <v>8846</v>
      </c>
      <c r="M3299" t="s">
        <v>86</v>
      </c>
      <c r="N3299">
        <v>1</v>
      </c>
    </row>
    <row r="3300" hidden="1" spans="1:14">
      <c r="A3300">
        <v>325</v>
      </c>
      <c r="B3300">
        <v>0</v>
      </c>
      <c r="C3300" t="s">
        <v>813</v>
      </c>
      <c r="D3300">
        <v>0</v>
      </c>
      <c r="E3300">
        <v>121.435</v>
      </c>
      <c r="F3300">
        <v>17.3295</v>
      </c>
      <c r="G3300">
        <v>46659.18</v>
      </c>
      <c r="H3300" s="1">
        <v>32705</v>
      </c>
      <c r="I3300" s="1">
        <v>32709</v>
      </c>
      <c r="J3300" t="s">
        <v>15</v>
      </c>
      <c r="K3300">
        <v>26</v>
      </c>
      <c r="L3300">
        <v>186000</v>
      </c>
      <c r="M3300" t="s">
        <v>86</v>
      </c>
      <c r="N3300">
        <v>1</v>
      </c>
    </row>
    <row r="3301" hidden="1" spans="1:14">
      <c r="A3301">
        <v>374</v>
      </c>
      <c r="B3301">
        <v>0</v>
      </c>
      <c r="C3301" t="s">
        <v>813</v>
      </c>
      <c r="D3301">
        <v>0</v>
      </c>
      <c r="E3301">
        <v>120.74</v>
      </c>
      <c r="F3301">
        <v>16.6899</v>
      </c>
      <c r="G3301">
        <v>36937.57</v>
      </c>
      <c r="H3301" s="1">
        <v>32761</v>
      </c>
      <c r="I3301" s="1">
        <v>32763</v>
      </c>
      <c r="J3301" t="s">
        <v>15</v>
      </c>
      <c r="K3301">
        <v>17</v>
      </c>
      <c r="L3301">
        <v>3000</v>
      </c>
      <c r="M3301" t="s">
        <v>86</v>
      </c>
      <c r="N3301">
        <v>1</v>
      </c>
    </row>
    <row r="3302" hidden="1" spans="1:14">
      <c r="A3302">
        <v>376</v>
      </c>
      <c r="B3302">
        <v>0</v>
      </c>
      <c r="C3302" t="s">
        <v>813</v>
      </c>
      <c r="D3302">
        <v>0</v>
      </c>
      <c r="E3302">
        <v>125.689</v>
      </c>
      <c r="F3302">
        <v>7.39136</v>
      </c>
      <c r="G3302">
        <v>11863.89</v>
      </c>
      <c r="H3302" s="1">
        <v>32815</v>
      </c>
      <c r="I3302" s="1">
        <v>32820</v>
      </c>
      <c r="J3302" t="s">
        <v>15</v>
      </c>
      <c r="K3302">
        <v>30</v>
      </c>
      <c r="L3302">
        <v>0</v>
      </c>
      <c r="M3302" t="s">
        <v>86</v>
      </c>
      <c r="N3302">
        <v>1</v>
      </c>
    </row>
    <row r="3303" hidden="1" spans="1:14">
      <c r="A3303">
        <v>421</v>
      </c>
      <c r="B3303">
        <v>0</v>
      </c>
      <c r="C3303" t="s">
        <v>813</v>
      </c>
      <c r="D3303">
        <v>0</v>
      </c>
      <c r="E3303">
        <v>123.116</v>
      </c>
      <c r="F3303">
        <v>8.33626</v>
      </c>
      <c r="G3303">
        <v>3614.79</v>
      </c>
      <c r="H3303" s="1">
        <v>33041</v>
      </c>
      <c r="I3303" s="1">
        <v>33043</v>
      </c>
      <c r="J3303" t="s">
        <v>15</v>
      </c>
      <c r="K3303">
        <v>36</v>
      </c>
      <c r="L3303">
        <v>236</v>
      </c>
      <c r="M3303" t="s">
        <v>64</v>
      </c>
      <c r="N3303">
        <v>1</v>
      </c>
    </row>
    <row r="3304" hidden="1" spans="1:14">
      <c r="A3304">
        <v>425</v>
      </c>
      <c r="B3304">
        <v>0</v>
      </c>
      <c r="C3304" t="s">
        <v>813</v>
      </c>
      <c r="D3304">
        <v>0</v>
      </c>
      <c r="E3304">
        <v>121.214</v>
      </c>
      <c r="F3304">
        <v>16.5752</v>
      </c>
      <c r="G3304">
        <v>71151.2</v>
      </c>
      <c r="H3304" s="1">
        <v>33044</v>
      </c>
      <c r="I3304" s="1">
        <v>33049</v>
      </c>
      <c r="J3304" t="s">
        <v>15</v>
      </c>
      <c r="K3304">
        <v>63</v>
      </c>
      <c r="L3304">
        <v>86000</v>
      </c>
      <c r="M3304" t="s">
        <v>86</v>
      </c>
      <c r="N3304">
        <v>1</v>
      </c>
    </row>
    <row r="3305" hidden="1" spans="1:14">
      <c r="A3305">
        <v>452</v>
      </c>
      <c r="B3305">
        <v>0</v>
      </c>
      <c r="C3305" t="s">
        <v>813</v>
      </c>
      <c r="D3305">
        <v>0</v>
      </c>
      <c r="E3305">
        <v>121.229</v>
      </c>
      <c r="F3305">
        <v>16.321</v>
      </c>
      <c r="G3305">
        <v>69902.34</v>
      </c>
      <c r="H3305" s="1">
        <v>33110</v>
      </c>
      <c r="I3305" s="1">
        <v>33117</v>
      </c>
      <c r="J3305" t="s">
        <v>15</v>
      </c>
      <c r="K3305">
        <v>66</v>
      </c>
      <c r="L3305">
        <v>1500</v>
      </c>
      <c r="M3305" t="s">
        <v>86</v>
      </c>
      <c r="N3305">
        <v>1</v>
      </c>
    </row>
    <row r="3306" hidden="1" spans="1:14">
      <c r="A3306">
        <v>457</v>
      </c>
      <c r="B3306">
        <v>0</v>
      </c>
      <c r="C3306" t="s">
        <v>813</v>
      </c>
      <c r="D3306">
        <v>0</v>
      </c>
      <c r="E3306">
        <v>121.229</v>
      </c>
      <c r="F3306">
        <v>16.5199</v>
      </c>
      <c r="G3306">
        <v>96171.73</v>
      </c>
      <c r="H3306" s="1">
        <v>33123</v>
      </c>
      <c r="I3306" s="1">
        <v>33126</v>
      </c>
      <c r="J3306" t="s">
        <v>15</v>
      </c>
      <c r="K3306">
        <v>7</v>
      </c>
      <c r="L3306">
        <v>15000</v>
      </c>
      <c r="M3306" t="s">
        <v>86</v>
      </c>
      <c r="N3306">
        <v>1</v>
      </c>
    </row>
    <row r="3307" hidden="1" spans="1:14">
      <c r="A3307">
        <v>482</v>
      </c>
      <c r="B3307">
        <v>0</v>
      </c>
      <c r="C3307" t="s">
        <v>813</v>
      </c>
      <c r="D3307">
        <v>0</v>
      </c>
      <c r="E3307">
        <v>125.356</v>
      </c>
      <c r="F3307">
        <v>11.2498</v>
      </c>
      <c r="G3307">
        <v>55710.21</v>
      </c>
      <c r="H3307" s="1">
        <v>33189</v>
      </c>
      <c r="I3307" s="1">
        <v>33193</v>
      </c>
      <c r="J3307" t="s">
        <v>15</v>
      </c>
      <c r="K3307">
        <v>176</v>
      </c>
      <c r="L3307">
        <v>984356</v>
      </c>
      <c r="M3307" t="s">
        <v>86</v>
      </c>
      <c r="N3307">
        <v>1</v>
      </c>
    </row>
    <row r="3308" hidden="1" spans="1:14">
      <c r="A3308">
        <v>535</v>
      </c>
      <c r="B3308">
        <v>0</v>
      </c>
      <c r="C3308" t="s">
        <v>813</v>
      </c>
      <c r="D3308">
        <v>0</v>
      </c>
      <c r="E3308">
        <v>120.704</v>
      </c>
      <c r="F3308">
        <v>15.2544</v>
      </c>
      <c r="G3308">
        <v>5762.82</v>
      </c>
      <c r="H3308" s="1">
        <v>33429</v>
      </c>
      <c r="I3308" s="1">
        <v>33432</v>
      </c>
      <c r="J3308" t="s">
        <v>15</v>
      </c>
      <c r="K3308">
        <v>2</v>
      </c>
      <c r="L3308">
        <v>0</v>
      </c>
      <c r="M3308" t="s">
        <v>86</v>
      </c>
      <c r="N3308">
        <v>1</v>
      </c>
    </row>
    <row r="3309" hidden="1" spans="1:14">
      <c r="A3309">
        <v>547</v>
      </c>
      <c r="B3309">
        <v>0</v>
      </c>
      <c r="C3309" t="s">
        <v>813</v>
      </c>
      <c r="D3309">
        <v>0</v>
      </c>
      <c r="E3309">
        <v>120.582</v>
      </c>
      <c r="F3309">
        <v>15.0859</v>
      </c>
      <c r="G3309">
        <v>12142.14</v>
      </c>
      <c r="H3309" s="1">
        <v>33442</v>
      </c>
      <c r="I3309" s="1">
        <v>33447</v>
      </c>
      <c r="J3309" t="s">
        <v>15</v>
      </c>
      <c r="K3309">
        <v>16</v>
      </c>
      <c r="L3309">
        <v>20000</v>
      </c>
      <c r="M3309" t="s">
        <v>86</v>
      </c>
      <c r="N3309">
        <v>1</v>
      </c>
    </row>
    <row r="3310" hidden="1" spans="1:14">
      <c r="A3310">
        <v>581</v>
      </c>
      <c r="B3310">
        <v>0</v>
      </c>
      <c r="C3310" t="s">
        <v>813</v>
      </c>
      <c r="D3310">
        <v>0</v>
      </c>
      <c r="E3310">
        <v>120.147</v>
      </c>
      <c r="F3310">
        <v>14.9902</v>
      </c>
      <c r="G3310">
        <v>400.017</v>
      </c>
      <c r="H3310" s="1">
        <v>33488</v>
      </c>
      <c r="I3310" s="1">
        <v>33489</v>
      </c>
      <c r="J3310" t="s">
        <v>15</v>
      </c>
      <c r="K3310">
        <v>0</v>
      </c>
      <c r="L3310">
        <v>10000</v>
      </c>
      <c r="M3310" t="s">
        <v>23</v>
      </c>
      <c r="N3310">
        <v>1</v>
      </c>
    </row>
    <row r="3311" hidden="1" spans="1:14">
      <c r="A3311">
        <v>597</v>
      </c>
      <c r="B3311">
        <v>0</v>
      </c>
      <c r="C3311" t="s">
        <v>813</v>
      </c>
      <c r="D3311">
        <v>0</v>
      </c>
      <c r="E3311">
        <v>125.36</v>
      </c>
      <c r="F3311">
        <v>11.248</v>
      </c>
      <c r="G3311">
        <v>20704.7</v>
      </c>
      <c r="H3311" s="1">
        <v>33547</v>
      </c>
      <c r="I3311" s="1">
        <v>33550</v>
      </c>
      <c r="J3311" t="s">
        <v>15</v>
      </c>
      <c r="K3311">
        <v>6315</v>
      </c>
      <c r="L3311">
        <v>28000</v>
      </c>
      <c r="M3311" t="s">
        <v>86</v>
      </c>
      <c r="N3311">
        <v>2</v>
      </c>
    </row>
    <row r="3312" hidden="1" spans="1:14">
      <c r="A3312">
        <v>680</v>
      </c>
      <c r="B3312">
        <v>0</v>
      </c>
      <c r="C3312" t="s">
        <v>813</v>
      </c>
      <c r="D3312">
        <v>0</v>
      </c>
      <c r="E3312">
        <v>121.124</v>
      </c>
      <c r="F3312">
        <v>17.0326</v>
      </c>
      <c r="G3312">
        <v>70409.78</v>
      </c>
      <c r="H3312" s="1">
        <v>33830</v>
      </c>
      <c r="I3312" s="1">
        <v>33876</v>
      </c>
      <c r="J3312" t="s">
        <v>15</v>
      </c>
      <c r="K3312">
        <v>45</v>
      </c>
      <c r="L3312">
        <v>250000</v>
      </c>
      <c r="M3312" t="s">
        <v>86</v>
      </c>
      <c r="N3312">
        <v>2</v>
      </c>
    </row>
    <row r="3313" hidden="1" spans="1:14">
      <c r="A3313">
        <v>710</v>
      </c>
      <c r="B3313">
        <v>0</v>
      </c>
      <c r="C3313" t="s">
        <v>813</v>
      </c>
      <c r="D3313" t="s">
        <v>239</v>
      </c>
      <c r="E3313">
        <v>107.787</v>
      </c>
      <c r="F3313">
        <v>15.4343</v>
      </c>
      <c r="G3313">
        <v>56290.27</v>
      </c>
      <c r="H3313" s="1">
        <v>33905</v>
      </c>
      <c r="I3313" s="1">
        <v>33907</v>
      </c>
      <c r="J3313" t="s">
        <v>15</v>
      </c>
      <c r="K3313">
        <v>3</v>
      </c>
      <c r="L3313">
        <v>3300</v>
      </c>
      <c r="M3313" t="s">
        <v>86</v>
      </c>
      <c r="N3313">
        <v>1</v>
      </c>
    </row>
    <row r="3314" hidden="1" spans="1:14">
      <c r="A3314">
        <v>718</v>
      </c>
      <c r="B3314">
        <v>0</v>
      </c>
      <c r="C3314" t="s">
        <v>813</v>
      </c>
      <c r="D3314">
        <v>0</v>
      </c>
      <c r="E3314">
        <v>125.923</v>
      </c>
      <c r="F3314">
        <v>7.78495</v>
      </c>
      <c r="G3314">
        <v>15083.86</v>
      </c>
      <c r="H3314" s="1">
        <v>33960</v>
      </c>
      <c r="I3314" s="1">
        <v>33965</v>
      </c>
      <c r="J3314" t="s">
        <v>15</v>
      </c>
      <c r="K3314">
        <v>6</v>
      </c>
      <c r="L3314">
        <v>22000</v>
      </c>
      <c r="M3314" t="s">
        <v>16</v>
      </c>
      <c r="N3314">
        <v>1</v>
      </c>
    </row>
    <row r="3315" hidden="1" spans="1:14">
      <c r="A3315">
        <v>728</v>
      </c>
      <c r="B3315">
        <v>0</v>
      </c>
      <c r="C3315" t="s">
        <v>813</v>
      </c>
      <c r="D3315">
        <v>0</v>
      </c>
      <c r="E3315">
        <v>125.706</v>
      </c>
      <c r="F3315">
        <v>8.79448</v>
      </c>
      <c r="G3315">
        <v>23141.36</v>
      </c>
      <c r="H3315" s="1">
        <v>34001</v>
      </c>
      <c r="I3315" s="1">
        <v>34005</v>
      </c>
      <c r="J3315" t="s">
        <v>15</v>
      </c>
      <c r="K3315">
        <v>23</v>
      </c>
      <c r="L3315">
        <v>90000</v>
      </c>
      <c r="M3315" t="s">
        <v>23</v>
      </c>
      <c r="N3315">
        <v>1</v>
      </c>
    </row>
    <row r="3316" hidden="1" spans="1:14">
      <c r="A3316">
        <v>755</v>
      </c>
      <c r="B3316">
        <v>0</v>
      </c>
      <c r="C3316" t="s">
        <v>813</v>
      </c>
      <c r="D3316">
        <v>0</v>
      </c>
      <c r="E3316">
        <v>120.46</v>
      </c>
      <c r="F3316">
        <v>15.6003</v>
      </c>
      <c r="G3316">
        <v>19660.56</v>
      </c>
      <c r="H3316" s="1">
        <v>34146</v>
      </c>
      <c r="I3316" s="1">
        <v>34148</v>
      </c>
      <c r="J3316" t="s">
        <v>15</v>
      </c>
      <c r="K3316">
        <v>5</v>
      </c>
      <c r="L3316">
        <v>22700</v>
      </c>
      <c r="M3316" t="s">
        <v>23</v>
      </c>
      <c r="N3316">
        <v>1</v>
      </c>
    </row>
    <row r="3317" hidden="1" spans="1:14">
      <c r="A3317">
        <v>770</v>
      </c>
      <c r="B3317">
        <v>0</v>
      </c>
      <c r="C3317" t="s">
        <v>813</v>
      </c>
      <c r="D3317">
        <v>0</v>
      </c>
      <c r="E3317">
        <v>120.432</v>
      </c>
      <c r="F3317">
        <v>15.1818</v>
      </c>
      <c r="G3317">
        <v>7160.8</v>
      </c>
      <c r="H3317" s="1">
        <v>34200</v>
      </c>
      <c r="I3317" s="1">
        <v>34203</v>
      </c>
      <c r="J3317" t="s">
        <v>15</v>
      </c>
      <c r="K3317">
        <v>5</v>
      </c>
      <c r="L3317">
        <v>10000</v>
      </c>
      <c r="M3317" t="s">
        <v>16</v>
      </c>
      <c r="N3317">
        <v>1</v>
      </c>
    </row>
    <row r="3318" hidden="1" spans="1:14">
      <c r="A3318">
        <v>787</v>
      </c>
      <c r="B3318">
        <v>0</v>
      </c>
      <c r="C3318" t="s">
        <v>813</v>
      </c>
      <c r="D3318">
        <v>0</v>
      </c>
      <c r="E3318">
        <v>120.592</v>
      </c>
      <c r="F3318">
        <v>15.6301</v>
      </c>
      <c r="G3318">
        <v>35873.11</v>
      </c>
      <c r="H3318" s="1">
        <v>34246</v>
      </c>
      <c r="I3318" s="1">
        <v>34254</v>
      </c>
      <c r="J3318" t="s">
        <v>15</v>
      </c>
      <c r="K3318">
        <v>57</v>
      </c>
      <c r="L3318">
        <v>300000</v>
      </c>
      <c r="M3318" t="s">
        <v>16</v>
      </c>
      <c r="N3318">
        <v>2</v>
      </c>
    </row>
    <row r="3319" hidden="1" spans="1:14">
      <c r="A3319">
        <v>803</v>
      </c>
      <c r="B3319">
        <v>0</v>
      </c>
      <c r="C3319" t="s">
        <v>813</v>
      </c>
      <c r="D3319">
        <v>0</v>
      </c>
      <c r="E3319">
        <v>124.962</v>
      </c>
      <c r="F3319">
        <v>10.7409</v>
      </c>
      <c r="G3319">
        <v>359.297</v>
      </c>
      <c r="H3319" s="1">
        <v>34302</v>
      </c>
      <c r="I3319" s="1">
        <v>34304</v>
      </c>
      <c r="J3319" t="s">
        <v>15</v>
      </c>
      <c r="K3319">
        <v>27</v>
      </c>
      <c r="L3319">
        <v>0</v>
      </c>
      <c r="M3319" t="s">
        <v>16</v>
      </c>
      <c r="N3319">
        <v>1</v>
      </c>
    </row>
    <row r="3320" hidden="1" spans="1:14">
      <c r="A3320">
        <v>805</v>
      </c>
      <c r="B3320">
        <v>0</v>
      </c>
      <c r="C3320" t="s">
        <v>813</v>
      </c>
      <c r="D3320" t="s">
        <v>239</v>
      </c>
      <c r="E3320">
        <v>108.845</v>
      </c>
      <c r="F3320">
        <v>12.3152</v>
      </c>
      <c r="G3320">
        <v>46913.01</v>
      </c>
      <c r="H3320" s="1">
        <v>34308</v>
      </c>
      <c r="I3320" s="1">
        <v>34316</v>
      </c>
      <c r="J3320" t="s">
        <v>15</v>
      </c>
      <c r="K3320">
        <v>353</v>
      </c>
      <c r="L3320">
        <v>598000</v>
      </c>
      <c r="M3320" t="s">
        <v>86</v>
      </c>
      <c r="N3320">
        <v>1</v>
      </c>
    </row>
    <row r="3321" hidden="1" spans="1:14">
      <c r="A3321">
        <v>817</v>
      </c>
      <c r="B3321">
        <v>0</v>
      </c>
      <c r="C3321" t="s">
        <v>813</v>
      </c>
      <c r="D3321">
        <v>0</v>
      </c>
      <c r="E3321">
        <v>125.59</v>
      </c>
      <c r="F3321">
        <v>9.65856</v>
      </c>
      <c r="G3321">
        <v>1266.81</v>
      </c>
      <c r="H3321" s="1">
        <v>34330</v>
      </c>
      <c r="I3321" s="1">
        <v>34331</v>
      </c>
      <c r="J3321" t="s">
        <v>15</v>
      </c>
      <c r="K3321">
        <v>6</v>
      </c>
      <c r="L3321">
        <v>12000</v>
      </c>
      <c r="M3321" t="s">
        <v>86</v>
      </c>
      <c r="N3321">
        <v>1</v>
      </c>
    </row>
    <row r="3322" hidden="1" spans="1:14">
      <c r="A3322">
        <v>820</v>
      </c>
      <c r="B3322">
        <v>0</v>
      </c>
      <c r="C3322" t="s">
        <v>813</v>
      </c>
      <c r="D3322">
        <v>0</v>
      </c>
      <c r="E3322">
        <v>123.45</v>
      </c>
      <c r="F3322">
        <v>13.4358</v>
      </c>
      <c r="G3322">
        <v>44225.95</v>
      </c>
      <c r="H3322" s="1">
        <v>34338</v>
      </c>
      <c r="I3322" s="1">
        <v>34342</v>
      </c>
      <c r="J3322" t="s">
        <v>15</v>
      </c>
      <c r="K3322">
        <v>29</v>
      </c>
      <c r="L3322">
        <v>14000</v>
      </c>
      <c r="M3322" t="s">
        <v>86</v>
      </c>
      <c r="N3322">
        <v>1</v>
      </c>
    </row>
    <row r="3323" hidden="1" spans="1:14">
      <c r="A3323">
        <v>838</v>
      </c>
      <c r="B3323">
        <v>0</v>
      </c>
      <c r="C3323" t="s">
        <v>813</v>
      </c>
      <c r="D3323">
        <v>0</v>
      </c>
      <c r="E3323">
        <v>125.689</v>
      </c>
      <c r="F3323">
        <v>8.3822</v>
      </c>
      <c r="G3323">
        <v>36858.21</v>
      </c>
      <c r="H3323" s="1">
        <v>34411</v>
      </c>
      <c r="I3323" s="1">
        <v>34424</v>
      </c>
      <c r="J3323" t="s">
        <v>15</v>
      </c>
      <c r="K3323">
        <v>9</v>
      </c>
      <c r="L3323">
        <v>16821</v>
      </c>
      <c r="M3323" t="s">
        <v>16</v>
      </c>
      <c r="N3323">
        <v>1</v>
      </c>
    </row>
    <row r="3324" hidden="1" spans="1:14">
      <c r="A3324">
        <v>861</v>
      </c>
      <c r="B3324">
        <v>0</v>
      </c>
      <c r="C3324" t="s">
        <v>813</v>
      </c>
      <c r="D3324">
        <v>0</v>
      </c>
      <c r="E3324">
        <v>121.046</v>
      </c>
      <c r="F3324">
        <v>16.7179</v>
      </c>
      <c r="G3324">
        <v>37086.97</v>
      </c>
      <c r="H3324" s="1">
        <v>34525</v>
      </c>
      <c r="I3324" s="1">
        <v>34531</v>
      </c>
      <c r="J3324" t="s">
        <v>15</v>
      </c>
      <c r="K3324">
        <v>0</v>
      </c>
      <c r="L3324">
        <v>0</v>
      </c>
      <c r="M3324" t="s">
        <v>86</v>
      </c>
      <c r="N3324">
        <v>1</v>
      </c>
    </row>
    <row r="3325" hidden="1" spans="1:14">
      <c r="A3325">
        <v>864</v>
      </c>
      <c r="B3325">
        <v>0</v>
      </c>
      <c r="C3325" t="s">
        <v>813</v>
      </c>
      <c r="D3325">
        <v>0</v>
      </c>
      <c r="E3325">
        <v>120.621</v>
      </c>
      <c r="F3325">
        <v>15.1291</v>
      </c>
      <c r="G3325">
        <v>12359.24</v>
      </c>
      <c r="H3325" s="1">
        <v>34530</v>
      </c>
      <c r="I3325" s="1">
        <v>34535</v>
      </c>
      <c r="J3325" t="s">
        <v>15</v>
      </c>
      <c r="K3325">
        <v>8</v>
      </c>
      <c r="L3325">
        <v>114674</v>
      </c>
      <c r="M3325" t="s">
        <v>86</v>
      </c>
      <c r="N3325">
        <v>1</v>
      </c>
    </row>
    <row r="3326" hidden="1" spans="1:14">
      <c r="A3326">
        <v>868</v>
      </c>
      <c r="B3326">
        <v>0</v>
      </c>
      <c r="C3326" t="s">
        <v>813</v>
      </c>
      <c r="D3326">
        <v>0</v>
      </c>
      <c r="E3326">
        <v>122.982</v>
      </c>
      <c r="F3326">
        <v>10.017</v>
      </c>
      <c r="G3326">
        <v>25394.77</v>
      </c>
      <c r="H3326" s="1">
        <v>34537</v>
      </c>
      <c r="I3326" s="1">
        <v>34548</v>
      </c>
      <c r="J3326" t="s">
        <v>15</v>
      </c>
      <c r="K3326">
        <v>2</v>
      </c>
      <c r="L3326">
        <v>18000</v>
      </c>
      <c r="M3326" t="s">
        <v>54</v>
      </c>
      <c r="N3326">
        <v>1</v>
      </c>
    </row>
    <row r="3327" hidden="1" spans="1:14">
      <c r="A3327">
        <v>869</v>
      </c>
      <c r="B3327">
        <v>0</v>
      </c>
      <c r="C3327" t="s">
        <v>813</v>
      </c>
      <c r="D3327">
        <v>0</v>
      </c>
      <c r="E3327">
        <v>120.804</v>
      </c>
      <c r="F3327">
        <v>15.6143</v>
      </c>
      <c r="G3327">
        <v>22004.15</v>
      </c>
      <c r="H3327" s="1">
        <v>34538</v>
      </c>
      <c r="I3327" s="1">
        <v>34549</v>
      </c>
      <c r="J3327" t="s">
        <v>15</v>
      </c>
      <c r="K3327">
        <v>37</v>
      </c>
      <c r="L3327">
        <v>264837</v>
      </c>
      <c r="M3327" t="s">
        <v>86</v>
      </c>
      <c r="N3327">
        <v>1</v>
      </c>
    </row>
    <row r="3328" hidden="1" spans="1:14">
      <c r="A3328">
        <v>873</v>
      </c>
      <c r="B3328">
        <v>0</v>
      </c>
      <c r="C3328" t="s">
        <v>813</v>
      </c>
      <c r="D3328">
        <v>0</v>
      </c>
      <c r="E3328">
        <v>121.93</v>
      </c>
      <c r="F3328">
        <v>17.5285</v>
      </c>
      <c r="G3328">
        <v>18141.64</v>
      </c>
      <c r="H3328" s="1">
        <v>34552</v>
      </c>
      <c r="I3328" s="1">
        <v>34556</v>
      </c>
      <c r="J3328" t="s">
        <v>15</v>
      </c>
      <c r="K3328">
        <v>0</v>
      </c>
      <c r="L3328">
        <v>0</v>
      </c>
      <c r="M3328" t="s">
        <v>86</v>
      </c>
      <c r="N3328">
        <v>1</v>
      </c>
    </row>
    <row r="3329" hidden="1" spans="1:14">
      <c r="A3329">
        <v>902</v>
      </c>
      <c r="B3329">
        <v>0</v>
      </c>
      <c r="C3329" t="s">
        <v>813</v>
      </c>
      <c r="D3329">
        <v>0</v>
      </c>
      <c r="E3329">
        <v>120.77</v>
      </c>
      <c r="F3329">
        <v>15.1434</v>
      </c>
      <c r="G3329">
        <v>4145.56</v>
      </c>
      <c r="H3329" s="1">
        <v>34596</v>
      </c>
      <c r="I3329" s="1">
        <v>34601</v>
      </c>
      <c r="J3329" t="s">
        <v>15</v>
      </c>
      <c r="K3329">
        <v>16</v>
      </c>
      <c r="L3329">
        <v>10000</v>
      </c>
      <c r="M3329" t="s">
        <v>54</v>
      </c>
      <c r="N3329">
        <v>1</v>
      </c>
    </row>
    <row r="3330" hidden="1" spans="1:14">
      <c r="A3330">
        <v>906</v>
      </c>
      <c r="B3330">
        <v>0</v>
      </c>
      <c r="C3330" t="s">
        <v>813</v>
      </c>
      <c r="D3330">
        <v>0</v>
      </c>
      <c r="E3330">
        <v>121.181</v>
      </c>
      <c r="F3330">
        <v>14.3202</v>
      </c>
      <c r="G3330">
        <v>12751.53</v>
      </c>
      <c r="H3330" s="1">
        <v>34625</v>
      </c>
      <c r="I3330" s="1">
        <v>34629</v>
      </c>
      <c r="J3330" t="s">
        <v>15</v>
      </c>
      <c r="K3330">
        <v>4</v>
      </c>
      <c r="L3330">
        <v>50000</v>
      </c>
      <c r="M3330" t="s">
        <v>86</v>
      </c>
      <c r="N3330">
        <v>1</v>
      </c>
    </row>
    <row r="3331" hidden="1" spans="1:14">
      <c r="A3331">
        <v>907</v>
      </c>
      <c r="B3331">
        <v>0</v>
      </c>
      <c r="C3331" t="s">
        <v>813</v>
      </c>
      <c r="D3331">
        <v>0</v>
      </c>
      <c r="E3331">
        <v>125.873</v>
      </c>
      <c r="F3331">
        <v>9.14408</v>
      </c>
      <c r="G3331">
        <v>13653.63</v>
      </c>
      <c r="H3331" s="1">
        <v>34625</v>
      </c>
      <c r="I3331" s="1">
        <v>34629</v>
      </c>
      <c r="J3331" t="s">
        <v>15</v>
      </c>
      <c r="K3331">
        <v>12</v>
      </c>
      <c r="L3331">
        <v>12480</v>
      </c>
      <c r="M3331" t="s">
        <v>86</v>
      </c>
      <c r="N3331">
        <v>1</v>
      </c>
    </row>
    <row r="3332" hidden="1" spans="1:14">
      <c r="A3332">
        <v>926</v>
      </c>
      <c r="B3332">
        <v>0</v>
      </c>
      <c r="C3332" t="s">
        <v>813</v>
      </c>
      <c r="D3332">
        <v>0</v>
      </c>
      <c r="E3332">
        <v>125.042</v>
      </c>
      <c r="F3332">
        <v>11.2536</v>
      </c>
      <c r="G3332">
        <v>51066.39</v>
      </c>
      <c r="H3332" s="1">
        <v>34687</v>
      </c>
      <c r="I3332" s="1">
        <v>34691</v>
      </c>
      <c r="J3332" t="s">
        <v>15</v>
      </c>
      <c r="K3332">
        <v>10</v>
      </c>
      <c r="L3332">
        <v>548000</v>
      </c>
      <c r="M3332" t="s">
        <v>86</v>
      </c>
      <c r="N3332">
        <v>1</v>
      </c>
    </row>
    <row r="3333" hidden="1" spans="1:14">
      <c r="A3333">
        <v>974</v>
      </c>
      <c r="B3333">
        <v>0</v>
      </c>
      <c r="C3333" t="s">
        <v>813</v>
      </c>
      <c r="D3333">
        <v>0</v>
      </c>
      <c r="E3333">
        <v>120.64</v>
      </c>
      <c r="F3333">
        <v>15.2263</v>
      </c>
      <c r="G3333">
        <v>9189.85</v>
      </c>
      <c r="H3333" s="1">
        <v>34909</v>
      </c>
      <c r="I3333" s="1">
        <v>34911</v>
      </c>
      <c r="J3333" t="s">
        <v>15</v>
      </c>
      <c r="K3333">
        <v>0</v>
      </c>
      <c r="L3333">
        <v>20000</v>
      </c>
      <c r="M3333" t="s">
        <v>86</v>
      </c>
      <c r="N3333">
        <v>1</v>
      </c>
    </row>
    <row r="3334" hidden="1" spans="1:14">
      <c r="A3334">
        <v>988</v>
      </c>
      <c r="B3334">
        <v>0</v>
      </c>
      <c r="C3334" t="s">
        <v>813</v>
      </c>
      <c r="D3334">
        <v>0</v>
      </c>
      <c r="E3334">
        <v>120.687</v>
      </c>
      <c r="F3334">
        <v>15.4632</v>
      </c>
      <c r="G3334">
        <v>23531.04</v>
      </c>
      <c r="H3334" s="1">
        <v>34940</v>
      </c>
      <c r="I3334" s="1">
        <v>34948</v>
      </c>
      <c r="J3334" t="s">
        <v>15</v>
      </c>
      <c r="K3334">
        <v>3</v>
      </c>
      <c r="L3334">
        <v>45000</v>
      </c>
      <c r="M3334" t="s">
        <v>23</v>
      </c>
      <c r="N3334">
        <v>1</v>
      </c>
    </row>
    <row r="3335" hidden="1" spans="1:14">
      <c r="A3335">
        <v>989</v>
      </c>
      <c r="B3335">
        <v>0</v>
      </c>
      <c r="C3335" t="s">
        <v>813</v>
      </c>
      <c r="D3335">
        <v>0</v>
      </c>
      <c r="E3335">
        <v>120.745</v>
      </c>
      <c r="F3335">
        <v>22.8088</v>
      </c>
      <c r="G3335">
        <v>14893.78</v>
      </c>
      <c r="H3335" s="1">
        <v>34946</v>
      </c>
      <c r="I3335" s="1">
        <v>34957</v>
      </c>
      <c r="J3335" t="s">
        <v>15</v>
      </c>
      <c r="K3335">
        <v>180</v>
      </c>
      <c r="L3335">
        <v>50000</v>
      </c>
      <c r="M3335" t="s">
        <v>16</v>
      </c>
      <c r="N3335">
        <v>1</v>
      </c>
    </row>
    <row r="3336" hidden="1" spans="1:14">
      <c r="A3336">
        <v>1013</v>
      </c>
      <c r="B3336">
        <v>0</v>
      </c>
      <c r="C3336" t="s">
        <v>813</v>
      </c>
      <c r="D3336">
        <v>0</v>
      </c>
      <c r="E3336">
        <v>122.697</v>
      </c>
      <c r="F3336">
        <v>12.779</v>
      </c>
      <c r="G3336">
        <v>189621.17</v>
      </c>
      <c r="H3336" s="1">
        <v>34972</v>
      </c>
      <c r="I3336" s="1">
        <v>34975</v>
      </c>
      <c r="J3336" t="s">
        <v>15</v>
      </c>
      <c r="K3336">
        <v>150</v>
      </c>
      <c r="L3336">
        <v>176000</v>
      </c>
      <c r="M3336" t="s">
        <v>86</v>
      </c>
      <c r="N3336">
        <v>1</v>
      </c>
    </row>
    <row r="3337" hidden="1" spans="1:14">
      <c r="A3337">
        <v>1019</v>
      </c>
      <c r="B3337">
        <v>0</v>
      </c>
      <c r="C3337" t="s">
        <v>813</v>
      </c>
      <c r="D3337">
        <v>0</v>
      </c>
      <c r="E3337">
        <v>120.606</v>
      </c>
      <c r="F3337">
        <v>15.2507</v>
      </c>
      <c r="G3337">
        <v>7275.47</v>
      </c>
      <c r="H3337" s="1">
        <v>34981</v>
      </c>
      <c r="I3337" s="1">
        <v>34998</v>
      </c>
      <c r="J3337" t="s">
        <v>15</v>
      </c>
      <c r="K3337">
        <v>100</v>
      </c>
      <c r="L3337">
        <v>450000</v>
      </c>
      <c r="M3337" t="s">
        <v>86</v>
      </c>
      <c r="N3337">
        <v>1</v>
      </c>
    </row>
    <row r="3338" hidden="1" spans="1:14">
      <c r="A3338">
        <v>1028</v>
      </c>
      <c r="B3338">
        <v>0</v>
      </c>
      <c r="C3338" t="s">
        <v>813</v>
      </c>
      <c r="D3338">
        <v>0</v>
      </c>
      <c r="E3338">
        <v>122.518</v>
      </c>
      <c r="F3338">
        <v>13.2727</v>
      </c>
      <c r="G3338">
        <v>209708.23</v>
      </c>
      <c r="H3338" s="1">
        <v>35000</v>
      </c>
      <c r="I3338" s="1">
        <v>35008</v>
      </c>
      <c r="J3338" t="s">
        <v>15</v>
      </c>
      <c r="K3338">
        <v>765</v>
      </c>
      <c r="L3338">
        <v>766000</v>
      </c>
      <c r="M3338" t="s">
        <v>86</v>
      </c>
      <c r="N3338">
        <v>1</v>
      </c>
    </row>
    <row r="3339" hidden="1" spans="1:14">
      <c r="A3339">
        <v>1035</v>
      </c>
      <c r="B3339">
        <v>0</v>
      </c>
      <c r="C3339" t="s">
        <v>813</v>
      </c>
      <c r="D3339">
        <v>0</v>
      </c>
      <c r="E3339">
        <v>125.619</v>
      </c>
      <c r="F3339">
        <v>7.20654</v>
      </c>
      <c r="G3339">
        <v>6966.61</v>
      </c>
      <c r="H3339" s="1">
        <v>35043</v>
      </c>
      <c r="I3339" s="1">
        <v>35049</v>
      </c>
      <c r="J3339" t="s">
        <v>15</v>
      </c>
      <c r="K3339">
        <v>12</v>
      </c>
      <c r="L3339">
        <v>9000</v>
      </c>
      <c r="M3339" t="s">
        <v>18</v>
      </c>
      <c r="N3339">
        <v>1</v>
      </c>
    </row>
    <row r="3340" hidden="1" spans="1:14">
      <c r="A3340">
        <v>1037</v>
      </c>
      <c r="B3340">
        <v>0</v>
      </c>
      <c r="C3340" t="s">
        <v>813</v>
      </c>
      <c r="D3340">
        <v>0</v>
      </c>
      <c r="E3340">
        <v>121.925</v>
      </c>
      <c r="F3340">
        <v>17.5345</v>
      </c>
      <c r="G3340">
        <v>19778.42</v>
      </c>
      <c r="H3340" s="1">
        <v>35057</v>
      </c>
      <c r="I3340" s="1">
        <v>35060</v>
      </c>
      <c r="J3340" t="s">
        <v>15</v>
      </c>
      <c r="K3340">
        <v>18</v>
      </c>
      <c r="L3340">
        <v>6000</v>
      </c>
      <c r="M3340" t="s">
        <v>16</v>
      </c>
      <c r="N3340">
        <v>1</v>
      </c>
    </row>
    <row r="3341" hidden="1" spans="1:14">
      <c r="A3341">
        <v>1038</v>
      </c>
      <c r="C3341" t="s">
        <v>813</v>
      </c>
      <c r="E3341">
        <v>124.471</v>
      </c>
      <c r="F3341">
        <v>6.76939</v>
      </c>
      <c r="G3341">
        <v>10938.81</v>
      </c>
      <c r="H3341" s="1">
        <v>35057</v>
      </c>
      <c r="I3341" s="1">
        <v>35060</v>
      </c>
      <c r="J3341" t="s">
        <v>15</v>
      </c>
      <c r="K3341">
        <v>0</v>
      </c>
      <c r="L3341">
        <v>0</v>
      </c>
      <c r="N3341">
        <v>1</v>
      </c>
    </row>
    <row r="3342" hidden="1" spans="1:14">
      <c r="A3342">
        <v>1043</v>
      </c>
      <c r="B3342">
        <v>0</v>
      </c>
      <c r="C3342" t="s">
        <v>813</v>
      </c>
      <c r="D3342">
        <v>0</v>
      </c>
      <c r="E3342">
        <v>126.103</v>
      </c>
      <c r="F3342">
        <v>8.70101</v>
      </c>
      <c r="G3342">
        <v>4871.58</v>
      </c>
      <c r="H3342" s="1">
        <v>35070</v>
      </c>
      <c r="I3342" s="1">
        <v>35076</v>
      </c>
      <c r="J3342" t="s">
        <v>15</v>
      </c>
      <c r="K3342">
        <v>0</v>
      </c>
      <c r="L3342">
        <v>2000</v>
      </c>
      <c r="M3342" t="s">
        <v>16</v>
      </c>
      <c r="N3342">
        <v>1</v>
      </c>
    </row>
    <row r="3343" hidden="1" spans="1:14">
      <c r="A3343">
        <v>1097</v>
      </c>
      <c r="B3343">
        <v>0</v>
      </c>
      <c r="C3343" t="s">
        <v>813</v>
      </c>
      <c r="D3343">
        <v>0</v>
      </c>
      <c r="E3343">
        <v>120.781</v>
      </c>
      <c r="F3343">
        <v>15.2776</v>
      </c>
      <c r="G3343">
        <v>23203.29</v>
      </c>
      <c r="H3343" s="1">
        <v>35268</v>
      </c>
      <c r="I3343" s="1">
        <v>35280</v>
      </c>
      <c r="J3343" t="s">
        <v>15</v>
      </c>
      <c r="K3343">
        <v>89</v>
      </c>
      <c r="L3343">
        <v>40000</v>
      </c>
      <c r="M3343" t="s">
        <v>49</v>
      </c>
      <c r="N3343">
        <v>1</v>
      </c>
    </row>
    <row r="3344" hidden="1" spans="1:14">
      <c r="A3344">
        <v>1215</v>
      </c>
      <c r="B3344">
        <v>0</v>
      </c>
      <c r="C3344" t="s">
        <v>813</v>
      </c>
      <c r="D3344">
        <v>0</v>
      </c>
      <c r="E3344">
        <v>125.768</v>
      </c>
      <c r="F3344">
        <v>8.88096</v>
      </c>
      <c r="G3344">
        <v>18316.69</v>
      </c>
      <c r="H3344" s="1">
        <v>35498</v>
      </c>
      <c r="I3344" s="1">
        <v>35502</v>
      </c>
      <c r="J3344" t="s">
        <v>15</v>
      </c>
      <c r="K3344">
        <v>18</v>
      </c>
      <c r="L3344">
        <v>105000</v>
      </c>
      <c r="M3344" t="s">
        <v>16</v>
      </c>
      <c r="N3344">
        <v>1</v>
      </c>
    </row>
    <row r="3345" hidden="1" spans="1:14">
      <c r="A3345">
        <v>1225</v>
      </c>
      <c r="B3345">
        <v>0</v>
      </c>
      <c r="C3345" t="s">
        <v>813</v>
      </c>
      <c r="D3345">
        <v>0</v>
      </c>
      <c r="E3345">
        <v>120.715</v>
      </c>
      <c r="F3345">
        <v>14.8299</v>
      </c>
      <c r="G3345">
        <v>10763.25</v>
      </c>
      <c r="H3345" s="1">
        <v>35575</v>
      </c>
      <c r="I3345" s="1">
        <v>35577</v>
      </c>
      <c r="J3345" t="s">
        <v>15</v>
      </c>
      <c r="K3345">
        <v>35</v>
      </c>
      <c r="L3345">
        <v>210000</v>
      </c>
      <c r="M3345" t="s">
        <v>86</v>
      </c>
      <c r="N3345">
        <v>1</v>
      </c>
    </row>
    <row r="3346" hidden="1" spans="1:14">
      <c r="A3346">
        <v>1456</v>
      </c>
      <c r="B3346">
        <v>0</v>
      </c>
      <c r="C3346" t="s">
        <v>813</v>
      </c>
      <c r="D3346" t="s">
        <v>274</v>
      </c>
      <c r="E3346">
        <v>121.589</v>
      </c>
      <c r="F3346">
        <v>16.9811</v>
      </c>
      <c r="G3346">
        <v>70498.49</v>
      </c>
      <c r="H3346" s="1">
        <v>36081</v>
      </c>
      <c r="I3346" s="1">
        <v>36085</v>
      </c>
      <c r="J3346" t="s">
        <v>15</v>
      </c>
      <c r="K3346">
        <v>48</v>
      </c>
      <c r="L3346">
        <v>30000</v>
      </c>
      <c r="M3346" t="s">
        <v>86</v>
      </c>
      <c r="N3346">
        <v>1</v>
      </c>
    </row>
    <row r="3347" hidden="1" spans="1:14">
      <c r="A3347">
        <v>1493</v>
      </c>
      <c r="B3347">
        <v>0</v>
      </c>
      <c r="C3347" t="s">
        <v>813</v>
      </c>
      <c r="D3347">
        <v>0</v>
      </c>
      <c r="E3347">
        <v>125.997</v>
      </c>
      <c r="F3347">
        <v>7.916</v>
      </c>
      <c r="G3347">
        <v>27978.33</v>
      </c>
      <c r="H3347" s="1">
        <v>36211</v>
      </c>
      <c r="I3347" s="1">
        <v>36213</v>
      </c>
      <c r="J3347" t="s">
        <v>15</v>
      </c>
      <c r="K3347">
        <v>39</v>
      </c>
      <c r="L3347">
        <v>2700</v>
      </c>
      <c r="M3347" t="s">
        <v>18</v>
      </c>
      <c r="N3347">
        <v>2</v>
      </c>
    </row>
    <row r="3348" hidden="1" spans="1:14">
      <c r="A3348">
        <v>1553</v>
      </c>
      <c r="B3348">
        <v>0</v>
      </c>
      <c r="C3348" t="s">
        <v>813</v>
      </c>
      <c r="D3348">
        <v>0</v>
      </c>
      <c r="E3348">
        <v>121.73</v>
      </c>
      <c r="F3348">
        <v>15.89</v>
      </c>
      <c r="G3348">
        <v>22628.81</v>
      </c>
      <c r="H3348" s="1">
        <v>36413</v>
      </c>
      <c r="I3348" s="1">
        <v>36417</v>
      </c>
      <c r="J3348" t="s">
        <v>15</v>
      </c>
      <c r="K3348">
        <v>1</v>
      </c>
      <c r="L3348">
        <v>4500</v>
      </c>
      <c r="M3348" t="s">
        <v>18</v>
      </c>
      <c r="N3348">
        <v>1</v>
      </c>
    </row>
    <row r="3349" hidden="1" spans="1:14">
      <c r="A3349">
        <v>1580</v>
      </c>
      <c r="B3349">
        <v>0</v>
      </c>
      <c r="C3349" t="s">
        <v>813</v>
      </c>
      <c r="D3349">
        <v>0</v>
      </c>
      <c r="E3349">
        <v>126.238</v>
      </c>
      <c r="F3349">
        <v>8.99498</v>
      </c>
      <c r="G3349">
        <v>32003.11</v>
      </c>
      <c r="H3349" s="1">
        <v>36519</v>
      </c>
      <c r="I3349" s="1">
        <v>36522</v>
      </c>
      <c r="J3349" t="s">
        <v>15</v>
      </c>
      <c r="K3349">
        <v>8</v>
      </c>
      <c r="L3349">
        <v>2000</v>
      </c>
      <c r="M3349" t="s">
        <v>16</v>
      </c>
      <c r="N3349">
        <v>1</v>
      </c>
    </row>
    <row r="3350" hidden="1" spans="1:14">
      <c r="A3350">
        <v>1599</v>
      </c>
      <c r="B3350">
        <v>0</v>
      </c>
      <c r="C3350" t="s">
        <v>813</v>
      </c>
      <c r="D3350">
        <v>0</v>
      </c>
      <c r="E3350">
        <v>120.953</v>
      </c>
      <c r="F3350">
        <v>15.2933</v>
      </c>
      <c r="G3350">
        <v>11736.11</v>
      </c>
      <c r="H3350" s="1">
        <v>36664</v>
      </c>
      <c r="I3350" s="1">
        <v>36676</v>
      </c>
      <c r="J3350" t="s">
        <v>15</v>
      </c>
      <c r="K3350">
        <v>6</v>
      </c>
      <c r="L3350">
        <v>112000</v>
      </c>
      <c r="M3350" t="s">
        <v>86</v>
      </c>
      <c r="N3350">
        <v>1</v>
      </c>
    </row>
    <row r="3351" hidden="1" spans="1:14">
      <c r="A3351">
        <v>1612</v>
      </c>
      <c r="B3351">
        <v>0</v>
      </c>
      <c r="C3351" t="s">
        <v>813</v>
      </c>
      <c r="D3351" t="s">
        <v>570</v>
      </c>
      <c r="E3351">
        <v>120.823</v>
      </c>
      <c r="F3351">
        <v>14.9292</v>
      </c>
      <c r="G3351">
        <v>11595.06</v>
      </c>
      <c r="H3351" s="1">
        <v>36711</v>
      </c>
      <c r="I3351" s="1">
        <v>36717</v>
      </c>
      <c r="J3351" t="s">
        <v>15</v>
      </c>
      <c r="K3351">
        <v>45</v>
      </c>
      <c r="L3351">
        <v>800000</v>
      </c>
      <c r="M3351" t="s">
        <v>18</v>
      </c>
      <c r="N3351">
        <v>1</v>
      </c>
    </row>
    <row r="3352" hidden="1" spans="1:14">
      <c r="A3352">
        <v>1632</v>
      </c>
      <c r="B3352">
        <v>0</v>
      </c>
      <c r="C3352" t="s">
        <v>813</v>
      </c>
      <c r="D3352">
        <v>0</v>
      </c>
      <c r="E3352">
        <v>120.916</v>
      </c>
      <c r="F3352">
        <v>14.7757</v>
      </c>
      <c r="G3352">
        <v>1633.72</v>
      </c>
      <c r="H3352" s="1">
        <v>36773</v>
      </c>
      <c r="I3352" s="1">
        <v>36774</v>
      </c>
      <c r="J3352" t="s">
        <v>15</v>
      </c>
      <c r="K3352">
        <v>3</v>
      </c>
      <c r="L3352">
        <v>5000</v>
      </c>
      <c r="M3352" t="s">
        <v>16</v>
      </c>
      <c r="N3352">
        <v>1</v>
      </c>
    </row>
    <row r="3353" hidden="1" spans="1:14">
      <c r="A3353">
        <v>1655</v>
      </c>
      <c r="B3353">
        <v>0</v>
      </c>
      <c r="C3353" t="s">
        <v>813</v>
      </c>
      <c r="D3353">
        <v>0</v>
      </c>
      <c r="E3353">
        <v>123.715</v>
      </c>
      <c r="F3353">
        <v>13.0629</v>
      </c>
      <c r="G3353">
        <v>7059.58</v>
      </c>
      <c r="H3353" s="1">
        <v>36827</v>
      </c>
      <c r="I3353" s="1">
        <v>36830</v>
      </c>
      <c r="J3353" t="s">
        <v>15</v>
      </c>
      <c r="K3353">
        <v>41</v>
      </c>
      <c r="L3353">
        <v>100000</v>
      </c>
      <c r="M3353" t="s">
        <v>18</v>
      </c>
      <c r="N3353">
        <v>1</v>
      </c>
    </row>
    <row r="3354" hidden="1" spans="1:14">
      <c r="A3354">
        <v>1660</v>
      </c>
      <c r="B3354">
        <v>0</v>
      </c>
      <c r="C3354" t="s">
        <v>813</v>
      </c>
      <c r="D3354">
        <v>0</v>
      </c>
      <c r="E3354">
        <v>121.177</v>
      </c>
      <c r="F3354">
        <v>14.4934</v>
      </c>
      <c r="G3354">
        <v>5875.21</v>
      </c>
      <c r="H3354" s="1">
        <v>36833</v>
      </c>
      <c r="I3354" s="1">
        <v>36835</v>
      </c>
      <c r="J3354" t="s">
        <v>15</v>
      </c>
      <c r="K3354">
        <v>43</v>
      </c>
      <c r="L3354">
        <v>668000</v>
      </c>
      <c r="M3354" t="s">
        <v>86</v>
      </c>
      <c r="N3354">
        <v>1</v>
      </c>
    </row>
    <row r="3355" hidden="1" spans="1:14">
      <c r="A3355">
        <v>1694</v>
      </c>
      <c r="B3355">
        <v>0</v>
      </c>
      <c r="C3355" t="s">
        <v>813</v>
      </c>
      <c r="D3355">
        <v>0</v>
      </c>
      <c r="E3355">
        <v>125.845</v>
      </c>
      <c r="F3355">
        <v>8.35604</v>
      </c>
      <c r="G3355">
        <v>5961.33</v>
      </c>
      <c r="H3355" s="1">
        <v>36938</v>
      </c>
      <c r="I3355" s="1">
        <v>36941</v>
      </c>
      <c r="J3355" t="s">
        <v>15</v>
      </c>
      <c r="K3355">
        <v>17</v>
      </c>
      <c r="L3355">
        <v>98360</v>
      </c>
      <c r="M3355" t="s">
        <v>86</v>
      </c>
      <c r="N3355">
        <v>1</v>
      </c>
    </row>
    <row r="3356" hidden="1" spans="1:14">
      <c r="A3356">
        <v>1743</v>
      </c>
      <c r="B3356">
        <v>0</v>
      </c>
      <c r="C3356" t="s">
        <v>813</v>
      </c>
      <c r="D3356" t="s">
        <v>273</v>
      </c>
      <c r="E3356">
        <v>110.999</v>
      </c>
      <c r="F3356">
        <v>22.9085</v>
      </c>
      <c r="G3356">
        <v>205221.43</v>
      </c>
      <c r="H3356" s="1">
        <v>37073</v>
      </c>
      <c r="I3356" s="1">
        <v>37091</v>
      </c>
      <c r="J3356" t="s">
        <v>15</v>
      </c>
      <c r="K3356">
        <v>178</v>
      </c>
      <c r="L3356">
        <v>800000</v>
      </c>
      <c r="M3356" t="s">
        <v>16</v>
      </c>
      <c r="N3356">
        <v>2</v>
      </c>
    </row>
    <row r="3357" hidden="1" spans="1:14">
      <c r="A3357">
        <v>1822</v>
      </c>
      <c r="B3357">
        <v>0</v>
      </c>
      <c r="C3357" t="s">
        <v>813</v>
      </c>
      <c r="D3357">
        <v>0</v>
      </c>
      <c r="E3357">
        <v>124.709</v>
      </c>
      <c r="F3357">
        <v>9.17656</v>
      </c>
      <c r="G3357">
        <v>612.352</v>
      </c>
      <c r="H3357" s="1">
        <v>37201</v>
      </c>
      <c r="I3357" s="1">
        <v>37204</v>
      </c>
      <c r="J3357" t="s">
        <v>15</v>
      </c>
      <c r="K3357">
        <v>320</v>
      </c>
      <c r="L3357">
        <v>223000</v>
      </c>
      <c r="M3357" t="s">
        <v>86</v>
      </c>
      <c r="N3357">
        <v>1</v>
      </c>
    </row>
    <row r="3358" hidden="1" spans="1:14">
      <c r="A3358">
        <v>1834</v>
      </c>
      <c r="B3358">
        <v>0</v>
      </c>
      <c r="C3358" t="s">
        <v>813</v>
      </c>
      <c r="D3358">
        <v>0</v>
      </c>
      <c r="E3358">
        <v>124.939</v>
      </c>
      <c r="F3358">
        <v>10.9806</v>
      </c>
      <c r="G3358">
        <v>2807.36</v>
      </c>
      <c r="H3358" s="1">
        <v>37230</v>
      </c>
      <c r="I3358" s="1">
        <v>37232</v>
      </c>
      <c r="J3358" t="s">
        <v>15</v>
      </c>
      <c r="K3358">
        <v>2</v>
      </c>
      <c r="L3358">
        <v>10000</v>
      </c>
      <c r="M3358" t="s">
        <v>16</v>
      </c>
      <c r="N3358">
        <v>1</v>
      </c>
    </row>
    <row r="3359" hidden="1" spans="1:14">
      <c r="A3359">
        <v>1981</v>
      </c>
      <c r="B3359">
        <v>0</v>
      </c>
      <c r="C3359" t="s">
        <v>813</v>
      </c>
      <c r="D3359">
        <v>0</v>
      </c>
      <c r="E3359">
        <v>120.563</v>
      </c>
      <c r="F3359">
        <v>15.3403</v>
      </c>
      <c r="G3359">
        <v>20604.45</v>
      </c>
      <c r="H3359" s="1">
        <v>37443</v>
      </c>
      <c r="I3359" s="1">
        <v>37456</v>
      </c>
      <c r="J3359" t="s">
        <v>15</v>
      </c>
      <c r="K3359">
        <v>61</v>
      </c>
      <c r="L3359">
        <v>25000</v>
      </c>
      <c r="M3359" t="s">
        <v>23</v>
      </c>
      <c r="N3359">
        <v>1</v>
      </c>
    </row>
    <row r="3360" hidden="1" spans="1:14">
      <c r="A3360">
        <v>1998</v>
      </c>
      <c r="B3360">
        <v>0</v>
      </c>
      <c r="C3360" t="s">
        <v>813</v>
      </c>
      <c r="D3360">
        <v>0</v>
      </c>
      <c r="E3360">
        <v>121.063</v>
      </c>
      <c r="F3360">
        <v>14.6693</v>
      </c>
      <c r="G3360">
        <v>12840.76</v>
      </c>
      <c r="H3360" s="1">
        <v>37457</v>
      </c>
      <c r="I3360" s="1">
        <v>37465</v>
      </c>
      <c r="J3360" t="s">
        <v>15</v>
      </c>
      <c r="K3360">
        <v>18</v>
      </c>
      <c r="L3360">
        <v>7000</v>
      </c>
      <c r="M3360" t="s">
        <v>86</v>
      </c>
      <c r="N3360">
        <v>1</v>
      </c>
    </row>
    <row r="3361" hidden="1" spans="1:14">
      <c r="A3361">
        <v>2030</v>
      </c>
      <c r="B3361">
        <v>0</v>
      </c>
      <c r="C3361" t="s">
        <v>813</v>
      </c>
      <c r="D3361">
        <v>0</v>
      </c>
      <c r="E3361">
        <v>122.971</v>
      </c>
      <c r="F3361">
        <v>10.1745</v>
      </c>
      <c r="G3361">
        <v>11679.24</v>
      </c>
      <c r="H3361" s="1">
        <v>37481</v>
      </c>
      <c r="I3361" s="1">
        <v>37485</v>
      </c>
      <c r="J3361" t="s">
        <v>15</v>
      </c>
      <c r="K3361">
        <v>29</v>
      </c>
      <c r="L3361">
        <v>3000</v>
      </c>
      <c r="M3361" t="s">
        <v>86</v>
      </c>
      <c r="N3361">
        <v>1</v>
      </c>
    </row>
    <row r="3362" hidden="1" spans="1:14">
      <c r="A3362">
        <v>2189</v>
      </c>
      <c r="B3362">
        <v>0</v>
      </c>
      <c r="C3362" t="s">
        <v>813</v>
      </c>
      <c r="D3362">
        <v>0</v>
      </c>
      <c r="E3362">
        <v>125.58</v>
      </c>
      <c r="F3362">
        <v>6.34483</v>
      </c>
      <c r="G3362">
        <v>371.086</v>
      </c>
      <c r="H3362" s="1">
        <v>37700</v>
      </c>
      <c r="I3362" s="1">
        <v>37701</v>
      </c>
      <c r="J3362" t="s">
        <v>15</v>
      </c>
      <c r="K3362">
        <v>8</v>
      </c>
      <c r="L3362">
        <v>0</v>
      </c>
      <c r="M3362" t="s">
        <v>16</v>
      </c>
      <c r="N3362">
        <v>1</v>
      </c>
    </row>
    <row r="3363" hidden="1" spans="1:14">
      <c r="A3363">
        <v>2235</v>
      </c>
      <c r="B3363">
        <v>0</v>
      </c>
      <c r="C3363" t="s">
        <v>813</v>
      </c>
      <c r="D3363">
        <v>0</v>
      </c>
      <c r="E3363">
        <v>120.74</v>
      </c>
      <c r="F3363">
        <v>15.5956</v>
      </c>
      <c r="G3363">
        <v>17427.04</v>
      </c>
      <c r="H3363" s="1">
        <v>37767</v>
      </c>
      <c r="I3363" s="1">
        <v>37771</v>
      </c>
      <c r="J3363" t="s">
        <v>15</v>
      </c>
      <c r="K3363">
        <v>41</v>
      </c>
      <c r="L3363">
        <v>8357</v>
      </c>
      <c r="M3363" t="s">
        <v>16</v>
      </c>
      <c r="N3363">
        <v>2</v>
      </c>
    </row>
    <row r="3364" hidden="1" spans="1:14">
      <c r="A3364">
        <v>2254</v>
      </c>
      <c r="B3364">
        <v>0</v>
      </c>
      <c r="C3364" t="s">
        <v>813</v>
      </c>
      <c r="D3364">
        <v>0</v>
      </c>
      <c r="E3364">
        <v>125.009</v>
      </c>
      <c r="F3364">
        <v>11.7927</v>
      </c>
      <c r="G3364">
        <v>22834.67</v>
      </c>
      <c r="H3364" s="1">
        <v>37787</v>
      </c>
      <c r="I3364" s="1">
        <v>37790</v>
      </c>
      <c r="J3364" t="s">
        <v>15</v>
      </c>
      <c r="K3364">
        <v>11</v>
      </c>
      <c r="L3364">
        <v>70000</v>
      </c>
      <c r="M3364" t="s">
        <v>103</v>
      </c>
      <c r="N3364">
        <v>1</v>
      </c>
    </row>
    <row r="3365" hidden="1" spans="1:14">
      <c r="A3365">
        <v>2264</v>
      </c>
      <c r="B3365">
        <v>0</v>
      </c>
      <c r="C3365" t="s">
        <v>813</v>
      </c>
      <c r="D3365">
        <v>0</v>
      </c>
      <c r="E3365">
        <v>124.377</v>
      </c>
      <c r="F3365">
        <v>7.04391</v>
      </c>
      <c r="G3365">
        <v>1183.34</v>
      </c>
      <c r="H3365" s="1">
        <v>37797</v>
      </c>
      <c r="I3365" s="1">
        <v>37798</v>
      </c>
      <c r="J3365" t="s">
        <v>15</v>
      </c>
      <c r="K3365">
        <v>2</v>
      </c>
      <c r="L3365">
        <v>10000</v>
      </c>
      <c r="M3365" t="s">
        <v>16</v>
      </c>
      <c r="N3365">
        <v>1</v>
      </c>
    </row>
    <row r="3366" hidden="1" spans="1:14">
      <c r="A3366">
        <v>2284</v>
      </c>
      <c r="B3366">
        <v>0</v>
      </c>
      <c r="C3366" t="s">
        <v>813</v>
      </c>
      <c r="D3366">
        <v>0</v>
      </c>
      <c r="E3366">
        <v>121.267</v>
      </c>
      <c r="F3366">
        <v>16.5019</v>
      </c>
      <c r="G3366">
        <v>70175.04</v>
      </c>
      <c r="H3366" s="1">
        <v>37821</v>
      </c>
      <c r="I3366" s="1">
        <v>37825</v>
      </c>
      <c r="J3366" t="s">
        <v>15</v>
      </c>
      <c r="K3366">
        <v>22</v>
      </c>
      <c r="L3366">
        <v>20000</v>
      </c>
      <c r="M3366" t="s">
        <v>103</v>
      </c>
      <c r="N3366">
        <v>1</v>
      </c>
    </row>
    <row r="3367" hidden="1" spans="1:14">
      <c r="A3367">
        <v>2318</v>
      </c>
      <c r="B3367">
        <v>0</v>
      </c>
      <c r="C3367" t="s">
        <v>813</v>
      </c>
      <c r="E3367">
        <v>120.827</v>
      </c>
      <c r="F3367">
        <v>15.0724</v>
      </c>
      <c r="G3367">
        <v>7446.01</v>
      </c>
      <c r="H3367" s="1">
        <v>37844</v>
      </c>
      <c r="I3367" s="1">
        <v>37851</v>
      </c>
      <c r="J3367" t="s">
        <v>15</v>
      </c>
      <c r="K3367">
        <v>0</v>
      </c>
      <c r="L3367">
        <v>145000</v>
      </c>
      <c r="M3367" t="s">
        <v>16</v>
      </c>
      <c r="N3367">
        <v>1</v>
      </c>
    </row>
    <row r="3368" hidden="1" spans="1:14">
      <c r="A3368">
        <v>2355</v>
      </c>
      <c r="B3368">
        <v>0</v>
      </c>
      <c r="C3368" t="s">
        <v>813</v>
      </c>
      <c r="D3368">
        <v>0</v>
      </c>
      <c r="E3368">
        <v>122.896</v>
      </c>
      <c r="F3368">
        <v>9.35044</v>
      </c>
      <c r="G3368">
        <v>116.886</v>
      </c>
      <c r="H3368" s="1">
        <v>37885</v>
      </c>
      <c r="I3368" s="1">
        <v>37886</v>
      </c>
      <c r="J3368" t="s">
        <v>15</v>
      </c>
      <c r="K3368">
        <v>9</v>
      </c>
      <c r="L3368">
        <v>0</v>
      </c>
      <c r="M3368" t="s">
        <v>18</v>
      </c>
      <c r="N3368">
        <v>1</v>
      </c>
    </row>
    <row r="3369" hidden="1" spans="1:14">
      <c r="A3369">
        <v>2407</v>
      </c>
      <c r="B3369">
        <v>0</v>
      </c>
      <c r="C3369" t="s">
        <v>813</v>
      </c>
      <c r="D3369">
        <v>0</v>
      </c>
      <c r="E3369">
        <v>125.766</v>
      </c>
      <c r="F3369">
        <v>8.88198</v>
      </c>
      <c r="G3369">
        <v>12916.99</v>
      </c>
      <c r="H3369" s="1">
        <v>37974</v>
      </c>
      <c r="I3369" s="1">
        <v>37993</v>
      </c>
      <c r="J3369" t="s">
        <v>15</v>
      </c>
      <c r="K3369">
        <v>200</v>
      </c>
      <c r="L3369">
        <v>97500</v>
      </c>
      <c r="M3369" t="s">
        <v>16</v>
      </c>
      <c r="N3369">
        <v>1</v>
      </c>
    </row>
    <row r="3370" hidden="1" spans="1:14">
      <c r="A3370">
        <v>2434</v>
      </c>
      <c r="B3370">
        <v>0</v>
      </c>
      <c r="C3370" t="s">
        <v>813</v>
      </c>
      <c r="D3370">
        <v>0</v>
      </c>
      <c r="E3370">
        <v>125.744</v>
      </c>
      <c r="F3370">
        <v>8.22929</v>
      </c>
      <c r="G3370">
        <v>20372.96</v>
      </c>
      <c r="H3370" s="1">
        <v>38028</v>
      </c>
      <c r="I3370" s="1">
        <v>38042</v>
      </c>
      <c r="J3370" t="s">
        <v>15</v>
      </c>
      <c r="K3370">
        <v>7</v>
      </c>
      <c r="L3370">
        <v>20000</v>
      </c>
      <c r="M3370" t="s">
        <v>16</v>
      </c>
      <c r="N3370">
        <v>1</v>
      </c>
    </row>
    <row r="3371" hidden="1" spans="1:14">
      <c r="A3371">
        <v>2514</v>
      </c>
      <c r="B3371">
        <v>0</v>
      </c>
      <c r="C3371" t="s">
        <v>813</v>
      </c>
      <c r="D3371">
        <v>0</v>
      </c>
      <c r="E3371">
        <v>124.576</v>
      </c>
      <c r="F3371">
        <v>7.37715</v>
      </c>
      <c r="G3371">
        <v>2079.62</v>
      </c>
      <c r="H3371" s="1">
        <v>38166</v>
      </c>
      <c r="I3371" s="1">
        <v>38168</v>
      </c>
      <c r="J3371" t="s">
        <v>15</v>
      </c>
      <c r="K3371">
        <v>5</v>
      </c>
      <c r="L3371">
        <v>1200</v>
      </c>
      <c r="M3371" t="s">
        <v>16</v>
      </c>
      <c r="N3371">
        <v>1</v>
      </c>
    </row>
    <row r="3372" hidden="1" spans="1:14">
      <c r="A3372">
        <v>2516</v>
      </c>
      <c r="B3372">
        <v>0</v>
      </c>
      <c r="C3372" t="s">
        <v>813</v>
      </c>
      <c r="D3372" t="s">
        <v>274</v>
      </c>
      <c r="E3372">
        <v>121.41</v>
      </c>
      <c r="F3372">
        <v>17.5033</v>
      </c>
      <c r="G3372">
        <v>84821.82</v>
      </c>
      <c r="H3372" s="1">
        <v>38167</v>
      </c>
      <c r="I3372" s="1">
        <v>38181</v>
      </c>
      <c r="J3372" t="s">
        <v>15</v>
      </c>
      <c r="K3372">
        <v>54</v>
      </c>
      <c r="L3372">
        <v>385000</v>
      </c>
      <c r="M3372" t="s">
        <v>86</v>
      </c>
      <c r="N3372">
        <v>2</v>
      </c>
    </row>
    <row r="3373" hidden="1" spans="1:14">
      <c r="A3373">
        <v>2539</v>
      </c>
      <c r="B3373">
        <v>0</v>
      </c>
      <c r="C3373" t="s">
        <v>813</v>
      </c>
      <c r="D3373">
        <v>0</v>
      </c>
      <c r="E3373">
        <v>124.577</v>
      </c>
      <c r="F3373">
        <v>7.02107</v>
      </c>
      <c r="G3373">
        <v>2439.38</v>
      </c>
      <c r="H3373" s="1">
        <v>38199</v>
      </c>
      <c r="I3373" s="1">
        <v>38212</v>
      </c>
      <c r="J3373" t="s">
        <v>15</v>
      </c>
      <c r="K3373">
        <v>0</v>
      </c>
      <c r="L3373">
        <v>80000</v>
      </c>
      <c r="M3373" t="s">
        <v>16</v>
      </c>
      <c r="N3373">
        <v>1</v>
      </c>
    </row>
    <row r="3374" hidden="1" spans="1:14">
      <c r="A3374">
        <v>2554</v>
      </c>
      <c r="B3374">
        <v>0</v>
      </c>
      <c r="C3374" t="s">
        <v>813</v>
      </c>
      <c r="D3374" t="s">
        <v>274</v>
      </c>
      <c r="E3374">
        <v>120.754</v>
      </c>
      <c r="F3374">
        <v>15.5474</v>
      </c>
      <c r="G3374">
        <v>38781.5</v>
      </c>
      <c r="H3374" s="1">
        <v>38223</v>
      </c>
      <c r="I3374" s="1">
        <v>38242</v>
      </c>
      <c r="J3374" t="s">
        <v>15</v>
      </c>
      <c r="K3374">
        <v>67</v>
      </c>
      <c r="L3374">
        <v>1058849</v>
      </c>
      <c r="M3374" t="s">
        <v>86</v>
      </c>
      <c r="N3374">
        <v>2</v>
      </c>
    </row>
    <row r="3375" hidden="1" spans="1:14">
      <c r="A3375">
        <v>2587</v>
      </c>
      <c r="B3375">
        <v>0</v>
      </c>
      <c r="C3375" t="s">
        <v>813</v>
      </c>
      <c r="D3375">
        <v>0</v>
      </c>
      <c r="E3375">
        <v>123.387</v>
      </c>
      <c r="F3375">
        <v>13.4313</v>
      </c>
      <c r="G3375">
        <v>14671.98</v>
      </c>
      <c r="H3375" s="1">
        <v>38310</v>
      </c>
      <c r="I3375" s="1">
        <v>38320</v>
      </c>
      <c r="J3375" t="s">
        <v>15</v>
      </c>
      <c r="K3375">
        <v>61</v>
      </c>
      <c r="L3375">
        <v>35000</v>
      </c>
      <c r="M3375" t="s">
        <v>86</v>
      </c>
      <c r="N3375">
        <v>1</v>
      </c>
    </row>
    <row r="3376" hidden="1" spans="1:14">
      <c r="A3376">
        <v>2589</v>
      </c>
      <c r="B3376">
        <v>0</v>
      </c>
      <c r="C3376" t="s">
        <v>813</v>
      </c>
      <c r="D3376">
        <v>0</v>
      </c>
      <c r="E3376">
        <v>121.706</v>
      </c>
      <c r="F3376">
        <v>16.3889</v>
      </c>
      <c r="G3376">
        <v>21572.62</v>
      </c>
      <c r="H3376" s="1">
        <v>38314</v>
      </c>
      <c r="I3376" s="1">
        <v>38319</v>
      </c>
      <c r="J3376" t="s">
        <v>15</v>
      </c>
      <c r="K3376">
        <v>26</v>
      </c>
      <c r="L3376">
        <v>8000</v>
      </c>
      <c r="M3376" t="s">
        <v>86</v>
      </c>
      <c r="N3376">
        <v>1</v>
      </c>
    </row>
    <row r="3377" hidden="1" spans="1:14">
      <c r="A3377">
        <v>2592</v>
      </c>
      <c r="B3377">
        <v>0</v>
      </c>
      <c r="C3377" t="s">
        <v>813</v>
      </c>
      <c r="D3377">
        <v>0</v>
      </c>
      <c r="E3377">
        <v>121.243</v>
      </c>
      <c r="F3377">
        <v>15.1788</v>
      </c>
      <c r="G3377">
        <v>39971.51</v>
      </c>
      <c r="H3377" s="1">
        <v>38320</v>
      </c>
      <c r="I3377" s="1">
        <v>38343</v>
      </c>
      <c r="J3377" t="s">
        <v>15</v>
      </c>
      <c r="K3377">
        <v>939</v>
      </c>
      <c r="L3377">
        <v>432000</v>
      </c>
      <c r="M3377" t="s">
        <v>16</v>
      </c>
      <c r="N3377">
        <v>1</v>
      </c>
    </row>
    <row r="3378" hidden="1" spans="1:14">
      <c r="A3378">
        <v>2699</v>
      </c>
      <c r="B3378">
        <v>0</v>
      </c>
      <c r="C3378" t="s">
        <v>813</v>
      </c>
      <c r="D3378">
        <v>0</v>
      </c>
      <c r="E3378">
        <v>122.905</v>
      </c>
      <c r="F3378">
        <v>10.4097</v>
      </c>
      <c r="G3378">
        <v>1058.18</v>
      </c>
      <c r="H3378" s="1">
        <v>38560</v>
      </c>
      <c r="I3378" s="1">
        <v>38563</v>
      </c>
      <c r="J3378" t="s">
        <v>15</v>
      </c>
      <c r="K3378">
        <v>3</v>
      </c>
      <c r="L3378">
        <v>32782</v>
      </c>
      <c r="M3378" t="s">
        <v>23</v>
      </c>
      <c r="N3378">
        <v>1</v>
      </c>
    </row>
    <row r="3379" hidden="1" spans="1:14">
      <c r="A3379">
        <v>2730</v>
      </c>
      <c r="B3379">
        <v>0</v>
      </c>
      <c r="C3379" t="s">
        <v>813</v>
      </c>
      <c r="D3379">
        <v>0</v>
      </c>
      <c r="E3379">
        <v>120.983</v>
      </c>
      <c r="F3379">
        <v>15.301</v>
      </c>
      <c r="G3379">
        <v>12975.73</v>
      </c>
      <c r="H3379" s="1">
        <v>38610</v>
      </c>
      <c r="I3379" s="1">
        <v>38622</v>
      </c>
      <c r="J3379" t="s">
        <v>15</v>
      </c>
      <c r="K3379">
        <v>16</v>
      </c>
      <c r="L3379">
        <v>8000</v>
      </c>
      <c r="M3379" t="s">
        <v>23</v>
      </c>
      <c r="N3379">
        <v>1</v>
      </c>
    </row>
    <row r="3380" hidden="1" spans="1:14">
      <c r="A3380">
        <v>2785</v>
      </c>
      <c r="B3380">
        <v>0</v>
      </c>
      <c r="C3380" t="s">
        <v>813</v>
      </c>
      <c r="D3380">
        <v>0</v>
      </c>
      <c r="E3380">
        <v>121.817</v>
      </c>
      <c r="F3380">
        <v>17.0173</v>
      </c>
      <c r="G3380">
        <v>63468.41</v>
      </c>
      <c r="H3380" s="1">
        <v>38743</v>
      </c>
      <c r="I3380" s="1">
        <v>38753</v>
      </c>
      <c r="J3380" t="s">
        <v>15</v>
      </c>
      <c r="K3380">
        <v>4</v>
      </c>
      <c r="L3380">
        <v>256641</v>
      </c>
      <c r="M3380" t="s">
        <v>16</v>
      </c>
      <c r="N3380">
        <v>1</v>
      </c>
    </row>
    <row r="3381" hidden="1" spans="1:14">
      <c r="A3381">
        <v>2800</v>
      </c>
      <c r="B3381">
        <v>0</v>
      </c>
      <c r="C3381" t="s">
        <v>813</v>
      </c>
      <c r="D3381">
        <v>0</v>
      </c>
      <c r="E3381">
        <v>125.115</v>
      </c>
      <c r="F3381">
        <v>8.15732</v>
      </c>
      <c r="G3381">
        <v>78789.89</v>
      </c>
      <c r="H3381" s="1">
        <v>38758</v>
      </c>
      <c r="I3381" s="1">
        <v>38766</v>
      </c>
      <c r="J3381" t="s">
        <v>15</v>
      </c>
      <c r="K3381">
        <v>20</v>
      </c>
      <c r="L3381">
        <v>30000</v>
      </c>
      <c r="M3381" t="s">
        <v>23</v>
      </c>
      <c r="N3381">
        <v>1</v>
      </c>
    </row>
    <row r="3382" hidden="1" spans="1:14">
      <c r="A3382">
        <v>2814</v>
      </c>
      <c r="B3382">
        <v>0</v>
      </c>
      <c r="C3382" t="s">
        <v>813</v>
      </c>
      <c r="D3382">
        <v>0</v>
      </c>
      <c r="E3382">
        <v>125.565</v>
      </c>
      <c r="F3382">
        <v>7.17194</v>
      </c>
      <c r="G3382">
        <v>628.611</v>
      </c>
      <c r="H3382" s="1">
        <v>38780</v>
      </c>
      <c r="I3382" s="1">
        <v>38782</v>
      </c>
      <c r="J3382" t="s">
        <v>15</v>
      </c>
      <c r="K3382">
        <v>1</v>
      </c>
      <c r="L3382">
        <v>1000</v>
      </c>
      <c r="M3382" t="s">
        <v>16</v>
      </c>
      <c r="N3382">
        <v>1</v>
      </c>
    </row>
    <row r="3383" hidden="1" spans="1:14">
      <c r="A3383">
        <v>2862</v>
      </c>
      <c r="B3383">
        <v>0</v>
      </c>
      <c r="C3383" t="s">
        <v>813</v>
      </c>
      <c r="D3383">
        <v>0</v>
      </c>
      <c r="E3383">
        <v>124.86</v>
      </c>
      <c r="F3383">
        <v>11.2409</v>
      </c>
      <c r="G3383">
        <v>24930.1</v>
      </c>
      <c r="H3383" s="1">
        <v>38848</v>
      </c>
      <c r="I3383" s="1">
        <v>38851</v>
      </c>
      <c r="J3383" t="s">
        <v>15</v>
      </c>
      <c r="K3383">
        <v>41</v>
      </c>
      <c r="L3383">
        <v>42000</v>
      </c>
      <c r="M3383" t="s">
        <v>103</v>
      </c>
      <c r="N3383">
        <v>1</v>
      </c>
    </row>
    <row r="3384" hidden="1" spans="1:14">
      <c r="A3384">
        <v>2921</v>
      </c>
      <c r="B3384" t="s">
        <v>814</v>
      </c>
      <c r="C3384" t="s">
        <v>813</v>
      </c>
      <c r="D3384" t="s">
        <v>273</v>
      </c>
      <c r="E3384">
        <v>112.108</v>
      </c>
      <c r="F3384">
        <v>24.0035</v>
      </c>
      <c r="G3384">
        <v>612225.68</v>
      </c>
      <c r="H3384" s="1">
        <v>38909</v>
      </c>
      <c r="I3384" s="1">
        <v>38917</v>
      </c>
      <c r="J3384" t="s">
        <v>15</v>
      </c>
      <c r="K3384">
        <v>629</v>
      </c>
      <c r="L3384">
        <v>2450000</v>
      </c>
      <c r="M3384" t="s">
        <v>103</v>
      </c>
      <c r="N3384">
        <v>2</v>
      </c>
    </row>
    <row r="3385" hidden="1" spans="1:14">
      <c r="A3385">
        <v>2932</v>
      </c>
      <c r="B3385" t="s">
        <v>815</v>
      </c>
      <c r="C3385" t="s">
        <v>813</v>
      </c>
      <c r="D3385" t="s">
        <v>273</v>
      </c>
      <c r="E3385">
        <v>117.284</v>
      </c>
      <c r="F3385">
        <v>26.394</v>
      </c>
      <c r="G3385">
        <v>350925.23</v>
      </c>
      <c r="H3385" s="1">
        <v>38922</v>
      </c>
      <c r="I3385" s="1">
        <v>38926</v>
      </c>
      <c r="J3385" t="s">
        <v>15</v>
      </c>
      <c r="K3385">
        <v>36</v>
      </c>
      <c r="L3385">
        <v>1500000</v>
      </c>
      <c r="M3385" t="s">
        <v>103</v>
      </c>
      <c r="N3385">
        <v>1</v>
      </c>
    </row>
    <row r="3386" hidden="1" spans="1:14">
      <c r="A3386">
        <v>2937</v>
      </c>
      <c r="B3386">
        <v>0</v>
      </c>
      <c r="C3386" t="s">
        <v>813</v>
      </c>
      <c r="D3386">
        <v>0</v>
      </c>
      <c r="E3386">
        <v>120.74</v>
      </c>
      <c r="F3386">
        <v>15.862</v>
      </c>
      <c r="G3386">
        <v>2751.41</v>
      </c>
      <c r="H3386" s="1">
        <v>38928</v>
      </c>
      <c r="I3386" s="1">
        <v>38931</v>
      </c>
      <c r="J3386" t="s">
        <v>15</v>
      </c>
      <c r="K3386">
        <v>8</v>
      </c>
      <c r="L3386">
        <v>476027</v>
      </c>
      <c r="M3386" t="s">
        <v>103</v>
      </c>
      <c r="N3386">
        <v>1</v>
      </c>
    </row>
    <row r="3387" hidden="1" spans="1:14">
      <c r="A3387">
        <v>2941</v>
      </c>
      <c r="B3387" t="s">
        <v>816</v>
      </c>
      <c r="C3387" t="s">
        <v>813</v>
      </c>
      <c r="D3387" t="s">
        <v>273</v>
      </c>
      <c r="E3387">
        <v>110.113</v>
      </c>
      <c r="F3387">
        <v>21.1117</v>
      </c>
      <c r="G3387">
        <v>162839.52</v>
      </c>
      <c r="H3387" s="1">
        <v>38931</v>
      </c>
      <c r="I3387" s="1">
        <v>38935</v>
      </c>
      <c r="J3387" t="s">
        <v>15</v>
      </c>
      <c r="K3387">
        <v>87</v>
      </c>
      <c r="L3387">
        <v>840000</v>
      </c>
      <c r="M3387" t="s">
        <v>103</v>
      </c>
      <c r="N3387">
        <v>1</v>
      </c>
    </row>
    <row r="3388" hidden="1" spans="1:14">
      <c r="A3388">
        <v>2969</v>
      </c>
      <c r="B3388" t="s">
        <v>817</v>
      </c>
      <c r="C3388" t="s">
        <v>813</v>
      </c>
      <c r="D3388" t="s">
        <v>239</v>
      </c>
      <c r="E3388">
        <v>107.206</v>
      </c>
      <c r="F3388">
        <v>16.6788</v>
      </c>
      <c r="G3388">
        <v>69819.97</v>
      </c>
      <c r="H3388" s="1">
        <v>38987</v>
      </c>
      <c r="I3388" s="1">
        <v>38996</v>
      </c>
      <c r="J3388" t="s">
        <v>15</v>
      </c>
      <c r="K3388">
        <v>260</v>
      </c>
      <c r="L3388">
        <v>250000</v>
      </c>
      <c r="M3388" t="s">
        <v>16</v>
      </c>
      <c r="N3388">
        <v>1</v>
      </c>
    </row>
    <row r="3389" hidden="1" spans="1:14">
      <c r="A3389">
        <v>2981</v>
      </c>
      <c r="B3389">
        <v>0</v>
      </c>
      <c r="C3389" t="s">
        <v>813</v>
      </c>
      <c r="D3389">
        <v>0</v>
      </c>
      <c r="E3389">
        <v>125.834</v>
      </c>
      <c r="F3389">
        <v>7.61046</v>
      </c>
      <c r="G3389">
        <v>3683.47</v>
      </c>
      <c r="H3389" s="1">
        <v>39011</v>
      </c>
      <c r="I3389" s="1">
        <v>39017</v>
      </c>
      <c r="J3389" t="s">
        <v>15</v>
      </c>
      <c r="K3389">
        <v>1</v>
      </c>
      <c r="L3389">
        <v>40000</v>
      </c>
      <c r="M3389" t="s">
        <v>16</v>
      </c>
      <c r="N3389">
        <v>1</v>
      </c>
    </row>
    <row r="3390" hidden="1" spans="1:14">
      <c r="A3390">
        <v>2988</v>
      </c>
      <c r="B3390" t="s">
        <v>818</v>
      </c>
      <c r="C3390" t="s">
        <v>813</v>
      </c>
      <c r="D3390">
        <v>0</v>
      </c>
      <c r="E3390">
        <v>121.805</v>
      </c>
      <c r="F3390">
        <v>17.262</v>
      </c>
      <c r="G3390">
        <v>23984.7</v>
      </c>
      <c r="H3390" s="1">
        <v>39020</v>
      </c>
      <c r="I3390" s="1">
        <v>39022</v>
      </c>
      <c r="J3390" t="s">
        <v>15</v>
      </c>
      <c r="K3390">
        <v>19</v>
      </c>
      <c r="L3390">
        <v>300000</v>
      </c>
      <c r="M3390" t="s">
        <v>16</v>
      </c>
      <c r="N3390">
        <v>1</v>
      </c>
    </row>
    <row r="3391" hidden="1" spans="1:14">
      <c r="A3391">
        <v>3002</v>
      </c>
      <c r="B3391" t="s">
        <v>819</v>
      </c>
      <c r="C3391" t="s">
        <v>813</v>
      </c>
      <c r="D3391" t="s">
        <v>239</v>
      </c>
      <c r="E3391">
        <v>106.736</v>
      </c>
      <c r="F3391">
        <v>10.3297</v>
      </c>
      <c r="G3391">
        <v>45657.96</v>
      </c>
      <c r="H3391" s="1">
        <v>39051</v>
      </c>
      <c r="I3391" s="1">
        <v>39059</v>
      </c>
      <c r="J3391" t="s">
        <v>15</v>
      </c>
      <c r="K3391">
        <v>526</v>
      </c>
      <c r="L3391">
        <v>82915</v>
      </c>
      <c r="M3391" t="s">
        <v>16</v>
      </c>
      <c r="N3391">
        <v>1</v>
      </c>
    </row>
    <row r="3392" hidden="1" spans="1:14">
      <c r="A3392">
        <v>3008</v>
      </c>
      <c r="B3392" t="s">
        <v>820</v>
      </c>
      <c r="C3392" t="s">
        <v>813</v>
      </c>
      <c r="D3392">
        <v>0</v>
      </c>
      <c r="E3392">
        <v>124.771</v>
      </c>
      <c r="F3392">
        <v>12.4447</v>
      </c>
      <c r="G3392">
        <v>1618.27</v>
      </c>
      <c r="H3392" s="1">
        <v>39080</v>
      </c>
      <c r="I3392" s="1">
        <v>39097</v>
      </c>
      <c r="J3392" t="s">
        <v>15</v>
      </c>
      <c r="K3392">
        <v>12</v>
      </c>
      <c r="L3392">
        <v>50000</v>
      </c>
      <c r="M3392" t="s">
        <v>16</v>
      </c>
      <c r="N3392">
        <v>1</v>
      </c>
    </row>
    <row r="3393" hidden="1" spans="1:14">
      <c r="A3393">
        <v>3014</v>
      </c>
      <c r="B3393">
        <v>0</v>
      </c>
      <c r="C3393" t="s">
        <v>813</v>
      </c>
      <c r="D3393">
        <v>0</v>
      </c>
      <c r="E3393">
        <v>125.217</v>
      </c>
      <c r="F3393">
        <v>7.71183</v>
      </c>
      <c r="G3393">
        <v>44621.63</v>
      </c>
      <c r="H3393" s="1">
        <v>39092</v>
      </c>
      <c r="I3393" s="1">
        <v>39106</v>
      </c>
      <c r="J3393" t="s">
        <v>15</v>
      </c>
      <c r="K3393">
        <v>6</v>
      </c>
      <c r="L3393">
        <v>24508</v>
      </c>
      <c r="M3393" t="s">
        <v>16</v>
      </c>
      <c r="N3393">
        <v>1</v>
      </c>
    </row>
    <row r="3394" hidden="1" spans="1:14">
      <c r="A3394">
        <v>3173</v>
      </c>
      <c r="B3394">
        <v>0</v>
      </c>
      <c r="C3394" t="s">
        <v>813</v>
      </c>
      <c r="E3394">
        <v>119.914</v>
      </c>
      <c r="F3394">
        <v>27.0039</v>
      </c>
      <c r="G3394">
        <v>460403.43</v>
      </c>
      <c r="H3394" s="1">
        <v>39311</v>
      </c>
      <c r="I3394" s="1">
        <v>39318</v>
      </c>
      <c r="J3394" t="s">
        <v>15</v>
      </c>
      <c r="K3394">
        <v>42</v>
      </c>
      <c r="L3394">
        <v>600000</v>
      </c>
      <c r="M3394" t="s">
        <v>86</v>
      </c>
      <c r="N3394">
        <v>1.5</v>
      </c>
    </row>
    <row r="3395" hidden="1" spans="1:14">
      <c r="A3395">
        <v>3216</v>
      </c>
      <c r="B3395">
        <v>0</v>
      </c>
      <c r="C3395" t="s">
        <v>813</v>
      </c>
      <c r="D3395">
        <v>0</v>
      </c>
      <c r="E3395">
        <v>123.381</v>
      </c>
      <c r="F3395">
        <v>13.3575</v>
      </c>
      <c r="G3395">
        <v>4597.66</v>
      </c>
      <c r="H3395" s="1">
        <v>39382</v>
      </c>
      <c r="I3395" s="1">
        <v>39388</v>
      </c>
      <c r="J3395" t="s">
        <v>15</v>
      </c>
      <c r="K3395">
        <v>20</v>
      </c>
      <c r="L3395">
        <v>0</v>
      </c>
      <c r="M3395" t="s">
        <v>16</v>
      </c>
      <c r="N3395">
        <v>1</v>
      </c>
    </row>
    <row r="3396" hidden="1" spans="1:14">
      <c r="A3396">
        <v>3222</v>
      </c>
      <c r="B3396">
        <v>0</v>
      </c>
      <c r="C3396" t="s">
        <v>813</v>
      </c>
      <c r="D3396">
        <v>0</v>
      </c>
      <c r="E3396">
        <v>121.763</v>
      </c>
      <c r="F3396">
        <v>17.5689</v>
      </c>
      <c r="G3396">
        <v>25809.14</v>
      </c>
      <c r="H3396" s="1">
        <v>39390</v>
      </c>
      <c r="I3396" s="1">
        <v>39392</v>
      </c>
      <c r="J3396" t="s">
        <v>15</v>
      </c>
      <c r="K3396">
        <v>7</v>
      </c>
      <c r="L3396">
        <v>2000</v>
      </c>
      <c r="M3396" t="s">
        <v>86</v>
      </c>
      <c r="N3396">
        <v>1</v>
      </c>
    </row>
    <row r="3397" hidden="1" spans="1:14">
      <c r="A3397">
        <v>3229</v>
      </c>
      <c r="B3397" t="s">
        <v>821</v>
      </c>
      <c r="C3397" t="s">
        <v>813</v>
      </c>
      <c r="D3397">
        <v>0</v>
      </c>
      <c r="E3397">
        <v>124.833</v>
      </c>
      <c r="F3397">
        <v>8.79613</v>
      </c>
      <c r="G3397">
        <v>11139.89</v>
      </c>
      <c r="H3397" s="1">
        <v>39404</v>
      </c>
      <c r="I3397" s="1">
        <v>39409</v>
      </c>
      <c r="J3397" t="s">
        <v>15</v>
      </c>
      <c r="K3397">
        <v>13</v>
      </c>
      <c r="L3397">
        <v>15000</v>
      </c>
      <c r="M3397" t="s">
        <v>86</v>
      </c>
      <c r="N3397">
        <v>1</v>
      </c>
    </row>
    <row r="3398" hidden="1" spans="1:14">
      <c r="A3398">
        <v>3232</v>
      </c>
      <c r="B3398">
        <v>0</v>
      </c>
      <c r="C3398" t="s">
        <v>813</v>
      </c>
      <c r="D3398">
        <v>0</v>
      </c>
      <c r="E3398">
        <v>122.01</v>
      </c>
      <c r="F3398">
        <v>17.0782</v>
      </c>
      <c r="G3398">
        <v>33589.73</v>
      </c>
      <c r="H3398" s="1">
        <v>39411</v>
      </c>
      <c r="I3398" s="1">
        <v>39418</v>
      </c>
      <c r="J3398" t="s">
        <v>15</v>
      </c>
      <c r="K3398">
        <v>29</v>
      </c>
      <c r="L3398">
        <v>540000</v>
      </c>
      <c r="M3398" t="s">
        <v>86</v>
      </c>
      <c r="N3398">
        <v>1</v>
      </c>
    </row>
    <row r="3399" hidden="1" spans="1:14">
      <c r="A3399">
        <v>3273</v>
      </c>
      <c r="B3399" t="s">
        <v>822</v>
      </c>
      <c r="C3399" t="s">
        <v>813</v>
      </c>
      <c r="D3399">
        <v>0</v>
      </c>
      <c r="E3399">
        <v>125.935</v>
      </c>
      <c r="F3399">
        <v>8.53552</v>
      </c>
      <c r="G3399">
        <v>41665.93</v>
      </c>
      <c r="H3399" s="1">
        <v>39490</v>
      </c>
      <c r="I3399" s="1">
        <v>39519</v>
      </c>
      <c r="J3399" t="s">
        <v>15</v>
      </c>
      <c r="K3399">
        <v>54</v>
      </c>
      <c r="L3399">
        <v>873000</v>
      </c>
      <c r="M3399" t="s">
        <v>16</v>
      </c>
      <c r="N3399">
        <v>1</v>
      </c>
    </row>
    <row r="3400" hidden="1" spans="1:14">
      <c r="A3400">
        <v>3305</v>
      </c>
      <c r="B3400" t="s">
        <v>823</v>
      </c>
      <c r="C3400" t="s">
        <v>813</v>
      </c>
      <c r="D3400">
        <v>0</v>
      </c>
      <c r="E3400">
        <v>124.998</v>
      </c>
      <c r="F3400">
        <v>7.0952</v>
      </c>
      <c r="G3400">
        <v>26746.42</v>
      </c>
      <c r="H3400" s="1">
        <v>39578</v>
      </c>
      <c r="I3400" s="1">
        <v>39586</v>
      </c>
      <c r="J3400" t="s">
        <v>15</v>
      </c>
      <c r="K3400">
        <v>1</v>
      </c>
      <c r="L3400">
        <v>50000</v>
      </c>
      <c r="M3400" t="s">
        <v>86</v>
      </c>
      <c r="N3400">
        <v>1</v>
      </c>
    </row>
    <row r="3401" hidden="1" spans="1:14">
      <c r="A3401">
        <v>3307</v>
      </c>
      <c r="B3401" t="s">
        <v>824</v>
      </c>
      <c r="C3401" t="s">
        <v>813</v>
      </c>
      <c r="D3401">
        <v>0</v>
      </c>
      <c r="E3401">
        <v>120.556</v>
      </c>
      <c r="F3401">
        <v>17.1246</v>
      </c>
      <c r="G3401">
        <v>14848.59</v>
      </c>
      <c r="H3401" s="1">
        <v>39586</v>
      </c>
      <c r="I3401" s="1">
        <v>39590</v>
      </c>
      <c r="J3401" t="s">
        <v>15</v>
      </c>
      <c r="K3401">
        <v>37</v>
      </c>
      <c r="L3401">
        <v>34000</v>
      </c>
      <c r="M3401" t="s">
        <v>86</v>
      </c>
      <c r="N3401">
        <v>1</v>
      </c>
    </row>
    <row r="3402" hidden="1" spans="1:14">
      <c r="A3402">
        <v>3320</v>
      </c>
      <c r="B3402" t="s">
        <v>825</v>
      </c>
      <c r="C3402" t="s">
        <v>813</v>
      </c>
      <c r="D3402">
        <v>0</v>
      </c>
      <c r="E3402">
        <v>123.27</v>
      </c>
      <c r="F3402">
        <v>11.6336</v>
      </c>
      <c r="G3402">
        <v>178346.08</v>
      </c>
      <c r="H3402" s="1">
        <v>39620</v>
      </c>
      <c r="I3402" s="1">
        <v>39622</v>
      </c>
      <c r="J3402" t="s">
        <v>15</v>
      </c>
      <c r="K3402">
        <v>1000</v>
      </c>
      <c r="L3402">
        <v>0</v>
      </c>
      <c r="M3402" t="s">
        <v>826</v>
      </c>
      <c r="N3402">
        <v>1.5</v>
      </c>
    </row>
    <row r="3403" hidden="1" spans="1:14">
      <c r="A3403">
        <v>3339</v>
      </c>
      <c r="B3403">
        <v>0</v>
      </c>
      <c r="C3403" t="s">
        <v>813</v>
      </c>
      <c r="E3403">
        <v>120.975</v>
      </c>
      <c r="F3403">
        <v>23.3463</v>
      </c>
      <c r="G3403">
        <v>61672.68</v>
      </c>
      <c r="H3403" s="1">
        <v>39657</v>
      </c>
      <c r="I3403" s="1">
        <v>39658</v>
      </c>
      <c r="J3403" t="s">
        <v>15</v>
      </c>
      <c r="K3403">
        <v>4</v>
      </c>
      <c r="L3403">
        <v>76000</v>
      </c>
      <c r="M3403" t="s">
        <v>827</v>
      </c>
      <c r="N3403">
        <v>2</v>
      </c>
    </row>
    <row r="3404" hidden="1" spans="1:14">
      <c r="A3404">
        <v>3409</v>
      </c>
      <c r="B3404">
        <v>0</v>
      </c>
      <c r="C3404" t="s">
        <v>813</v>
      </c>
      <c r="D3404">
        <v>0</v>
      </c>
      <c r="E3404">
        <v>121.351</v>
      </c>
      <c r="F3404">
        <v>17.9542</v>
      </c>
      <c r="G3404">
        <v>21766.04</v>
      </c>
      <c r="H3404" s="1">
        <v>39770</v>
      </c>
      <c r="I3404" s="1">
        <v>39776</v>
      </c>
      <c r="J3404" t="s">
        <v>15</v>
      </c>
      <c r="K3404">
        <v>6</v>
      </c>
      <c r="L3404">
        <v>30000</v>
      </c>
      <c r="M3404" t="s">
        <v>49</v>
      </c>
      <c r="N3404">
        <v>1</v>
      </c>
    </row>
    <row r="3405" hidden="1" spans="1:14">
      <c r="A3405">
        <v>3415</v>
      </c>
      <c r="B3405">
        <v>0</v>
      </c>
      <c r="C3405" t="s">
        <v>813</v>
      </c>
      <c r="D3405">
        <v>0</v>
      </c>
      <c r="E3405">
        <v>121.769</v>
      </c>
      <c r="F3405">
        <v>17.2041</v>
      </c>
      <c r="G3405">
        <v>24107.57</v>
      </c>
      <c r="H3405" s="1">
        <v>39783</v>
      </c>
      <c r="I3405" s="1">
        <v>39786</v>
      </c>
      <c r="J3405" t="s">
        <v>15</v>
      </c>
      <c r="K3405">
        <v>0</v>
      </c>
      <c r="L3405">
        <v>0</v>
      </c>
      <c r="M3405" t="s">
        <v>828</v>
      </c>
      <c r="N3405">
        <v>2</v>
      </c>
    </row>
    <row r="3406" hidden="1" spans="1:14">
      <c r="A3406">
        <v>3427</v>
      </c>
      <c r="B3406" t="s">
        <v>829</v>
      </c>
      <c r="C3406" t="s">
        <v>813</v>
      </c>
      <c r="D3406">
        <v>0</v>
      </c>
      <c r="E3406">
        <v>125.04</v>
      </c>
      <c r="F3406">
        <v>8.44783</v>
      </c>
      <c r="G3406">
        <v>36190.07</v>
      </c>
      <c r="H3406" s="1">
        <v>39810</v>
      </c>
      <c r="I3406" s="1">
        <v>39832</v>
      </c>
      <c r="J3406" t="s">
        <v>15</v>
      </c>
      <c r="K3406">
        <v>25</v>
      </c>
      <c r="L3406">
        <v>3500</v>
      </c>
      <c r="M3406" t="s">
        <v>49</v>
      </c>
      <c r="N3406">
        <v>1</v>
      </c>
    </row>
    <row r="3407" hidden="1" spans="1:14">
      <c r="A3407">
        <v>3437</v>
      </c>
      <c r="B3407">
        <v>0</v>
      </c>
      <c r="C3407" t="s">
        <v>813</v>
      </c>
      <c r="D3407">
        <v>0</v>
      </c>
      <c r="E3407">
        <v>124.958</v>
      </c>
      <c r="F3407">
        <v>7.12112</v>
      </c>
      <c r="G3407">
        <v>17181.28</v>
      </c>
      <c r="H3407" s="1">
        <v>39833</v>
      </c>
      <c r="I3407" s="1">
        <v>39840</v>
      </c>
      <c r="J3407" t="s">
        <v>15</v>
      </c>
      <c r="K3407">
        <v>11</v>
      </c>
      <c r="L3407">
        <v>0</v>
      </c>
      <c r="M3407" t="s">
        <v>49</v>
      </c>
      <c r="N3407">
        <v>1</v>
      </c>
    </row>
    <row r="3408" hidden="1" spans="1:14">
      <c r="A3408">
        <v>3444</v>
      </c>
      <c r="B3408">
        <v>0</v>
      </c>
      <c r="C3408" t="s">
        <v>813</v>
      </c>
      <c r="D3408">
        <v>0</v>
      </c>
      <c r="E3408">
        <v>122.968</v>
      </c>
      <c r="F3408">
        <v>9.897</v>
      </c>
      <c r="G3408">
        <v>8472.93</v>
      </c>
      <c r="H3408" s="1">
        <v>39846</v>
      </c>
      <c r="I3408" s="1">
        <v>39856</v>
      </c>
      <c r="J3408" t="s">
        <v>15</v>
      </c>
      <c r="K3408">
        <v>0</v>
      </c>
      <c r="L3408">
        <v>2000</v>
      </c>
      <c r="M3408" t="s">
        <v>49</v>
      </c>
      <c r="N3408">
        <v>1</v>
      </c>
    </row>
    <row r="3409" hidden="1" spans="1:14">
      <c r="A3409">
        <v>3477</v>
      </c>
      <c r="B3409" t="s">
        <v>830</v>
      </c>
      <c r="C3409" t="s">
        <v>813</v>
      </c>
      <c r="D3409">
        <v>0</v>
      </c>
      <c r="E3409">
        <v>121.356</v>
      </c>
      <c r="F3409">
        <v>18.0205</v>
      </c>
      <c r="G3409">
        <v>21367.43</v>
      </c>
      <c r="H3409" s="1">
        <v>39934</v>
      </c>
      <c r="I3409" s="1">
        <v>39971</v>
      </c>
      <c r="J3409" t="s">
        <v>15</v>
      </c>
      <c r="K3409">
        <v>0</v>
      </c>
      <c r="L3409">
        <v>0</v>
      </c>
      <c r="M3409" t="s">
        <v>831</v>
      </c>
      <c r="N3409">
        <v>1.5</v>
      </c>
    </row>
    <row r="3410" hidden="1" spans="1:14">
      <c r="A3410">
        <v>3506</v>
      </c>
      <c r="B3410" t="s">
        <v>832</v>
      </c>
      <c r="C3410" t="s">
        <v>813</v>
      </c>
      <c r="D3410">
        <v>0</v>
      </c>
      <c r="E3410">
        <v>121.346</v>
      </c>
      <c r="F3410">
        <v>17.1225</v>
      </c>
      <c r="G3410">
        <v>47243.51</v>
      </c>
      <c r="H3410" s="1">
        <v>40010</v>
      </c>
      <c r="I3410" s="1">
        <v>40012</v>
      </c>
      <c r="J3410">
        <v>0</v>
      </c>
      <c r="K3410">
        <v>5</v>
      </c>
      <c r="L3410">
        <v>0</v>
      </c>
      <c r="M3410" t="s">
        <v>103</v>
      </c>
      <c r="N3410">
        <v>1</v>
      </c>
    </row>
    <row r="3411" hidden="1" spans="1:14">
      <c r="A3411">
        <v>3518</v>
      </c>
      <c r="B3411">
        <v>0</v>
      </c>
      <c r="C3411" t="s">
        <v>813</v>
      </c>
      <c r="D3411">
        <v>0</v>
      </c>
      <c r="E3411">
        <v>125.367</v>
      </c>
      <c r="F3411">
        <v>7.6518</v>
      </c>
      <c r="G3411">
        <v>36975.16</v>
      </c>
      <c r="H3411" s="1">
        <v>40019</v>
      </c>
      <c r="I3411" s="1">
        <v>40029</v>
      </c>
      <c r="J3411">
        <v>0</v>
      </c>
      <c r="K3411">
        <v>10</v>
      </c>
      <c r="L3411">
        <v>200000</v>
      </c>
      <c r="M3411" t="s">
        <v>52</v>
      </c>
      <c r="N3411">
        <v>1.5</v>
      </c>
    </row>
    <row r="3412" hidden="1" spans="1:14">
      <c r="A3412">
        <v>3520</v>
      </c>
      <c r="B3412">
        <v>0</v>
      </c>
      <c r="C3412" t="s">
        <v>813</v>
      </c>
      <c r="D3412">
        <v>0</v>
      </c>
      <c r="E3412">
        <v>121.443</v>
      </c>
      <c r="F3412">
        <v>17.8675</v>
      </c>
      <c r="G3412">
        <v>24556.64</v>
      </c>
      <c r="H3412" s="1">
        <v>40032</v>
      </c>
      <c r="I3412" s="1">
        <v>40033</v>
      </c>
      <c r="J3412">
        <v>0</v>
      </c>
      <c r="K3412">
        <v>20</v>
      </c>
      <c r="L3412">
        <v>173000</v>
      </c>
      <c r="M3412" t="s">
        <v>833</v>
      </c>
      <c r="N3412">
        <v>1.5</v>
      </c>
    </row>
    <row r="3413" hidden="1" spans="1:14">
      <c r="A3413">
        <v>3537</v>
      </c>
      <c r="B3413" t="s">
        <v>834</v>
      </c>
      <c r="C3413" t="s">
        <v>813</v>
      </c>
      <c r="D3413">
        <v>0</v>
      </c>
      <c r="E3413">
        <v>121.371</v>
      </c>
      <c r="F3413">
        <v>17.2296</v>
      </c>
      <c r="G3413">
        <v>36440.73</v>
      </c>
      <c r="H3413" s="1">
        <v>40057</v>
      </c>
      <c r="I3413" s="1">
        <v>40066</v>
      </c>
      <c r="J3413">
        <v>0</v>
      </c>
      <c r="K3413">
        <v>9</v>
      </c>
      <c r="L3413">
        <v>0</v>
      </c>
      <c r="M3413" t="s">
        <v>429</v>
      </c>
      <c r="N3413">
        <v>2</v>
      </c>
    </row>
    <row r="3414" hidden="1" spans="1:14">
      <c r="A3414">
        <v>3547</v>
      </c>
      <c r="B3414" t="s">
        <v>835</v>
      </c>
      <c r="C3414" t="s">
        <v>813</v>
      </c>
      <c r="D3414">
        <v>0</v>
      </c>
      <c r="E3414">
        <v>120.749</v>
      </c>
      <c r="F3414">
        <v>14.8722</v>
      </c>
      <c r="G3414">
        <v>25299.26</v>
      </c>
      <c r="H3414" s="1">
        <v>40081</v>
      </c>
      <c r="I3414" s="1">
        <v>40087</v>
      </c>
      <c r="J3414">
        <v>0</v>
      </c>
      <c r="K3414">
        <v>420</v>
      </c>
      <c r="L3414">
        <v>200000</v>
      </c>
      <c r="M3414" t="s">
        <v>836</v>
      </c>
      <c r="N3414">
        <v>2</v>
      </c>
    </row>
    <row r="3415" hidden="1" spans="1:14">
      <c r="A3415">
        <v>3552</v>
      </c>
      <c r="B3415" t="s">
        <v>837</v>
      </c>
      <c r="C3415" t="s">
        <v>813</v>
      </c>
      <c r="D3415">
        <v>0</v>
      </c>
      <c r="E3415">
        <v>121.422</v>
      </c>
      <c r="F3415">
        <v>17.5757</v>
      </c>
      <c r="G3415">
        <v>34498.77</v>
      </c>
      <c r="H3415" s="1">
        <v>40088</v>
      </c>
      <c r="I3415" s="1">
        <v>40103</v>
      </c>
      <c r="J3415">
        <v>0</v>
      </c>
      <c r="K3415">
        <v>438</v>
      </c>
      <c r="L3415">
        <v>40000</v>
      </c>
      <c r="M3415" t="s">
        <v>838</v>
      </c>
      <c r="N3415">
        <v>2</v>
      </c>
    </row>
    <row r="3416" hidden="1" spans="1:14">
      <c r="A3416">
        <v>3560</v>
      </c>
      <c r="B3416" t="s">
        <v>839</v>
      </c>
      <c r="C3416" t="s">
        <v>813</v>
      </c>
      <c r="E3416">
        <v>107.665</v>
      </c>
      <c r="F3416">
        <v>14.9121</v>
      </c>
      <c r="G3416">
        <v>124931.91</v>
      </c>
      <c r="H3416" s="1">
        <v>40116</v>
      </c>
      <c r="I3416" s="1">
        <v>40121</v>
      </c>
      <c r="J3416">
        <v>0</v>
      </c>
      <c r="K3416">
        <v>0</v>
      </c>
      <c r="L3416">
        <v>98</v>
      </c>
      <c r="M3416" t="s">
        <v>840</v>
      </c>
      <c r="N3416">
        <v>1.5</v>
      </c>
    </row>
    <row r="3417" hidden="1" spans="1:14">
      <c r="A3417">
        <v>3656</v>
      </c>
      <c r="B3417" t="s">
        <v>841</v>
      </c>
      <c r="C3417" t="s">
        <v>813</v>
      </c>
      <c r="D3417">
        <v>0</v>
      </c>
      <c r="E3417">
        <v>125.3</v>
      </c>
      <c r="F3417">
        <v>6.77841</v>
      </c>
      <c r="G3417">
        <v>22339.98</v>
      </c>
      <c r="H3417" s="1">
        <v>40327</v>
      </c>
      <c r="I3417" s="1">
        <v>40330</v>
      </c>
      <c r="J3417">
        <v>0</v>
      </c>
      <c r="K3417">
        <v>27</v>
      </c>
      <c r="L3417">
        <v>0</v>
      </c>
      <c r="M3417" t="s">
        <v>52</v>
      </c>
      <c r="N3417">
        <v>1</v>
      </c>
    </row>
    <row r="3418" hidden="1" spans="1:14">
      <c r="A3418">
        <v>3686</v>
      </c>
      <c r="B3418">
        <v>0</v>
      </c>
      <c r="C3418" t="s">
        <v>813</v>
      </c>
      <c r="D3418">
        <v>0</v>
      </c>
      <c r="E3418">
        <v>121.468</v>
      </c>
      <c r="F3418">
        <v>17.096</v>
      </c>
      <c r="G3418">
        <v>34784.5</v>
      </c>
      <c r="H3418" s="1">
        <v>40371</v>
      </c>
      <c r="I3418" s="1">
        <v>40374</v>
      </c>
      <c r="J3418">
        <v>0</v>
      </c>
      <c r="K3418">
        <v>23</v>
      </c>
      <c r="L3418">
        <v>0</v>
      </c>
      <c r="M3418" t="s">
        <v>842</v>
      </c>
      <c r="N3418">
        <v>1.5</v>
      </c>
    </row>
    <row r="3419" hidden="1" spans="1:14">
      <c r="A3419">
        <v>3738</v>
      </c>
      <c r="B3419" t="s">
        <v>843</v>
      </c>
      <c r="C3419" t="s">
        <v>813</v>
      </c>
      <c r="D3419">
        <v>0</v>
      </c>
      <c r="E3419">
        <v>121.76</v>
      </c>
      <c r="F3419">
        <v>17.7145</v>
      </c>
      <c r="G3419">
        <v>15301.91</v>
      </c>
      <c r="H3419" s="1">
        <v>40484</v>
      </c>
      <c r="I3419" s="1">
        <v>40487</v>
      </c>
      <c r="J3419" t="s">
        <v>15</v>
      </c>
      <c r="K3419">
        <v>9</v>
      </c>
      <c r="L3419">
        <v>0</v>
      </c>
      <c r="M3419" t="s">
        <v>336</v>
      </c>
      <c r="N3419">
        <v>1.5</v>
      </c>
    </row>
    <row r="3420" hidden="1" spans="1:14">
      <c r="A3420">
        <v>3765</v>
      </c>
      <c r="B3420">
        <v>0</v>
      </c>
      <c r="C3420" t="s">
        <v>813</v>
      </c>
      <c r="E3420">
        <v>125.566</v>
      </c>
      <c r="F3420">
        <v>8.13264</v>
      </c>
      <c r="G3420">
        <v>10773.79</v>
      </c>
      <c r="H3420" s="1">
        <v>40544</v>
      </c>
      <c r="I3420" s="1">
        <v>40561</v>
      </c>
      <c r="J3420" t="s">
        <v>15</v>
      </c>
      <c r="K3420">
        <v>53</v>
      </c>
      <c r="L3420">
        <v>10000</v>
      </c>
      <c r="M3420" t="s">
        <v>49</v>
      </c>
      <c r="N3420">
        <v>2</v>
      </c>
    </row>
    <row r="3421" hidden="1" spans="1:14">
      <c r="A3421">
        <v>3773</v>
      </c>
      <c r="C3421" t="s">
        <v>813</v>
      </c>
      <c r="E3421">
        <v>125.779</v>
      </c>
      <c r="F3421">
        <v>9.40044</v>
      </c>
      <c r="G3421">
        <v>3623.61</v>
      </c>
      <c r="H3421" s="1">
        <v>40568</v>
      </c>
      <c r="I3421" s="1">
        <v>40574</v>
      </c>
      <c r="J3421" t="s">
        <v>15</v>
      </c>
      <c r="K3421">
        <v>0</v>
      </c>
      <c r="L3421">
        <v>32342</v>
      </c>
      <c r="M3421" t="s">
        <v>52</v>
      </c>
      <c r="N3421">
        <v>1.5</v>
      </c>
    </row>
    <row r="3422" hidden="1" spans="1:14">
      <c r="A3422">
        <v>3777</v>
      </c>
      <c r="C3422" t="s">
        <v>813</v>
      </c>
      <c r="E3422">
        <v>124.865</v>
      </c>
      <c r="F3422">
        <v>7.09527</v>
      </c>
      <c r="G3422">
        <v>44521.72</v>
      </c>
      <c r="H3422" s="1">
        <v>40575</v>
      </c>
      <c r="I3422" s="1">
        <v>40578</v>
      </c>
      <c r="J3422" t="s">
        <v>15</v>
      </c>
      <c r="K3422">
        <v>11</v>
      </c>
      <c r="L3422">
        <v>2000</v>
      </c>
      <c r="M3422" t="s">
        <v>52</v>
      </c>
      <c r="N3422">
        <v>1.5</v>
      </c>
    </row>
    <row r="3423" hidden="1" spans="1:14">
      <c r="A3423">
        <v>3789</v>
      </c>
      <c r="C3423" t="s">
        <v>813</v>
      </c>
      <c r="E3423">
        <v>125.091</v>
      </c>
      <c r="F3423">
        <v>8.10431</v>
      </c>
      <c r="G3423">
        <v>25963.78</v>
      </c>
      <c r="H3423" s="1">
        <v>40616</v>
      </c>
      <c r="I3423" s="1">
        <v>40620</v>
      </c>
      <c r="J3423" t="s">
        <v>15</v>
      </c>
      <c r="K3423">
        <v>9</v>
      </c>
      <c r="L3423">
        <v>14138</v>
      </c>
      <c r="M3423" t="s">
        <v>52</v>
      </c>
      <c r="N3423">
        <v>1.5</v>
      </c>
    </row>
    <row r="3424" hidden="1" spans="1:14">
      <c r="A3424">
        <v>3811</v>
      </c>
      <c r="C3424" t="s">
        <v>813</v>
      </c>
      <c r="E3424">
        <v>124.192</v>
      </c>
      <c r="F3424">
        <v>13.6588</v>
      </c>
      <c r="G3424">
        <v>3179.22</v>
      </c>
      <c r="H3424" s="1">
        <v>40671</v>
      </c>
      <c r="I3424" s="1">
        <v>40674</v>
      </c>
      <c r="J3424" t="s">
        <v>15</v>
      </c>
      <c r="K3424">
        <v>10</v>
      </c>
      <c r="L3424">
        <v>0</v>
      </c>
      <c r="M3424" t="s">
        <v>844</v>
      </c>
      <c r="N3424">
        <v>1.5</v>
      </c>
    </row>
    <row r="3425" hidden="1" spans="1:14">
      <c r="A3425">
        <v>3820</v>
      </c>
      <c r="C3425" t="s">
        <v>813</v>
      </c>
      <c r="E3425">
        <v>125.208</v>
      </c>
      <c r="F3425">
        <v>8.30634</v>
      </c>
      <c r="G3425">
        <v>71700.83</v>
      </c>
      <c r="H3425" s="1">
        <v>40699</v>
      </c>
      <c r="I3425" s="1">
        <v>40715</v>
      </c>
      <c r="J3425" t="s">
        <v>15</v>
      </c>
      <c r="K3425">
        <v>15</v>
      </c>
      <c r="L3425">
        <v>15000</v>
      </c>
      <c r="M3425" t="s">
        <v>49</v>
      </c>
      <c r="N3425">
        <v>1.5</v>
      </c>
    </row>
    <row r="3426" hidden="1" spans="1:14">
      <c r="A3426">
        <v>3830</v>
      </c>
      <c r="C3426" t="s">
        <v>813</v>
      </c>
      <c r="E3426">
        <v>126.05</v>
      </c>
      <c r="F3426">
        <v>7.39811</v>
      </c>
      <c r="G3426">
        <v>6361.93</v>
      </c>
      <c r="H3426" s="1">
        <v>40722</v>
      </c>
      <c r="I3426" s="1">
        <v>40723</v>
      </c>
      <c r="J3426" t="s">
        <v>15</v>
      </c>
      <c r="K3426">
        <v>25</v>
      </c>
      <c r="L3426">
        <v>0</v>
      </c>
      <c r="M3426" t="s">
        <v>49</v>
      </c>
      <c r="N3426">
        <v>1.5</v>
      </c>
    </row>
    <row r="3427" hidden="1" spans="1:14">
      <c r="A3427">
        <v>3867</v>
      </c>
      <c r="C3427" t="s">
        <v>813</v>
      </c>
      <c r="E3427">
        <v>121.548</v>
      </c>
      <c r="F3427">
        <v>17.343</v>
      </c>
      <c r="G3427">
        <v>18520.07</v>
      </c>
      <c r="H3427" s="1">
        <v>40814</v>
      </c>
      <c r="I3427" s="1">
        <v>40818</v>
      </c>
      <c r="J3427" t="s">
        <v>15</v>
      </c>
      <c r="K3427">
        <v>1</v>
      </c>
      <c r="L3427">
        <v>180000</v>
      </c>
      <c r="M3427" t="s">
        <v>845</v>
      </c>
      <c r="N3427">
        <v>2</v>
      </c>
    </row>
    <row r="3428" hidden="1" spans="1:14">
      <c r="A3428">
        <v>3877</v>
      </c>
      <c r="C3428" t="s">
        <v>813</v>
      </c>
      <c r="E3428">
        <v>125.927</v>
      </c>
      <c r="F3428">
        <v>8.08596</v>
      </c>
      <c r="G3428">
        <v>3076.39</v>
      </c>
      <c r="H3428" s="1">
        <v>40857</v>
      </c>
      <c r="I3428" s="1">
        <v>40862</v>
      </c>
      <c r="J3428" t="s">
        <v>15</v>
      </c>
      <c r="K3428">
        <v>0</v>
      </c>
      <c r="L3428">
        <v>30000</v>
      </c>
      <c r="M3428" t="s">
        <v>52</v>
      </c>
      <c r="N3428">
        <v>1.5</v>
      </c>
    </row>
    <row r="3429" hidden="1" spans="1:14">
      <c r="A3429">
        <v>3884</v>
      </c>
      <c r="C3429" t="s">
        <v>813</v>
      </c>
      <c r="E3429">
        <v>124.875</v>
      </c>
      <c r="F3429">
        <v>8.52649</v>
      </c>
      <c r="G3429">
        <v>23573.86</v>
      </c>
      <c r="H3429" s="1">
        <v>40893</v>
      </c>
      <c r="I3429" s="1">
        <v>40899</v>
      </c>
      <c r="J3429" t="s">
        <v>15</v>
      </c>
      <c r="K3429">
        <v>957</v>
      </c>
      <c r="L3429">
        <v>1000</v>
      </c>
      <c r="M3429" t="s">
        <v>846</v>
      </c>
      <c r="N3429">
        <v>2</v>
      </c>
    </row>
    <row r="3430" hidden="1" spans="1:14">
      <c r="A3430">
        <v>3898</v>
      </c>
      <c r="C3430" t="s">
        <v>813</v>
      </c>
      <c r="E3430">
        <v>122.12</v>
      </c>
      <c r="F3430">
        <v>7.15665</v>
      </c>
      <c r="G3430">
        <v>869.906</v>
      </c>
      <c r="H3430" s="1">
        <v>40951</v>
      </c>
      <c r="I3430" s="1">
        <v>40953</v>
      </c>
      <c r="J3430" t="s">
        <v>15</v>
      </c>
      <c r="K3430">
        <v>0</v>
      </c>
      <c r="L3430">
        <v>13327</v>
      </c>
      <c r="M3430" t="s">
        <v>49</v>
      </c>
      <c r="N3430">
        <v>1.5</v>
      </c>
    </row>
    <row r="3431" hidden="1" spans="1:14">
      <c r="A3431">
        <v>3900</v>
      </c>
      <c r="C3431" t="s">
        <v>813</v>
      </c>
      <c r="E3431">
        <v>125.265</v>
      </c>
      <c r="F3431">
        <v>8.22392</v>
      </c>
      <c r="G3431">
        <v>39825.28</v>
      </c>
      <c r="H3431" s="1">
        <v>40959</v>
      </c>
      <c r="I3431" s="1">
        <v>40966</v>
      </c>
      <c r="J3431" t="s">
        <v>15</v>
      </c>
      <c r="K3431">
        <v>0</v>
      </c>
      <c r="L3431">
        <v>25000</v>
      </c>
      <c r="M3431" t="s">
        <v>52</v>
      </c>
      <c r="N3431">
        <v>1</v>
      </c>
    </row>
    <row r="3432" hidden="1" spans="1:14">
      <c r="A3432">
        <v>3914</v>
      </c>
      <c r="C3432" t="s">
        <v>813</v>
      </c>
      <c r="E3432">
        <v>123.278</v>
      </c>
      <c r="F3432">
        <v>13.6288</v>
      </c>
      <c r="G3432">
        <v>5045.75</v>
      </c>
      <c r="H3432" s="1">
        <v>40994</v>
      </c>
      <c r="I3432" s="1">
        <v>40998</v>
      </c>
      <c r="J3432" t="s">
        <v>15</v>
      </c>
      <c r="K3432">
        <v>4</v>
      </c>
      <c r="L3432">
        <v>0</v>
      </c>
      <c r="M3432" t="s">
        <v>52</v>
      </c>
      <c r="N3432">
        <v>1</v>
      </c>
    </row>
    <row r="3433" hidden="1" spans="1:14">
      <c r="A3433">
        <v>3935</v>
      </c>
      <c r="C3433" t="s">
        <v>813</v>
      </c>
      <c r="E3433">
        <v>124.785</v>
      </c>
      <c r="F3433">
        <v>6.87373</v>
      </c>
      <c r="G3433">
        <v>23515.69</v>
      </c>
      <c r="H3433" s="1">
        <v>41068</v>
      </c>
      <c r="I3433" s="1">
        <v>41072</v>
      </c>
      <c r="J3433" t="s">
        <v>15</v>
      </c>
      <c r="K3433">
        <v>1</v>
      </c>
      <c r="L3433">
        <v>700</v>
      </c>
      <c r="M3433" t="s">
        <v>49</v>
      </c>
      <c r="N3433">
        <v>1</v>
      </c>
    </row>
    <row r="3434" hidden="1" spans="1:14">
      <c r="A3434">
        <v>3953</v>
      </c>
      <c r="C3434" t="s">
        <v>813</v>
      </c>
      <c r="E3434">
        <v>121.195</v>
      </c>
      <c r="F3434">
        <v>15.2044</v>
      </c>
      <c r="G3434">
        <v>9576.58</v>
      </c>
      <c r="H3434" s="1">
        <v>41111</v>
      </c>
      <c r="I3434" s="1">
        <v>41113</v>
      </c>
      <c r="J3434" t="s">
        <v>15</v>
      </c>
      <c r="K3434">
        <v>8</v>
      </c>
      <c r="L3434">
        <v>0</v>
      </c>
      <c r="M3434" t="s">
        <v>735</v>
      </c>
      <c r="N3434">
        <v>1.5</v>
      </c>
    </row>
    <row r="3435" hidden="1" spans="1:14">
      <c r="A3435">
        <v>3956</v>
      </c>
      <c r="C3435" t="s">
        <v>813</v>
      </c>
      <c r="E3435">
        <v>121.037</v>
      </c>
      <c r="F3435">
        <v>15.9469</v>
      </c>
      <c r="G3435">
        <v>59723.23</v>
      </c>
      <c r="H3435" s="1">
        <v>41118</v>
      </c>
      <c r="I3435" s="1">
        <v>41127</v>
      </c>
      <c r="J3435" t="s">
        <v>15</v>
      </c>
      <c r="K3435">
        <v>3</v>
      </c>
      <c r="L3435">
        <v>13000</v>
      </c>
      <c r="M3435" t="s">
        <v>847</v>
      </c>
      <c r="N3435">
        <v>1.5</v>
      </c>
    </row>
    <row r="3436" hidden="1" spans="1:14">
      <c r="A3436">
        <v>4005</v>
      </c>
      <c r="C3436" t="s">
        <v>813</v>
      </c>
      <c r="E3436">
        <v>124.469</v>
      </c>
      <c r="F3436">
        <v>7.98723</v>
      </c>
      <c r="G3436">
        <v>68024.32</v>
      </c>
      <c r="H3436" s="1">
        <v>41247</v>
      </c>
      <c r="I3436" s="1">
        <v>41247</v>
      </c>
      <c r="J3436" t="s">
        <v>15</v>
      </c>
      <c r="K3436">
        <v>74</v>
      </c>
      <c r="L3436">
        <v>60000</v>
      </c>
      <c r="M3436" t="s">
        <v>848</v>
      </c>
      <c r="N3436">
        <v>2</v>
      </c>
    </row>
    <row r="3437" hidden="1" spans="1:14">
      <c r="A3437">
        <v>4015</v>
      </c>
      <c r="C3437" t="s">
        <v>813</v>
      </c>
      <c r="E3437">
        <v>118.626</v>
      </c>
      <c r="F3437">
        <v>9.88586</v>
      </c>
      <c r="G3437">
        <v>6143.56</v>
      </c>
      <c r="H3437" s="1">
        <v>41277</v>
      </c>
      <c r="I3437" s="1">
        <v>41284</v>
      </c>
      <c r="J3437" t="s">
        <v>15</v>
      </c>
      <c r="K3437">
        <v>0</v>
      </c>
      <c r="L3437">
        <v>520</v>
      </c>
      <c r="M3437" t="s">
        <v>849</v>
      </c>
      <c r="N3437">
        <v>1</v>
      </c>
    </row>
    <row r="3438" hidden="1" spans="1:14">
      <c r="A3438">
        <v>4016</v>
      </c>
      <c r="C3438" t="s">
        <v>813</v>
      </c>
      <c r="E3438">
        <v>125.308</v>
      </c>
      <c r="F3438">
        <v>7.25699</v>
      </c>
      <c r="G3438">
        <v>51781.98</v>
      </c>
      <c r="H3438" s="1">
        <v>41278</v>
      </c>
      <c r="I3438" s="1">
        <v>41284</v>
      </c>
      <c r="J3438" t="s">
        <v>15</v>
      </c>
      <c r="K3438">
        <v>0</v>
      </c>
      <c r="L3438">
        <v>3180</v>
      </c>
      <c r="M3438" t="s">
        <v>49</v>
      </c>
      <c r="N3438">
        <v>1</v>
      </c>
    </row>
    <row r="3439" hidden="1" spans="1:14">
      <c r="A3439">
        <v>1968</v>
      </c>
      <c r="C3439" t="s">
        <v>813</v>
      </c>
      <c r="E3439">
        <v>122.984</v>
      </c>
      <c r="F3439">
        <v>8.18196</v>
      </c>
      <c r="G3439">
        <v>2407.79</v>
      </c>
      <c r="H3439" s="1">
        <v>37433</v>
      </c>
      <c r="I3439" s="1">
        <v>37434</v>
      </c>
      <c r="J3439" t="s">
        <v>15</v>
      </c>
      <c r="K3439">
        <v>6</v>
      </c>
      <c r="L3439">
        <v>0</v>
      </c>
      <c r="M3439" t="s">
        <v>49</v>
      </c>
      <c r="N3439">
        <v>1</v>
      </c>
    </row>
    <row r="3440" hidden="1" spans="1:14">
      <c r="A3440">
        <v>4084</v>
      </c>
      <c r="C3440" t="s">
        <v>813</v>
      </c>
      <c r="E3440">
        <v>121.142</v>
      </c>
      <c r="F3440">
        <v>16.3191</v>
      </c>
      <c r="G3440">
        <v>50412.4</v>
      </c>
      <c r="H3440" s="1">
        <v>41499</v>
      </c>
      <c r="I3440" s="1">
        <v>41507</v>
      </c>
      <c r="J3440" t="s">
        <v>15</v>
      </c>
      <c r="K3440">
        <v>8</v>
      </c>
      <c r="L3440">
        <v>280000</v>
      </c>
      <c r="M3440" t="s">
        <v>850</v>
      </c>
      <c r="N3440">
        <v>2</v>
      </c>
    </row>
    <row r="3441" hidden="1" spans="1:14">
      <c r="A3441">
        <v>4093</v>
      </c>
      <c r="C3441" t="s">
        <v>813</v>
      </c>
      <c r="E3441">
        <v>121.192</v>
      </c>
      <c r="F3441">
        <v>16.6413</v>
      </c>
      <c r="G3441">
        <v>54531.07</v>
      </c>
      <c r="H3441" s="1">
        <v>41559</v>
      </c>
      <c r="I3441" s="1">
        <v>41561</v>
      </c>
      <c r="J3441" t="s">
        <v>15</v>
      </c>
      <c r="K3441">
        <v>13</v>
      </c>
      <c r="L3441">
        <v>2500</v>
      </c>
      <c r="M3441" t="s">
        <v>851</v>
      </c>
      <c r="N3441">
        <v>2</v>
      </c>
    </row>
    <row r="3442" hidden="1" spans="1:14">
      <c r="A3442">
        <v>4100</v>
      </c>
      <c r="C3442" t="s">
        <v>813</v>
      </c>
      <c r="E3442">
        <v>125.052</v>
      </c>
      <c r="F3442">
        <v>11.4452</v>
      </c>
      <c r="G3442">
        <v>32476.99</v>
      </c>
      <c r="H3442" s="1">
        <v>41586</v>
      </c>
      <c r="I3442" s="1">
        <v>41597</v>
      </c>
      <c r="J3442" t="s">
        <v>15</v>
      </c>
      <c r="K3442">
        <v>2000</v>
      </c>
      <c r="L3442">
        <v>200000</v>
      </c>
      <c r="M3442" t="s">
        <v>852</v>
      </c>
      <c r="N3442">
        <v>2</v>
      </c>
    </row>
    <row r="3443" hidden="1" spans="1:14">
      <c r="A3443">
        <v>4153</v>
      </c>
      <c r="C3443" t="s">
        <v>813</v>
      </c>
      <c r="E3443">
        <v>124.73</v>
      </c>
      <c r="F3443">
        <v>6.7719</v>
      </c>
      <c r="G3443">
        <v>15356.31</v>
      </c>
      <c r="H3443" s="1">
        <v>41807</v>
      </c>
      <c r="I3443" s="1">
        <v>41815</v>
      </c>
      <c r="J3443" t="s">
        <v>15</v>
      </c>
      <c r="K3443">
        <v>0</v>
      </c>
      <c r="L3443">
        <v>35000</v>
      </c>
      <c r="M3443" t="s">
        <v>49</v>
      </c>
      <c r="N3443">
        <v>1</v>
      </c>
    </row>
    <row r="3444" hidden="1" spans="1:14">
      <c r="A3444">
        <v>4189</v>
      </c>
      <c r="C3444" t="s">
        <v>813</v>
      </c>
      <c r="E3444">
        <v>121.612</v>
      </c>
      <c r="F3444">
        <v>14.6575</v>
      </c>
      <c r="G3444">
        <v>30855.03</v>
      </c>
      <c r="H3444" s="1">
        <v>41901</v>
      </c>
      <c r="I3444" s="1">
        <v>41923</v>
      </c>
      <c r="J3444" t="s">
        <v>15</v>
      </c>
      <c r="K3444">
        <v>5</v>
      </c>
      <c r="L3444">
        <v>83000</v>
      </c>
      <c r="M3444" t="s">
        <v>285</v>
      </c>
      <c r="N3444">
        <v>1.5</v>
      </c>
    </row>
    <row r="3445" hidden="1" spans="1:14">
      <c r="A3445">
        <v>4217</v>
      </c>
      <c r="C3445" t="s">
        <v>813</v>
      </c>
      <c r="E3445">
        <v>124.903</v>
      </c>
      <c r="F3445">
        <v>8.65608</v>
      </c>
      <c r="G3445">
        <v>63967.39</v>
      </c>
      <c r="H3445" s="1">
        <v>41983</v>
      </c>
      <c r="I3445" s="1">
        <v>42005</v>
      </c>
      <c r="J3445" t="s">
        <v>15</v>
      </c>
      <c r="K3445">
        <v>53</v>
      </c>
      <c r="L3445">
        <v>80186</v>
      </c>
      <c r="M3445" t="s">
        <v>853</v>
      </c>
      <c r="N3445">
        <v>1.5</v>
      </c>
    </row>
    <row r="3446" hidden="1" spans="1:14">
      <c r="A3446">
        <v>4278</v>
      </c>
      <c r="C3446" t="s">
        <v>813</v>
      </c>
      <c r="E3446">
        <v>120.796</v>
      </c>
      <c r="F3446">
        <v>15.5509</v>
      </c>
      <c r="G3446">
        <v>16151.08</v>
      </c>
      <c r="H3446" s="1">
        <v>42197</v>
      </c>
      <c r="I3446" s="1">
        <v>42206</v>
      </c>
      <c r="J3446" t="s">
        <v>15</v>
      </c>
      <c r="K3446">
        <v>4</v>
      </c>
      <c r="L3446">
        <v>3000</v>
      </c>
      <c r="M3446" t="s">
        <v>54</v>
      </c>
      <c r="N3446">
        <v>1</v>
      </c>
    </row>
    <row r="3447" hidden="1" spans="1:14">
      <c r="A3447">
        <v>4287</v>
      </c>
      <c r="C3447" t="s">
        <v>813</v>
      </c>
      <c r="E3447">
        <v>125.052</v>
      </c>
      <c r="F3447">
        <v>7.39149</v>
      </c>
      <c r="G3447">
        <v>9791.46</v>
      </c>
      <c r="H3447" s="1">
        <v>42218</v>
      </c>
      <c r="I3447" s="1">
        <v>42221</v>
      </c>
      <c r="J3447" t="s">
        <v>15</v>
      </c>
      <c r="K3447">
        <v>7</v>
      </c>
      <c r="L3447">
        <v>0</v>
      </c>
      <c r="M3447" t="s">
        <v>52</v>
      </c>
      <c r="N3447">
        <v>1</v>
      </c>
    </row>
    <row r="3448" hidden="1" spans="1:14">
      <c r="A3448">
        <v>4300</v>
      </c>
      <c r="B3448" t="s">
        <v>854</v>
      </c>
      <c r="C3448" t="s">
        <v>813</v>
      </c>
      <c r="E3448">
        <v>121.241</v>
      </c>
      <c r="F3448">
        <v>16.691</v>
      </c>
      <c r="G3448">
        <v>80271.75</v>
      </c>
      <c r="H3448" s="1">
        <v>42299</v>
      </c>
      <c r="I3448" s="1">
        <v>42305</v>
      </c>
      <c r="J3448" t="s">
        <v>15</v>
      </c>
      <c r="K3448">
        <v>54</v>
      </c>
      <c r="L3448">
        <v>60000</v>
      </c>
      <c r="M3448" t="s">
        <v>855</v>
      </c>
      <c r="N3448">
        <v>2</v>
      </c>
    </row>
    <row r="3449" hidden="1" spans="1:14">
      <c r="A3449">
        <v>4318</v>
      </c>
      <c r="B3449" t="s">
        <v>856</v>
      </c>
      <c r="C3449" t="s">
        <v>813</v>
      </c>
      <c r="E3449">
        <v>121.229</v>
      </c>
      <c r="F3449">
        <v>12.8357</v>
      </c>
      <c r="G3449">
        <v>6147.67</v>
      </c>
      <c r="H3449" s="1">
        <v>42350</v>
      </c>
      <c r="I3449" s="1">
        <v>42375</v>
      </c>
      <c r="J3449" t="s">
        <v>15</v>
      </c>
      <c r="K3449">
        <v>40</v>
      </c>
      <c r="L3449">
        <v>20000</v>
      </c>
      <c r="M3449" t="s">
        <v>857</v>
      </c>
      <c r="N3449">
        <v>1.5</v>
      </c>
    </row>
    <row r="3450" hidden="1" spans="1:14">
      <c r="A3450">
        <v>4385</v>
      </c>
      <c r="B3450" t="s">
        <v>858</v>
      </c>
      <c r="C3450" t="s">
        <v>813</v>
      </c>
      <c r="E3450">
        <v>123.517</v>
      </c>
      <c r="F3450">
        <v>7.96266</v>
      </c>
      <c r="G3450">
        <v>10618.16</v>
      </c>
      <c r="H3450" s="1">
        <v>42580</v>
      </c>
      <c r="I3450" s="1">
        <v>42585</v>
      </c>
      <c r="J3450" t="s">
        <v>15</v>
      </c>
      <c r="K3450">
        <v>0</v>
      </c>
      <c r="L3450">
        <v>260000</v>
      </c>
      <c r="M3450" t="s">
        <v>54</v>
      </c>
      <c r="N3450">
        <v>1</v>
      </c>
    </row>
    <row r="3451" hidden="1" spans="1:14">
      <c r="A3451">
        <v>4436</v>
      </c>
      <c r="C3451" t="s">
        <v>813</v>
      </c>
      <c r="E3451">
        <v>125.027</v>
      </c>
      <c r="F3451">
        <v>8.08572</v>
      </c>
      <c r="G3451">
        <v>46236.69</v>
      </c>
      <c r="H3451" s="1">
        <v>42751</v>
      </c>
      <c r="I3451" s="1">
        <v>42756</v>
      </c>
      <c r="J3451" t="s">
        <v>15</v>
      </c>
      <c r="K3451">
        <v>4</v>
      </c>
      <c r="L3451">
        <v>13559</v>
      </c>
      <c r="M3451" t="s">
        <v>49</v>
      </c>
      <c r="N3451">
        <v>1</v>
      </c>
    </row>
    <row r="3452" hidden="1" spans="1:14">
      <c r="A3452">
        <v>4440</v>
      </c>
      <c r="B3452" t="s">
        <v>859</v>
      </c>
      <c r="C3452" t="s">
        <v>813</v>
      </c>
      <c r="E3452">
        <v>124.062</v>
      </c>
      <c r="F3452">
        <v>7.59046</v>
      </c>
      <c r="G3452">
        <v>30389.11</v>
      </c>
      <c r="H3452" s="1">
        <v>42767</v>
      </c>
      <c r="I3452" s="1">
        <v>42773</v>
      </c>
      <c r="J3452" t="s">
        <v>15</v>
      </c>
      <c r="K3452">
        <v>13</v>
      </c>
      <c r="L3452">
        <v>334000</v>
      </c>
      <c r="M3452" t="s">
        <v>49</v>
      </c>
      <c r="N3452">
        <v>1.5</v>
      </c>
    </row>
    <row r="3453" hidden="1" spans="1:14">
      <c r="A3453">
        <v>4485</v>
      </c>
      <c r="C3453" t="s">
        <v>813</v>
      </c>
      <c r="E3453">
        <v>125.249</v>
      </c>
      <c r="F3453">
        <v>7.76344</v>
      </c>
      <c r="G3453">
        <v>8703.64</v>
      </c>
      <c r="H3453" s="1">
        <v>42898</v>
      </c>
      <c r="I3453" s="1">
        <v>42900</v>
      </c>
      <c r="J3453" t="s">
        <v>15</v>
      </c>
      <c r="K3453">
        <v>0</v>
      </c>
      <c r="L3453">
        <v>0</v>
      </c>
      <c r="M3453" t="s">
        <v>49</v>
      </c>
      <c r="N3453">
        <v>1</v>
      </c>
    </row>
    <row r="3454" hidden="1" spans="1:14">
      <c r="A3454">
        <v>4527</v>
      </c>
      <c r="C3454" t="s">
        <v>813</v>
      </c>
      <c r="E3454">
        <v>123.171</v>
      </c>
      <c r="F3454">
        <v>10.5659</v>
      </c>
      <c r="G3454">
        <v>10299.67</v>
      </c>
      <c r="H3454" s="1">
        <v>43000</v>
      </c>
      <c r="I3454" s="1">
        <v>43002</v>
      </c>
      <c r="J3454" t="s">
        <v>15</v>
      </c>
      <c r="K3454">
        <v>0</v>
      </c>
      <c r="L3454">
        <v>400</v>
      </c>
      <c r="M3454" t="s">
        <v>52</v>
      </c>
      <c r="N3454">
        <v>1</v>
      </c>
    </row>
    <row r="3455" hidden="1" spans="1:14">
      <c r="A3455">
        <v>4552</v>
      </c>
      <c r="B3455" t="s">
        <v>860</v>
      </c>
      <c r="C3455" t="s">
        <v>813</v>
      </c>
      <c r="E3455">
        <v>125.559</v>
      </c>
      <c r="F3455">
        <v>8.89113</v>
      </c>
      <c r="G3455">
        <v>47769.01</v>
      </c>
      <c r="H3455" s="1">
        <v>43085</v>
      </c>
      <c r="I3455" s="1">
        <v>43088</v>
      </c>
      <c r="J3455" t="s">
        <v>15</v>
      </c>
      <c r="K3455">
        <v>27</v>
      </c>
      <c r="L3455">
        <v>230000</v>
      </c>
      <c r="M3455" t="s">
        <v>861</v>
      </c>
      <c r="N3455">
        <v>1.5</v>
      </c>
    </row>
    <row r="3456" hidden="1" spans="1:14">
      <c r="A3456">
        <v>4713</v>
      </c>
      <c r="C3456" t="s">
        <v>813</v>
      </c>
      <c r="E3456">
        <v>124.99</v>
      </c>
      <c r="F3456">
        <v>11.7922</v>
      </c>
      <c r="G3456">
        <v>45871.98</v>
      </c>
      <c r="H3456" s="1">
        <v>43463</v>
      </c>
      <c r="I3456" s="1">
        <v>43472</v>
      </c>
      <c r="J3456" t="s">
        <v>56</v>
      </c>
      <c r="K3456">
        <v>100</v>
      </c>
      <c r="L3456">
        <v>80000</v>
      </c>
      <c r="M3456" t="s">
        <v>862</v>
      </c>
      <c r="N3456">
        <v>1.5</v>
      </c>
    </row>
    <row r="3457" hidden="1" spans="1:14">
      <c r="A3457">
        <v>4718</v>
      </c>
      <c r="C3457" t="s">
        <v>813</v>
      </c>
      <c r="E3457">
        <v>125.447</v>
      </c>
      <c r="F3457">
        <v>7.04402</v>
      </c>
      <c r="G3457">
        <v>43546.93</v>
      </c>
      <c r="H3457" s="1">
        <v>43491</v>
      </c>
      <c r="I3457" s="1">
        <v>43494</v>
      </c>
      <c r="J3457" t="s">
        <v>56</v>
      </c>
      <c r="K3457">
        <v>0</v>
      </c>
      <c r="L3457">
        <v>20000</v>
      </c>
      <c r="M3457" t="s">
        <v>49</v>
      </c>
      <c r="N3457">
        <v>1.5</v>
      </c>
    </row>
    <row r="3458" hidden="1" spans="1:14">
      <c r="A3458">
        <v>4765</v>
      </c>
      <c r="C3458" t="s">
        <v>813</v>
      </c>
      <c r="E3458">
        <v>123.493</v>
      </c>
      <c r="F3458">
        <v>8.22284</v>
      </c>
      <c r="G3458">
        <v>5390.18</v>
      </c>
      <c r="H3458" s="1">
        <v>43619</v>
      </c>
      <c r="I3458" s="1">
        <v>43639</v>
      </c>
      <c r="J3458" t="s">
        <v>56</v>
      </c>
      <c r="K3458">
        <v>0</v>
      </c>
      <c r="L3458">
        <v>45000</v>
      </c>
      <c r="M3458" t="s">
        <v>49</v>
      </c>
      <c r="N3458">
        <v>1.5</v>
      </c>
    </row>
    <row r="3459" hidden="1" spans="1:14">
      <c r="A3459">
        <v>4827</v>
      </c>
      <c r="C3459" t="s">
        <v>813</v>
      </c>
      <c r="E3459">
        <v>121.241</v>
      </c>
      <c r="F3459">
        <v>14.5587</v>
      </c>
      <c r="G3459">
        <v>24395.15</v>
      </c>
      <c r="H3459" s="1">
        <v>43783</v>
      </c>
      <c r="I3459" s="1">
        <v>43788</v>
      </c>
      <c r="J3459" t="s">
        <v>56</v>
      </c>
      <c r="K3459">
        <v>0</v>
      </c>
      <c r="L3459">
        <v>2000</v>
      </c>
      <c r="M3459" t="s">
        <v>863</v>
      </c>
      <c r="N3459">
        <v>1.5</v>
      </c>
    </row>
    <row r="3460" hidden="1" spans="1:14">
      <c r="A3460">
        <v>4831</v>
      </c>
      <c r="C3460" t="s">
        <v>813</v>
      </c>
      <c r="E3460">
        <v>121.142</v>
      </c>
      <c r="F3460">
        <v>16.158</v>
      </c>
      <c r="G3460">
        <v>132059.69</v>
      </c>
      <c r="H3460" s="1">
        <v>43801</v>
      </c>
      <c r="I3460" s="1">
        <v>43805</v>
      </c>
      <c r="J3460" t="s">
        <v>56</v>
      </c>
      <c r="K3460">
        <v>17</v>
      </c>
      <c r="L3460">
        <v>500000</v>
      </c>
      <c r="M3460" t="s">
        <v>864</v>
      </c>
      <c r="N3460">
        <v>2</v>
      </c>
    </row>
    <row r="3461" hidden="1" spans="1:14">
      <c r="A3461">
        <v>4979</v>
      </c>
      <c r="C3461" t="s">
        <v>813</v>
      </c>
      <c r="D3461" t="s">
        <v>239</v>
      </c>
      <c r="E3461">
        <v>121.216</v>
      </c>
      <c r="F3461">
        <v>15.3273</v>
      </c>
      <c r="G3461">
        <v>84650.99</v>
      </c>
      <c r="H3461" s="1">
        <v>44128</v>
      </c>
      <c r="I3461" s="1">
        <v>44137</v>
      </c>
      <c r="J3461" t="s">
        <v>56</v>
      </c>
      <c r="K3461">
        <v>61</v>
      </c>
      <c r="L3461">
        <v>3000</v>
      </c>
      <c r="M3461" t="s">
        <v>865</v>
      </c>
      <c r="N3461">
        <v>1.5</v>
      </c>
    </row>
    <row r="3462" hidden="1" spans="1:14">
      <c r="A3462">
        <v>4980</v>
      </c>
      <c r="C3462" t="s">
        <v>813</v>
      </c>
      <c r="D3462" t="s">
        <v>239</v>
      </c>
      <c r="E3462">
        <v>106.717</v>
      </c>
      <c r="F3462">
        <v>16.2272</v>
      </c>
      <c r="G3462">
        <v>160743.71</v>
      </c>
      <c r="H3462" s="1">
        <v>44146</v>
      </c>
      <c r="I3462" s="1">
        <v>44153</v>
      </c>
      <c r="J3462" t="s">
        <v>56</v>
      </c>
      <c r="K3462">
        <v>13</v>
      </c>
      <c r="L3462">
        <v>250000</v>
      </c>
      <c r="M3462" t="s">
        <v>866</v>
      </c>
      <c r="N3462">
        <v>2</v>
      </c>
    </row>
    <row r="3463" hidden="1" spans="1:14">
      <c r="A3463">
        <v>5006</v>
      </c>
      <c r="C3463" t="s">
        <v>813</v>
      </c>
      <c r="E3463">
        <v>121.117</v>
      </c>
      <c r="F3463">
        <v>16.9331</v>
      </c>
      <c r="G3463">
        <v>49952.36</v>
      </c>
      <c r="H3463" s="1">
        <v>44182</v>
      </c>
      <c r="I3463" s="1">
        <v>44188</v>
      </c>
      <c r="J3463" t="s">
        <v>56</v>
      </c>
      <c r="K3463">
        <v>8</v>
      </c>
      <c r="L3463">
        <v>3000</v>
      </c>
      <c r="M3463" t="s">
        <v>867</v>
      </c>
      <c r="N3463">
        <v>1.5</v>
      </c>
    </row>
    <row r="3464" hidden="1" spans="1:14">
      <c r="A3464">
        <v>5026</v>
      </c>
      <c r="C3464" t="s">
        <v>813</v>
      </c>
      <c r="E3464">
        <v>124.94</v>
      </c>
      <c r="F3464">
        <v>12.1765</v>
      </c>
      <c r="G3464">
        <v>7008.09</v>
      </c>
      <c r="H3464" s="1">
        <v>44235</v>
      </c>
      <c r="I3464" s="1">
        <v>44241</v>
      </c>
      <c r="J3464" t="s">
        <v>56</v>
      </c>
      <c r="K3464">
        <v>1</v>
      </c>
      <c r="L3464">
        <v>10000</v>
      </c>
      <c r="M3464" t="s">
        <v>49</v>
      </c>
      <c r="N3464">
        <v>1.5</v>
      </c>
    </row>
    <row r="3465" hidden="1" spans="1:14">
      <c r="A3465">
        <v>5029</v>
      </c>
      <c r="C3465" t="s">
        <v>813</v>
      </c>
      <c r="E3465">
        <v>125.893</v>
      </c>
      <c r="F3465">
        <v>9.0523</v>
      </c>
      <c r="G3465">
        <v>4426.83</v>
      </c>
      <c r="H3465" s="1">
        <v>44248</v>
      </c>
      <c r="I3465" s="1">
        <v>44249</v>
      </c>
      <c r="J3465" t="s">
        <v>56</v>
      </c>
      <c r="K3465">
        <v>0</v>
      </c>
      <c r="L3465">
        <v>60000</v>
      </c>
      <c r="M3465" t="s">
        <v>868</v>
      </c>
      <c r="N3465">
        <v>1.5</v>
      </c>
    </row>
    <row r="3466" hidden="1" spans="1:14">
      <c r="A3466">
        <v>5056</v>
      </c>
      <c r="C3466" t="s">
        <v>813</v>
      </c>
      <c r="E3466">
        <v>125.485</v>
      </c>
      <c r="F3466">
        <v>7.01944</v>
      </c>
      <c r="G3466">
        <v>4521.68</v>
      </c>
      <c r="H3466" s="1">
        <v>44312</v>
      </c>
      <c r="I3466" s="1">
        <v>44313</v>
      </c>
      <c r="J3466" t="s">
        <v>56</v>
      </c>
      <c r="K3466">
        <v>0</v>
      </c>
      <c r="L3466">
        <v>419</v>
      </c>
      <c r="M3466" t="s">
        <v>52</v>
      </c>
      <c r="N3466">
        <v>1.5</v>
      </c>
    </row>
    <row r="3467" hidden="1" spans="1:14">
      <c r="A3467">
        <v>5079</v>
      </c>
      <c r="C3467" t="s">
        <v>813</v>
      </c>
      <c r="E3467">
        <v>124.73</v>
      </c>
      <c r="F3467">
        <v>8.60607</v>
      </c>
      <c r="G3467">
        <v>115039.24</v>
      </c>
      <c r="H3467" s="1">
        <v>44347</v>
      </c>
      <c r="I3467" s="1">
        <v>44349</v>
      </c>
      <c r="J3467" t="s">
        <v>56</v>
      </c>
      <c r="K3467">
        <v>0</v>
      </c>
      <c r="L3467">
        <v>600</v>
      </c>
      <c r="M3467" t="s">
        <v>869</v>
      </c>
      <c r="N3467">
        <v>1.5</v>
      </c>
    </row>
    <row r="3468" hidden="1" spans="1:14">
      <c r="A3468">
        <v>1584</v>
      </c>
      <c r="B3468">
        <v>0</v>
      </c>
      <c r="C3468" t="s">
        <v>870</v>
      </c>
      <c r="D3468">
        <v>0</v>
      </c>
      <c r="E3468">
        <v>126.1</v>
      </c>
      <c r="F3468">
        <v>7.19937</v>
      </c>
      <c r="G3468">
        <v>16784.23</v>
      </c>
      <c r="H3468" s="1">
        <v>36553</v>
      </c>
      <c r="I3468" s="1">
        <v>36557</v>
      </c>
      <c r="J3468" t="s">
        <v>15</v>
      </c>
      <c r="K3468">
        <v>23</v>
      </c>
      <c r="L3468">
        <v>20000</v>
      </c>
      <c r="M3468" t="s">
        <v>18</v>
      </c>
      <c r="N3468">
        <v>1</v>
      </c>
    </row>
    <row r="3469" hidden="1" spans="1:14">
      <c r="A3469">
        <v>1678</v>
      </c>
      <c r="B3469">
        <v>0</v>
      </c>
      <c r="C3469" t="s">
        <v>870</v>
      </c>
      <c r="D3469">
        <v>0</v>
      </c>
      <c r="E3469">
        <v>122.682</v>
      </c>
      <c r="F3469">
        <v>11.3819</v>
      </c>
      <c r="G3469">
        <v>2197.83</v>
      </c>
      <c r="H3469" s="1">
        <v>36868</v>
      </c>
      <c r="I3469" s="1">
        <v>36871</v>
      </c>
      <c r="J3469" t="s">
        <v>15</v>
      </c>
      <c r="K3469">
        <v>11</v>
      </c>
      <c r="L3469">
        <v>55000</v>
      </c>
      <c r="M3469" t="s">
        <v>86</v>
      </c>
      <c r="N3469">
        <v>1</v>
      </c>
    </row>
    <row r="3470" hidden="1" spans="1:14">
      <c r="A3470">
        <v>1687</v>
      </c>
      <c r="B3470">
        <v>0</v>
      </c>
      <c r="C3470" t="s">
        <v>870</v>
      </c>
      <c r="D3470">
        <v>0</v>
      </c>
      <c r="E3470">
        <v>123.05</v>
      </c>
      <c r="F3470">
        <v>10.7585</v>
      </c>
      <c r="G3470">
        <v>845.614</v>
      </c>
      <c r="H3470" s="1">
        <v>36906</v>
      </c>
      <c r="I3470" s="1">
        <v>36906</v>
      </c>
      <c r="J3470" t="s">
        <v>15</v>
      </c>
      <c r="K3470">
        <v>2</v>
      </c>
      <c r="L3470">
        <v>12000</v>
      </c>
      <c r="M3470" t="s">
        <v>16</v>
      </c>
      <c r="N3470">
        <v>1</v>
      </c>
    </row>
    <row r="3471" hidden="1" spans="1:14">
      <c r="A3471">
        <v>1777</v>
      </c>
      <c r="B3471">
        <v>0</v>
      </c>
      <c r="C3471" t="s">
        <v>870</v>
      </c>
      <c r="D3471">
        <v>0</v>
      </c>
      <c r="E3471">
        <v>122.872</v>
      </c>
      <c r="F3471">
        <v>7.79888</v>
      </c>
      <c r="G3471">
        <v>31875.75</v>
      </c>
      <c r="H3471" s="1">
        <v>37115</v>
      </c>
      <c r="I3471" s="1">
        <v>37117</v>
      </c>
      <c r="J3471" t="s">
        <v>15</v>
      </c>
      <c r="K3471">
        <v>34</v>
      </c>
      <c r="L3471">
        <v>79000</v>
      </c>
      <c r="M3471" t="s">
        <v>18</v>
      </c>
      <c r="N3471">
        <v>1</v>
      </c>
    </row>
    <row r="3472" hidden="1" spans="1:14">
      <c r="A3472">
        <v>1808</v>
      </c>
      <c r="B3472">
        <v>0</v>
      </c>
      <c r="C3472" t="s">
        <v>870</v>
      </c>
      <c r="D3472">
        <v>0</v>
      </c>
      <c r="E3472">
        <v>122.076</v>
      </c>
      <c r="F3472">
        <v>6.96054</v>
      </c>
      <c r="G3472">
        <v>187.985</v>
      </c>
      <c r="H3472" s="1">
        <v>37174</v>
      </c>
      <c r="I3472" s="1">
        <v>37174</v>
      </c>
      <c r="J3472" t="s">
        <v>15</v>
      </c>
      <c r="K3472">
        <v>4</v>
      </c>
      <c r="L3472">
        <v>300</v>
      </c>
      <c r="M3472" t="s">
        <v>18</v>
      </c>
      <c r="N3472">
        <v>1</v>
      </c>
    </row>
    <row r="3473" hidden="1" spans="1:14">
      <c r="A3473">
        <v>1827</v>
      </c>
      <c r="B3473">
        <v>0</v>
      </c>
      <c r="C3473" t="s">
        <v>870</v>
      </c>
      <c r="D3473">
        <v>0</v>
      </c>
      <c r="E3473">
        <v>122.957</v>
      </c>
      <c r="F3473">
        <v>10.2122</v>
      </c>
      <c r="G3473">
        <v>6244.32</v>
      </c>
      <c r="H3473" s="1">
        <v>37214</v>
      </c>
      <c r="I3473" s="1">
        <v>37216</v>
      </c>
      <c r="J3473" t="s">
        <v>15</v>
      </c>
      <c r="K3473">
        <v>0</v>
      </c>
      <c r="L3473">
        <v>29000</v>
      </c>
      <c r="M3473" t="s">
        <v>16</v>
      </c>
      <c r="N3473">
        <v>1</v>
      </c>
    </row>
    <row r="3474" hidden="1" spans="1:14">
      <c r="A3474">
        <v>3</v>
      </c>
      <c r="B3474">
        <v>0</v>
      </c>
      <c r="C3474" t="s">
        <v>871</v>
      </c>
      <c r="D3474">
        <v>0</v>
      </c>
      <c r="E3474">
        <v>122.974</v>
      </c>
      <c r="F3474">
        <v>10.0207</v>
      </c>
      <c r="G3474">
        <v>12846.03</v>
      </c>
      <c r="H3474" s="1">
        <v>31067</v>
      </c>
      <c r="I3474" s="1">
        <v>31068</v>
      </c>
      <c r="J3474" t="s">
        <v>15</v>
      </c>
      <c r="K3474">
        <v>43</v>
      </c>
      <c r="L3474">
        <v>444</v>
      </c>
      <c r="M3474" t="s">
        <v>64</v>
      </c>
      <c r="N3474">
        <v>1</v>
      </c>
    </row>
    <row r="3475" hidden="1" spans="1:14">
      <c r="A3475">
        <v>63</v>
      </c>
      <c r="B3475">
        <v>0</v>
      </c>
      <c r="C3475" t="s">
        <v>871</v>
      </c>
      <c r="D3475">
        <v>0</v>
      </c>
      <c r="E3475">
        <v>121.138</v>
      </c>
      <c r="F3475">
        <v>16.1135</v>
      </c>
      <c r="G3475">
        <v>89516.87</v>
      </c>
      <c r="H3475" s="1">
        <v>31339</v>
      </c>
      <c r="I3475" s="1">
        <v>31340</v>
      </c>
      <c r="J3475" t="s">
        <v>15</v>
      </c>
      <c r="K3475">
        <v>31</v>
      </c>
      <c r="L3475">
        <v>0</v>
      </c>
      <c r="M3475" t="s">
        <v>86</v>
      </c>
      <c r="N3475">
        <v>1</v>
      </c>
    </row>
    <row r="3476" hidden="1" spans="1:14">
      <c r="A3476">
        <v>281</v>
      </c>
      <c r="B3476">
        <v>0</v>
      </c>
      <c r="C3476" t="s">
        <v>871</v>
      </c>
      <c r="D3476">
        <v>0</v>
      </c>
      <c r="E3476">
        <v>125.355</v>
      </c>
      <c r="F3476">
        <v>11.2304</v>
      </c>
      <c r="G3476">
        <v>35394.81</v>
      </c>
      <c r="H3476" s="1">
        <v>32533</v>
      </c>
      <c r="I3476" s="1">
        <v>32547</v>
      </c>
      <c r="J3476" t="s">
        <v>15</v>
      </c>
      <c r="K3476">
        <v>72</v>
      </c>
      <c r="L3476">
        <v>551051</v>
      </c>
      <c r="M3476" t="s">
        <v>23</v>
      </c>
      <c r="N3476">
        <v>1</v>
      </c>
    </row>
    <row r="3477" hidden="1" spans="1:14">
      <c r="A3477">
        <v>306</v>
      </c>
      <c r="B3477">
        <v>0</v>
      </c>
      <c r="C3477" t="s">
        <v>871</v>
      </c>
      <c r="D3477">
        <v>0</v>
      </c>
      <c r="E3477">
        <v>126.068</v>
      </c>
      <c r="F3477">
        <v>8.89905</v>
      </c>
      <c r="G3477">
        <v>3945.58</v>
      </c>
      <c r="H3477" s="1">
        <v>32660</v>
      </c>
      <c r="I3477" s="1">
        <v>32667</v>
      </c>
      <c r="J3477" t="s">
        <v>15</v>
      </c>
      <c r="K3477">
        <v>11</v>
      </c>
      <c r="L3477">
        <v>4000</v>
      </c>
      <c r="M3477" t="s">
        <v>16</v>
      </c>
      <c r="N3477">
        <v>1</v>
      </c>
    </row>
    <row r="3478" hidden="1" spans="1:14">
      <c r="A3478">
        <v>670</v>
      </c>
      <c r="B3478">
        <v>0</v>
      </c>
      <c r="C3478" t="s">
        <v>871</v>
      </c>
      <c r="D3478">
        <v>0</v>
      </c>
      <c r="E3478">
        <v>121.03</v>
      </c>
      <c r="F3478">
        <v>15.6717</v>
      </c>
      <c r="G3478">
        <v>5256.53</v>
      </c>
      <c r="H3478" s="1">
        <v>33806</v>
      </c>
      <c r="I3478" s="1">
        <v>33814</v>
      </c>
      <c r="J3478" t="s">
        <v>15</v>
      </c>
      <c r="K3478">
        <v>20</v>
      </c>
      <c r="L3478">
        <v>0</v>
      </c>
      <c r="M3478" t="s">
        <v>86</v>
      </c>
      <c r="N3478">
        <v>1</v>
      </c>
    </row>
    <row r="3479" hidden="1" spans="1:14">
      <c r="A3479">
        <v>1445</v>
      </c>
      <c r="B3479">
        <v>0</v>
      </c>
      <c r="C3479" t="s">
        <v>871</v>
      </c>
      <c r="D3479">
        <v>0</v>
      </c>
      <c r="E3479">
        <v>120.781</v>
      </c>
      <c r="F3479">
        <v>15.0247</v>
      </c>
      <c r="G3479">
        <v>3669.43</v>
      </c>
      <c r="H3479" s="1">
        <v>36055</v>
      </c>
      <c r="I3479" s="1">
        <v>36057</v>
      </c>
      <c r="J3479" t="s">
        <v>15</v>
      </c>
      <c r="K3479">
        <v>27</v>
      </c>
      <c r="L3479">
        <v>70512</v>
      </c>
      <c r="M3479" t="s">
        <v>16</v>
      </c>
      <c r="N3479">
        <v>1</v>
      </c>
    </row>
    <row r="3480" hidden="1" spans="1:14">
      <c r="A3480">
        <v>1489</v>
      </c>
      <c r="B3480">
        <v>0</v>
      </c>
      <c r="C3480" t="s">
        <v>871</v>
      </c>
      <c r="D3480">
        <v>0</v>
      </c>
      <c r="E3480">
        <v>126.134</v>
      </c>
      <c r="F3480">
        <v>8.1918</v>
      </c>
      <c r="G3480">
        <v>42062.1</v>
      </c>
      <c r="H3480" s="1">
        <v>36195</v>
      </c>
      <c r="I3480" s="1">
        <v>36199</v>
      </c>
      <c r="J3480" t="s">
        <v>15</v>
      </c>
      <c r="K3480">
        <v>24</v>
      </c>
      <c r="L3480">
        <v>500000</v>
      </c>
      <c r="M3480" t="s">
        <v>18</v>
      </c>
      <c r="N3480">
        <v>1</v>
      </c>
    </row>
    <row r="3481" hidden="1" spans="1:14">
      <c r="A3481">
        <v>1504</v>
      </c>
      <c r="B3481">
        <v>0</v>
      </c>
      <c r="C3481" t="s">
        <v>871</v>
      </c>
      <c r="D3481">
        <v>0</v>
      </c>
      <c r="E3481">
        <v>126.304</v>
      </c>
      <c r="F3481">
        <v>8.22671</v>
      </c>
      <c r="G3481">
        <v>27207.35</v>
      </c>
      <c r="H3481" s="1">
        <v>36265</v>
      </c>
      <c r="I3481" s="1">
        <v>36271</v>
      </c>
      <c r="J3481" t="s">
        <v>15</v>
      </c>
      <c r="K3481">
        <v>11</v>
      </c>
      <c r="L3481">
        <v>200</v>
      </c>
      <c r="M3481" t="s">
        <v>16</v>
      </c>
      <c r="N3481">
        <v>1</v>
      </c>
    </row>
    <row r="3482" hidden="1" spans="1:14">
      <c r="A3482">
        <v>1800</v>
      </c>
      <c r="B3482">
        <v>0</v>
      </c>
      <c r="C3482" t="s">
        <v>871</v>
      </c>
      <c r="D3482">
        <v>0</v>
      </c>
      <c r="E3482">
        <v>121.539</v>
      </c>
      <c r="F3482">
        <v>18.1538</v>
      </c>
      <c r="G3482">
        <v>6000.64</v>
      </c>
      <c r="H3482" s="1">
        <v>37158</v>
      </c>
      <c r="I3482" s="1">
        <v>37159</v>
      </c>
      <c r="J3482" t="s">
        <v>15</v>
      </c>
      <c r="K3482">
        <v>1</v>
      </c>
      <c r="L3482">
        <v>0</v>
      </c>
      <c r="M3482" t="s">
        <v>16</v>
      </c>
      <c r="N3482">
        <v>1</v>
      </c>
    </row>
    <row r="3483" hidden="1" spans="1:14">
      <c r="A3483">
        <v>1858</v>
      </c>
      <c r="B3483">
        <v>0</v>
      </c>
      <c r="C3483" t="s">
        <v>871</v>
      </c>
      <c r="D3483">
        <v>0</v>
      </c>
      <c r="E3483">
        <v>125.828</v>
      </c>
      <c r="F3483">
        <v>8.25125</v>
      </c>
      <c r="G3483">
        <v>13421.56</v>
      </c>
      <c r="H3483" s="1">
        <v>37260</v>
      </c>
      <c r="I3483" s="1">
        <v>37263</v>
      </c>
      <c r="J3483" t="s">
        <v>15</v>
      </c>
      <c r="K3483">
        <v>9</v>
      </c>
      <c r="L3483">
        <v>95000</v>
      </c>
      <c r="M3483" t="s">
        <v>16</v>
      </c>
      <c r="N3483">
        <v>1</v>
      </c>
    </row>
    <row r="3484" hidden="1" spans="1:14">
      <c r="A3484">
        <v>1896</v>
      </c>
      <c r="B3484">
        <v>0</v>
      </c>
      <c r="C3484" t="s">
        <v>871</v>
      </c>
      <c r="D3484">
        <v>0</v>
      </c>
      <c r="E3484">
        <v>126.216</v>
      </c>
      <c r="F3484">
        <v>8.84884</v>
      </c>
      <c r="G3484">
        <v>5284.45</v>
      </c>
      <c r="H3484" s="1">
        <v>37336</v>
      </c>
      <c r="I3484" s="1">
        <v>37341</v>
      </c>
      <c r="J3484" t="s">
        <v>15</v>
      </c>
      <c r="K3484">
        <v>35</v>
      </c>
      <c r="L3484">
        <v>50000</v>
      </c>
      <c r="M3484" t="s">
        <v>16</v>
      </c>
      <c r="N3484">
        <v>1</v>
      </c>
    </row>
    <row r="3485" hidden="1" spans="1:14">
      <c r="A3485">
        <v>2772</v>
      </c>
      <c r="B3485">
        <v>0</v>
      </c>
      <c r="C3485" t="s">
        <v>871</v>
      </c>
      <c r="D3485">
        <v>0</v>
      </c>
      <c r="E3485">
        <v>119.171</v>
      </c>
      <c r="F3485">
        <v>10.0917</v>
      </c>
      <c r="G3485">
        <v>4629.7</v>
      </c>
      <c r="H3485" s="1">
        <v>38691</v>
      </c>
      <c r="I3485" s="1">
        <v>38715</v>
      </c>
      <c r="J3485" t="s">
        <v>15</v>
      </c>
      <c r="K3485">
        <v>9</v>
      </c>
      <c r="L3485">
        <v>60000</v>
      </c>
      <c r="M3485" t="s">
        <v>23</v>
      </c>
      <c r="N3485">
        <v>1</v>
      </c>
    </row>
    <row r="3486" hidden="1" spans="1:14">
      <c r="A3486">
        <v>4555</v>
      </c>
      <c r="B3486" t="s">
        <v>872</v>
      </c>
      <c r="C3486" t="s">
        <v>871</v>
      </c>
      <c r="E3486">
        <v>125.295</v>
      </c>
      <c r="F3486">
        <v>8.44529</v>
      </c>
      <c r="G3486">
        <v>49721.14</v>
      </c>
      <c r="H3486" s="1">
        <v>43091</v>
      </c>
      <c r="I3486" s="1">
        <v>43096</v>
      </c>
      <c r="J3486" t="s">
        <v>15</v>
      </c>
      <c r="K3486">
        <v>160</v>
      </c>
      <c r="L3486">
        <v>140000</v>
      </c>
      <c r="M3486" t="s">
        <v>873</v>
      </c>
      <c r="N3486">
        <v>2</v>
      </c>
    </row>
    <row r="3487" hidden="1" spans="1:14">
      <c r="A3487">
        <v>3157</v>
      </c>
      <c r="B3487" t="s">
        <v>874</v>
      </c>
      <c r="C3487" t="s">
        <v>875</v>
      </c>
      <c r="D3487">
        <v>0</v>
      </c>
      <c r="E3487">
        <v>121.091</v>
      </c>
      <c r="F3487">
        <v>14.6726</v>
      </c>
      <c r="G3487">
        <v>4112.57</v>
      </c>
      <c r="H3487" s="1">
        <v>39302</v>
      </c>
      <c r="I3487" s="1">
        <v>39307</v>
      </c>
      <c r="J3487" t="s">
        <v>15</v>
      </c>
      <c r="K3487">
        <v>11</v>
      </c>
      <c r="L3487">
        <v>12000</v>
      </c>
      <c r="M3487" t="s">
        <v>86</v>
      </c>
      <c r="N3487">
        <v>1</v>
      </c>
    </row>
    <row r="3488" hidden="1" spans="1:14">
      <c r="A3488">
        <v>558</v>
      </c>
      <c r="B3488">
        <v>0</v>
      </c>
      <c r="C3488" t="s">
        <v>876</v>
      </c>
      <c r="D3488">
        <v>0</v>
      </c>
      <c r="E3488">
        <v>19.4632</v>
      </c>
      <c r="F3488">
        <v>48.5357</v>
      </c>
      <c r="G3488">
        <v>65817.59</v>
      </c>
      <c r="H3488" s="1">
        <v>33452</v>
      </c>
      <c r="I3488" s="1">
        <v>33456</v>
      </c>
      <c r="J3488" t="s">
        <v>15</v>
      </c>
      <c r="K3488">
        <v>0</v>
      </c>
      <c r="L3488">
        <v>0</v>
      </c>
      <c r="M3488" t="s">
        <v>16</v>
      </c>
      <c r="N3488">
        <v>2</v>
      </c>
    </row>
    <row r="3489" hidden="1" spans="1:14">
      <c r="A3489">
        <v>1161</v>
      </c>
      <c r="B3489">
        <v>0</v>
      </c>
      <c r="C3489" t="s">
        <v>876</v>
      </c>
      <c r="D3489">
        <v>0</v>
      </c>
      <c r="E3489">
        <v>16.7191</v>
      </c>
      <c r="F3489">
        <v>51.0166</v>
      </c>
      <c r="G3489">
        <v>34953.58</v>
      </c>
      <c r="H3489" s="1">
        <v>35614</v>
      </c>
      <c r="I3489" s="1">
        <v>35651</v>
      </c>
      <c r="J3489" t="s">
        <v>15</v>
      </c>
      <c r="K3489">
        <v>54</v>
      </c>
      <c r="L3489">
        <v>162500</v>
      </c>
      <c r="M3489" t="s">
        <v>16</v>
      </c>
      <c r="N3489">
        <v>2</v>
      </c>
    </row>
    <row r="3490" hidden="1" spans="1:14">
      <c r="A3490">
        <v>1341</v>
      </c>
      <c r="B3490">
        <v>0</v>
      </c>
      <c r="C3490" t="s">
        <v>876</v>
      </c>
      <c r="D3490">
        <v>0</v>
      </c>
      <c r="E3490">
        <v>21.4107</v>
      </c>
      <c r="F3490">
        <v>50.7686</v>
      </c>
      <c r="G3490">
        <v>50161.72</v>
      </c>
      <c r="H3490" s="1">
        <v>35905</v>
      </c>
      <c r="I3490" s="1">
        <v>35911</v>
      </c>
      <c r="J3490" t="s">
        <v>15</v>
      </c>
      <c r="K3490">
        <v>0</v>
      </c>
      <c r="L3490">
        <v>1500</v>
      </c>
      <c r="M3490" t="s">
        <v>16</v>
      </c>
      <c r="N3490">
        <v>1</v>
      </c>
    </row>
    <row r="3491" hidden="1" spans="1:14">
      <c r="A3491">
        <v>1423</v>
      </c>
      <c r="B3491">
        <v>0</v>
      </c>
      <c r="C3491" t="s">
        <v>876</v>
      </c>
      <c r="D3491">
        <v>0</v>
      </c>
      <c r="E3491">
        <v>19.1174</v>
      </c>
      <c r="F3491">
        <v>49.8767</v>
      </c>
      <c r="G3491">
        <v>13180.01</v>
      </c>
      <c r="H3491" s="1">
        <v>35999</v>
      </c>
      <c r="I3491" s="1">
        <v>36003</v>
      </c>
      <c r="J3491" t="s">
        <v>15</v>
      </c>
      <c r="K3491">
        <v>9</v>
      </c>
      <c r="L3491">
        <v>1200</v>
      </c>
      <c r="M3491" t="s">
        <v>16</v>
      </c>
      <c r="N3491">
        <v>1</v>
      </c>
    </row>
    <row r="3492" hidden="1" spans="1:14">
      <c r="A3492">
        <v>1735</v>
      </c>
      <c r="B3492">
        <v>0</v>
      </c>
      <c r="C3492" t="s">
        <v>876</v>
      </c>
      <c r="D3492">
        <v>0</v>
      </c>
      <c r="E3492">
        <v>18.4902</v>
      </c>
      <c r="F3492">
        <v>44.6998</v>
      </c>
      <c r="G3492">
        <v>14265.28</v>
      </c>
      <c r="H3492" s="1">
        <v>37061</v>
      </c>
      <c r="I3492" s="1">
        <v>37064</v>
      </c>
      <c r="J3492" t="s">
        <v>15</v>
      </c>
      <c r="K3492">
        <v>9</v>
      </c>
      <c r="L3492">
        <v>6000</v>
      </c>
      <c r="M3492" t="s">
        <v>16</v>
      </c>
      <c r="N3492">
        <v>1</v>
      </c>
    </row>
    <row r="3493" hidden="1" spans="1:14">
      <c r="A3493">
        <v>2640</v>
      </c>
      <c r="B3493">
        <v>0</v>
      </c>
      <c r="C3493" t="s">
        <v>876</v>
      </c>
      <c r="D3493" t="s">
        <v>218</v>
      </c>
      <c r="E3493">
        <v>21.6586</v>
      </c>
      <c r="F3493">
        <v>50.5111</v>
      </c>
      <c r="G3493">
        <v>673469.24</v>
      </c>
      <c r="H3493" s="1">
        <v>38428</v>
      </c>
      <c r="I3493" s="1">
        <v>38450</v>
      </c>
      <c r="J3493" t="s">
        <v>15</v>
      </c>
      <c r="K3493">
        <v>4</v>
      </c>
      <c r="L3493">
        <v>1000</v>
      </c>
      <c r="M3493" t="s">
        <v>39</v>
      </c>
      <c r="N3493">
        <v>1</v>
      </c>
    </row>
    <row r="3494" hidden="1" spans="1:14">
      <c r="A3494">
        <v>2884</v>
      </c>
      <c r="B3494">
        <v>0</v>
      </c>
      <c r="C3494" t="s">
        <v>876</v>
      </c>
      <c r="D3494" t="s">
        <v>877</v>
      </c>
      <c r="E3494">
        <v>20.9315</v>
      </c>
      <c r="F3494">
        <v>49.5049</v>
      </c>
      <c r="G3494">
        <v>27577.82</v>
      </c>
      <c r="H3494" s="1">
        <v>38872</v>
      </c>
      <c r="I3494" s="1">
        <v>38874</v>
      </c>
      <c r="J3494" t="s">
        <v>15</v>
      </c>
      <c r="K3494">
        <v>0</v>
      </c>
      <c r="L3494">
        <v>600</v>
      </c>
      <c r="M3494" t="s">
        <v>16</v>
      </c>
      <c r="N3494">
        <v>1</v>
      </c>
    </row>
    <row r="3495" hidden="1" spans="1:14">
      <c r="A3495">
        <v>4763</v>
      </c>
      <c r="C3495" t="s">
        <v>876</v>
      </c>
      <c r="E3495">
        <v>22.4403</v>
      </c>
      <c r="F3495">
        <v>51.7983</v>
      </c>
      <c r="G3495">
        <v>20826.64</v>
      </c>
      <c r="H3495" s="1">
        <v>43635</v>
      </c>
      <c r="I3495" s="1">
        <v>43639</v>
      </c>
      <c r="J3495" t="s">
        <v>56</v>
      </c>
      <c r="K3495">
        <v>0</v>
      </c>
      <c r="L3495">
        <v>20</v>
      </c>
      <c r="M3495" t="s">
        <v>52</v>
      </c>
      <c r="N3495">
        <v>1</v>
      </c>
    </row>
    <row r="3496" hidden="1" spans="1:14">
      <c r="A3496">
        <v>4940</v>
      </c>
      <c r="C3496" t="s">
        <v>876</v>
      </c>
      <c r="E3496">
        <v>22.4898</v>
      </c>
      <c r="F3496">
        <v>51.1537</v>
      </c>
      <c r="G3496">
        <v>47884.2</v>
      </c>
      <c r="H3496" s="1">
        <v>44011</v>
      </c>
      <c r="I3496" s="1">
        <v>44017</v>
      </c>
      <c r="J3496" t="s">
        <v>56</v>
      </c>
      <c r="K3496">
        <v>0</v>
      </c>
      <c r="L3496">
        <v>300</v>
      </c>
      <c r="M3496" t="s">
        <v>49</v>
      </c>
      <c r="N3496">
        <v>1</v>
      </c>
    </row>
    <row r="3497" hidden="1" spans="1:14">
      <c r="A3497">
        <v>131</v>
      </c>
      <c r="B3497">
        <v>0</v>
      </c>
      <c r="C3497" t="s">
        <v>878</v>
      </c>
      <c r="D3497">
        <v>0</v>
      </c>
      <c r="E3497">
        <v>20.6162</v>
      </c>
      <c r="F3497">
        <v>49.6687</v>
      </c>
      <c r="G3497">
        <v>13629.47</v>
      </c>
      <c r="H3497" s="1">
        <v>31920</v>
      </c>
      <c r="I3497" s="1">
        <v>31923</v>
      </c>
      <c r="J3497" t="s">
        <v>15</v>
      </c>
      <c r="K3497">
        <v>0</v>
      </c>
      <c r="L3497">
        <v>500</v>
      </c>
      <c r="M3497" t="s">
        <v>64</v>
      </c>
      <c r="N3497">
        <v>1</v>
      </c>
    </row>
    <row r="3498" hidden="1" spans="1:14">
      <c r="A3498">
        <v>1715</v>
      </c>
      <c r="B3498">
        <v>0</v>
      </c>
      <c r="C3498" t="s">
        <v>878</v>
      </c>
      <c r="D3498">
        <v>0</v>
      </c>
      <c r="E3498">
        <v>19.17</v>
      </c>
      <c r="F3498">
        <v>50.7963</v>
      </c>
      <c r="G3498">
        <v>3118.43</v>
      </c>
      <c r="H3498" s="1">
        <v>37003</v>
      </c>
      <c r="I3498" s="1">
        <v>37007</v>
      </c>
      <c r="J3498" t="s">
        <v>15</v>
      </c>
      <c r="K3498">
        <v>0</v>
      </c>
      <c r="L3498">
        <v>0</v>
      </c>
      <c r="M3498" t="s">
        <v>16</v>
      </c>
      <c r="N3498">
        <v>1</v>
      </c>
    </row>
    <row r="3499" hidden="1" spans="1:14">
      <c r="A3499">
        <v>1748</v>
      </c>
      <c r="B3499">
        <v>0</v>
      </c>
      <c r="C3499" t="s">
        <v>878</v>
      </c>
      <c r="D3499">
        <v>0</v>
      </c>
      <c r="E3499">
        <v>18.5736</v>
      </c>
      <c r="F3499">
        <v>54.2845</v>
      </c>
      <c r="G3499">
        <v>1362.89</v>
      </c>
      <c r="H3499" s="1">
        <v>37082</v>
      </c>
      <c r="I3499" s="1">
        <v>37082</v>
      </c>
      <c r="J3499" t="s">
        <v>15</v>
      </c>
      <c r="K3499">
        <v>4</v>
      </c>
      <c r="L3499">
        <v>650</v>
      </c>
      <c r="M3499" t="s">
        <v>18</v>
      </c>
      <c r="N3499">
        <v>1</v>
      </c>
    </row>
    <row r="3500" hidden="1" spans="1:14">
      <c r="A3500">
        <v>1758</v>
      </c>
      <c r="B3500">
        <v>0</v>
      </c>
      <c r="C3500" t="s">
        <v>878</v>
      </c>
      <c r="D3500">
        <v>0</v>
      </c>
      <c r="E3500">
        <v>20.8369</v>
      </c>
      <c r="F3500">
        <v>49.7291</v>
      </c>
      <c r="G3500">
        <v>47892.63</v>
      </c>
      <c r="H3500" s="1">
        <v>37092</v>
      </c>
      <c r="I3500" s="1">
        <v>37106</v>
      </c>
      <c r="J3500" t="s">
        <v>15</v>
      </c>
      <c r="K3500">
        <v>30</v>
      </c>
      <c r="L3500">
        <v>16000</v>
      </c>
      <c r="M3500" t="s">
        <v>18</v>
      </c>
      <c r="N3500">
        <v>1</v>
      </c>
    </row>
    <row r="3501" hidden="1" spans="1:14">
      <c r="A3501">
        <v>279</v>
      </c>
      <c r="B3501">
        <v>0</v>
      </c>
      <c r="C3501" t="s">
        <v>425</v>
      </c>
      <c r="D3501">
        <v>0</v>
      </c>
      <c r="E3501">
        <v>-8.61306</v>
      </c>
      <c r="F3501">
        <v>39.235</v>
      </c>
      <c r="G3501">
        <v>3133.98</v>
      </c>
      <c r="H3501" s="1">
        <v>32530</v>
      </c>
      <c r="I3501" s="1">
        <v>32549</v>
      </c>
      <c r="J3501" t="s">
        <v>15</v>
      </c>
      <c r="K3501">
        <v>2</v>
      </c>
      <c r="L3501">
        <v>20000</v>
      </c>
      <c r="M3501" t="s">
        <v>16</v>
      </c>
      <c r="N3501">
        <v>1</v>
      </c>
    </row>
    <row r="3502" hidden="1" spans="1:14">
      <c r="A3502">
        <v>1197</v>
      </c>
      <c r="B3502">
        <v>0</v>
      </c>
      <c r="C3502" t="s">
        <v>425</v>
      </c>
      <c r="D3502">
        <v>0</v>
      </c>
      <c r="E3502">
        <v>-8.21596</v>
      </c>
      <c r="F3502">
        <v>39.2204</v>
      </c>
      <c r="G3502">
        <v>40357.57</v>
      </c>
      <c r="H3502" s="1">
        <v>35732</v>
      </c>
      <c r="I3502" s="1">
        <v>35736</v>
      </c>
      <c r="J3502" t="s">
        <v>15</v>
      </c>
      <c r="K3502">
        <v>29</v>
      </c>
      <c r="L3502">
        <v>50</v>
      </c>
      <c r="M3502" t="s">
        <v>16</v>
      </c>
      <c r="N3502">
        <v>1</v>
      </c>
    </row>
    <row r="3503" hidden="1" spans="1:14">
      <c r="A3503">
        <v>1283</v>
      </c>
      <c r="B3503">
        <v>0</v>
      </c>
      <c r="C3503" t="s">
        <v>425</v>
      </c>
      <c r="D3503">
        <v>0</v>
      </c>
      <c r="E3503">
        <v>-16.9882</v>
      </c>
      <c r="F3503">
        <v>32.7469</v>
      </c>
      <c r="G3503">
        <v>771.954</v>
      </c>
      <c r="H3503" s="1">
        <v>35706</v>
      </c>
      <c r="I3503" s="1">
        <v>35708</v>
      </c>
      <c r="J3503" t="s">
        <v>15</v>
      </c>
      <c r="K3503">
        <v>2</v>
      </c>
      <c r="L3503">
        <v>0</v>
      </c>
      <c r="M3503" t="s">
        <v>16</v>
      </c>
      <c r="N3503">
        <v>1</v>
      </c>
    </row>
    <row r="3504" hidden="1" spans="1:14">
      <c r="A3504">
        <v>3610</v>
      </c>
      <c r="B3504">
        <v>0</v>
      </c>
      <c r="C3504" t="s">
        <v>425</v>
      </c>
      <c r="D3504">
        <v>0</v>
      </c>
      <c r="E3504">
        <v>-17.0049</v>
      </c>
      <c r="F3504">
        <v>32.7438</v>
      </c>
      <c r="G3504">
        <v>483.058</v>
      </c>
      <c r="H3504" s="1">
        <v>40228</v>
      </c>
      <c r="I3504" s="1">
        <v>40229</v>
      </c>
      <c r="J3504">
        <v>0</v>
      </c>
      <c r="K3504">
        <v>32</v>
      </c>
      <c r="L3504">
        <v>0</v>
      </c>
      <c r="M3504" t="s">
        <v>52</v>
      </c>
      <c r="N3504">
        <v>2</v>
      </c>
    </row>
    <row r="3505" hidden="1" spans="1:14">
      <c r="A3505">
        <v>4040</v>
      </c>
      <c r="C3505" t="s">
        <v>425</v>
      </c>
      <c r="E3505">
        <v>-25.5351</v>
      </c>
      <c r="F3505">
        <v>37.8419</v>
      </c>
      <c r="G3505">
        <v>2985.69</v>
      </c>
      <c r="H3505" s="1">
        <v>41347</v>
      </c>
      <c r="I3505" s="1">
        <v>41350</v>
      </c>
      <c r="J3505" t="s">
        <v>15</v>
      </c>
      <c r="K3505">
        <v>0</v>
      </c>
      <c r="L3505">
        <v>30</v>
      </c>
      <c r="M3505" t="s">
        <v>49</v>
      </c>
      <c r="N3505">
        <v>1</v>
      </c>
    </row>
    <row r="3506" hidden="1" spans="1:14">
      <c r="A3506">
        <v>5000</v>
      </c>
      <c r="C3506" t="s">
        <v>425</v>
      </c>
      <c r="E3506">
        <v>-16.9761</v>
      </c>
      <c r="F3506">
        <v>32.7521</v>
      </c>
      <c r="G3506">
        <v>734.385</v>
      </c>
      <c r="H3506" s="1">
        <v>44190</v>
      </c>
      <c r="I3506" s="1">
        <v>44192</v>
      </c>
      <c r="J3506" t="s">
        <v>56</v>
      </c>
      <c r="K3506">
        <v>0</v>
      </c>
      <c r="L3506">
        <v>20</v>
      </c>
      <c r="M3506" t="s">
        <v>49</v>
      </c>
      <c r="N3506">
        <v>1</v>
      </c>
    </row>
    <row r="3507" hidden="1" spans="1:14">
      <c r="A3507">
        <v>1691</v>
      </c>
      <c r="B3507">
        <v>0</v>
      </c>
      <c r="C3507" t="s">
        <v>879</v>
      </c>
      <c r="D3507">
        <v>0</v>
      </c>
      <c r="E3507">
        <v>-7.66736</v>
      </c>
      <c r="F3507">
        <v>40.8045</v>
      </c>
      <c r="G3507">
        <v>10061.81</v>
      </c>
      <c r="H3507" s="1">
        <v>36917</v>
      </c>
      <c r="I3507" s="1">
        <v>36920</v>
      </c>
      <c r="J3507" t="s">
        <v>15</v>
      </c>
      <c r="K3507">
        <v>6</v>
      </c>
      <c r="L3507">
        <v>300</v>
      </c>
      <c r="M3507" t="s">
        <v>16</v>
      </c>
      <c r="N3507">
        <v>2</v>
      </c>
    </row>
    <row r="3508" hidden="1" spans="1:14">
      <c r="A3508">
        <v>1707</v>
      </c>
      <c r="B3508">
        <v>0</v>
      </c>
      <c r="C3508" t="s">
        <v>879</v>
      </c>
      <c r="D3508">
        <v>0</v>
      </c>
      <c r="E3508">
        <v>-8.54227</v>
      </c>
      <c r="F3508">
        <v>41.1654</v>
      </c>
      <c r="G3508">
        <v>817.936</v>
      </c>
      <c r="H3508" s="1">
        <v>36971</v>
      </c>
      <c r="I3508" s="1">
        <v>36972</v>
      </c>
      <c r="J3508" t="s">
        <v>15</v>
      </c>
      <c r="K3508">
        <v>3</v>
      </c>
      <c r="L3508">
        <v>200</v>
      </c>
      <c r="M3508" t="s">
        <v>16</v>
      </c>
      <c r="N3508">
        <v>1</v>
      </c>
    </row>
    <row r="3509" hidden="1" spans="1:14">
      <c r="A3509">
        <v>616</v>
      </c>
      <c r="B3509">
        <v>0</v>
      </c>
      <c r="C3509" t="s">
        <v>880</v>
      </c>
      <c r="D3509">
        <v>0</v>
      </c>
      <c r="E3509">
        <v>-66.4526</v>
      </c>
      <c r="F3509">
        <v>18.2253</v>
      </c>
      <c r="G3509">
        <v>7913.47</v>
      </c>
      <c r="H3509" s="1">
        <v>33608</v>
      </c>
      <c r="I3509" s="1">
        <v>33611</v>
      </c>
      <c r="J3509" t="s">
        <v>15</v>
      </c>
      <c r="K3509">
        <v>20</v>
      </c>
      <c r="L3509">
        <v>600</v>
      </c>
      <c r="M3509" t="s">
        <v>16</v>
      </c>
      <c r="N3509">
        <v>1</v>
      </c>
    </row>
    <row r="3510" hidden="1" spans="1:14">
      <c r="A3510">
        <v>1112</v>
      </c>
      <c r="B3510">
        <v>0</v>
      </c>
      <c r="C3510" t="s">
        <v>880</v>
      </c>
      <c r="D3510" t="s">
        <v>363</v>
      </c>
      <c r="E3510">
        <v>-66.4234</v>
      </c>
      <c r="F3510">
        <v>18.2334</v>
      </c>
      <c r="G3510">
        <v>11196.99</v>
      </c>
      <c r="H3510" s="1">
        <v>35319</v>
      </c>
      <c r="I3510" s="1">
        <v>35327</v>
      </c>
      <c r="J3510" t="s">
        <v>15</v>
      </c>
      <c r="K3510">
        <v>24</v>
      </c>
      <c r="L3510">
        <v>10000</v>
      </c>
      <c r="M3510" t="s">
        <v>103</v>
      </c>
      <c r="N3510">
        <v>1</v>
      </c>
    </row>
    <row r="3511" hidden="1" spans="1:14">
      <c r="A3511">
        <v>1823</v>
      </c>
      <c r="B3511">
        <v>0</v>
      </c>
      <c r="C3511" t="s">
        <v>880</v>
      </c>
      <c r="D3511">
        <v>0</v>
      </c>
      <c r="E3511">
        <v>-66.4289</v>
      </c>
      <c r="F3511">
        <v>18.2233</v>
      </c>
      <c r="G3511">
        <v>8801.88</v>
      </c>
      <c r="H3511" s="1">
        <v>37202</v>
      </c>
      <c r="I3511" s="1">
        <v>37210</v>
      </c>
      <c r="J3511" t="s">
        <v>15</v>
      </c>
      <c r="K3511">
        <v>0</v>
      </c>
      <c r="L3511">
        <v>250</v>
      </c>
      <c r="M3511" t="s">
        <v>16</v>
      </c>
      <c r="N3511">
        <v>1</v>
      </c>
    </row>
    <row r="3512" hidden="1" spans="1:14">
      <c r="A3512">
        <v>3381</v>
      </c>
      <c r="B3512">
        <v>0</v>
      </c>
      <c r="C3512" t="s">
        <v>880</v>
      </c>
      <c r="D3512">
        <v>0</v>
      </c>
      <c r="E3512">
        <v>-66.5533</v>
      </c>
      <c r="F3512">
        <v>18.0513</v>
      </c>
      <c r="G3512">
        <v>1643.82</v>
      </c>
      <c r="H3512" s="1">
        <v>39712</v>
      </c>
      <c r="I3512" s="1">
        <v>39714</v>
      </c>
      <c r="J3512" t="s">
        <v>15</v>
      </c>
      <c r="K3512">
        <v>4</v>
      </c>
      <c r="L3512">
        <v>0</v>
      </c>
      <c r="M3512" t="s">
        <v>16</v>
      </c>
      <c r="N3512">
        <v>1.5</v>
      </c>
    </row>
    <row r="3513" hidden="1" spans="1:14">
      <c r="A3513">
        <v>4310</v>
      </c>
      <c r="B3513" t="s">
        <v>881</v>
      </c>
      <c r="C3513" t="s">
        <v>882</v>
      </c>
      <c r="D3513" t="s">
        <v>772</v>
      </c>
      <c r="E3513">
        <v>51.885</v>
      </c>
      <c r="F3513">
        <v>21.6586</v>
      </c>
      <c r="G3513">
        <v>402659.81</v>
      </c>
      <c r="H3513" s="1">
        <v>42333</v>
      </c>
      <c r="I3513" s="1">
        <v>42342</v>
      </c>
      <c r="J3513" t="s">
        <v>15</v>
      </c>
      <c r="K3513">
        <v>1</v>
      </c>
      <c r="L3513">
        <v>0</v>
      </c>
      <c r="M3513" t="s">
        <v>52</v>
      </c>
      <c r="N3513">
        <v>1</v>
      </c>
    </row>
    <row r="3514" hidden="1" spans="1:14">
      <c r="A3514">
        <v>4846</v>
      </c>
      <c r="C3514" t="s">
        <v>883</v>
      </c>
      <c r="D3514" t="s">
        <v>358</v>
      </c>
      <c r="E3514">
        <v>18.1596</v>
      </c>
      <c r="F3514">
        <v>-1.11981</v>
      </c>
      <c r="G3514">
        <v>585146.24</v>
      </c>
      <c r="H3514" s="1">
        <v>43770</v>
      </c>
      <c r="I3514" s="1">
        <v>43839</v>
      </c>
      <c r="J3514" t="s">
        <v>56</v>
      </c>
      <c r="K3514">
        <v>0</v>
      </c>
      <c r="L3514">
        <v>5000</v>
      </c>
      <c r="M3514" t="s">
        <v>49</v>
      </c>
      <c r="N3514">
        <v>2</v>
      </c>
    </row>
    <row r="3515" hidden="1" spans="1:14">
      <c r="A3515">
        <v>4971</v>
      </c>
      <c r="C3515" t="s">
        <v>883</v>
      </c>
      <c r="E3515">
        <v>15.9575</v>
      </c>
      <c r="F3515">
        <v>1.24751</v>
      </c>
      <c r="G3515">
        <v>142623.1</v>
      </c>
      <c r="H3515" s="1">
        <v>44075</v>
      </c>
      <c r="I3515" s="1">
        <v>44144</v>
      </c>
      <c r="J3515" t="s">
        <v>56</v>
      </c>
      <c r="K3515">
        <v>0</v>
      </c>
      <c r="L3515">
        <v>3000</v>
      </c>
      <c r="M3515" t="s">
        <v>49</v>
      </c>
      <c r="N3515">
        <v>1.5</v>
      </c>
    </row>
    <row r="3516" hidden="1" spans="1:14">
      <c r="A3516">
        <v>552</v>
      </c>
      <c r="B3516">
        <v>0</v>
      </c>
      <c r="C3516" t="s">
        <v>218</v>
      </c>
      <c r="D3516">
        <v>0</v>
      </c>
      <c r="E3516">
        <v>26.7373</v>
      </c>
      <c r="F3516">
        <v>46.966</v>
      </c>
      <c r="G3516">
        <v>40939.94</v>
      </c>
      <c r="H3516" s="1">
        <v>33448</v>
      </c>
      <c r="I3516" s="1">
        <v>33449</v>
      </c>
      <c r="J3516" t="s">
        <v>15</v>
      </c>
      <c r="K3516">
        <v>71</v>
      </c>
      <c r="L3516">
        <v>10000</v>
      </c>
      <c r="M3516" t="s">
        <v>16</v>
      </c>
      <c r="N3516">
        <v>1</v>
      </c>
    </row>
    <row r="3517" hidden="1" spans="1:14">
      <c r="A3517">
        <v>954</v>
      </c>
      <c r="B3517">
        <v>0</v>
      </c>
      <c r="C3517" t="s">
        <v>218</v>
      </c>
      <c r="D3517">
        <v>0</v>
      </c>
      <c r="E3517">
        <v>24.296</v>
      </c>
      <c r="F3517">
        <v>44.5922</v>
      </c>
      <c r="G3517">
        <v>31756.96</v>
      </c>
      <c r="H3517" s="1">
        <v>34842</v>
      </c>
      <c r="I3517" s="1">
        <v>34845</v>
      </c>
      <c r="J3517" t="s">
        <v>15</v>
      </c>
      <c r="K3517">
        <v>0</v>
      </c>
      <c r="L3517">
        <v>1000</v>
      </c>
      <c r="M3517" t="s">
        <v>16</v>
      </c>
      <c r="N3517">
        <v>1</v>
      </c>
    </row>
    <row r="3518" hidden="1" spans="1:14">
      <c r="A3518">
        <v>1040</v>
      </c>
      <c r="B3518">
        <v>0</v>
      </c>
      <c r="C3518" t="s">
        <v>218</v>
      </c>
      <c r="D3518">
        <v>0</v>
      </c>
      <c r="E3518">
        <v>24.0126</v>
      </c>
      <c r="F3518">
        <v>45.1007</v>
      </c>
      <c r="G3518">
        <v>186990.55</v>
      </c>
      <c r="H3518" s="1">
        <v>35061</v>
      </c>
      <c r="I3518" s="1">
        <v>35071</v>
      </c>
      <c r="J3518" t="s">
        <v>15</v>
      </c>
      <c r="K3518">
        <v>2</v>
      </c>
      <c r="L3518">
        <v>19000</v>
      </c>
      <c r="M3518" t="s">
        <v>16</v>
      </c>
      <c r="N3518">
        <v>2</v>
      </c>
    </row>
    <row r="3519" hidden="1" spans="1:14">
      <c r="A3519">
        <v>1164</v>
      </c>
      <c r="B3519">
        <v>0</v>
      </c>
      <c r="C3519" t="s">
        <v>218</v>
      </c>
      <c r="D3519">
        <v>0</v>
      </c>
      <c r="E3519">
        <v>23.9956</v>
      </c>
      <c r="F3519">
        <v>45.0709</v>
      </c>
      <c r="G3519">
        <v>28274.91</v>
      </c>
      <c r="H3519" s="1">
        <v>35636</v>
      </c>
      <c r="I3519" s="1">
        <v>35647</v>
      </c>
      <c r="J3519" t="s">
        <v>15</v>
      </c>
      <c r="K3519">
        <v>6</v>
      </c>
      <c r="L3519">
        <v>8000</v>
      </c>
      <c r="M3519" t="s">
        <v>16</v>
      </c>
      <c r="N3519">
        <v>1</v>
      </c>
    </row>
    <row r="3520" hidden="1" spans="1:14">
      <c r="A3520">
        <v>1241</v>
      </c>
      <c r="B3520">
        <v>0</v>
      </c>
      <c r="C3520" t="s">
        <v>218</v>
      </c>
      <c r="D3520">
        <v>0</v>
      </c>
      <c r="E3520">
        <v>22.2312</v>
      </c>
      <c r="F3520">
        <v>47.0273</v>
      </c>
      <c r="G3520">
        <v>8488.23</v>
      </c>
      <c r="H3520" s="1">
        <v>35594</v>
      </c>
      <c r="I3520" s="1">
        <v>35597</v>
      </c>
      <c r="J3520" t="s">
        <v>15</v>
      </c>
      <c r="K3520">
        <v>12</v>
      </c>
      <c r="L3520">
        <v>400</v>
      </c>
      <c r="M3520" t="s">
        <v>16</v>
      </c>
      <c r="N3520">
        <v>2</v>
      </c>
    </row>
    <row r="3521" hidden="1" spans="1:14">
      <c r="A3521">
        <v>1404</v>
      </c>
      <c r="B3521">
        <v>0</v>
      </c>
      <c r="C3521" t="s">
        <v>218</v>
      </c>
      <c r="D3521">
        <v>0</v>
      </c>
      <c r="E3521">
        <v>24.8346</v>
      </c>
      <c r="F3521">
        <v>47.0043</v>
      </c>
      <c r="G3521">
        <v>83833.29</v>
      </c>
      <c r="H3521" s="1">
        <v>35977</v>
      </c>
      <c r="I3521" s="1">
        <v>35986</v>
      </c>
      <c r="J3521" t="s">
        <v>15</v>
      </c>
      <c r="K3521">
        <v>5</v>
      </c>
      <c r="L3521">
        <v>50000</v>
      </c>
      <c r="M3521" t="s">
        <v>16</v>
      </c>
      <c r="N3521">
        <v>1</v>
      </c>
    </row>
    <row r="3522" hidden="1" spans="1:14">
      <c r="A3522">
        <v>1405</v>
      </c>
      <c r="B3522">
        <v>0</v>
      </c>
      <c r="C3522" t="s">
        <v>218</v>
      </c>
      <c r="D3522">
        <v>0</v>
      </c>
      <c r="E3522">
        <v>26.8101</v>
      </c>
      <c r="F3522">
        <v>46.6061</v>
      </c>
      <c r="G3522">
        <v>79160.2</v>
      </c>
      <c r="H3522" s="1">
        <v>35954</v>
      </c>
      <c r="I3522" s="1">
        <v>35970</v>
      </c>
      <c r="J3522" t="s">
        <v>15</v>
      </c>
      <c r="K3522">
        <v>31</v>
      </c>
      <c r="L3522">
        <v>5952</v>
      </c>
      <c r="M3522" t="s">
        <v>16</v>
      </c>
      <c r="N3522">
        <v>2</v>
      </c>
    </row>
    <row r="3523" hidden="1" spans="1:14">
      <c r="A3523">
        <v>1496</v>
      </c>
      <c r="B3523">
        <v>0</v>
      </c>
      <c r="C3523" t="s">
        <v>218</v>
      </c>
      <c r="D3523" t="s">
        <v>122</v>
      </c>
      <c r="E3523">
        <v>25.2381</v>
      </c>
      <c r="F3523">
        <v>49.2392</v>
      </c>
      <c r="G3523">
        <v>115184.25</v>
      </c>
      <c r="H3523" s="1">
        <v>36212</v>
      </c>
      <c r="I3523" s="1">
        <v>36237</v>
      </c>
      <c r="J3523" t="s">
        <v>15</v>
      </c>
      <c r="K3523">
        <v>2</v>
      </c>
      <c r="L3523">
        <v>8000</v>
      </c>
      <c r="M3523" t="s">
        <v>16</v>
      </c>
      <c r="N3523">
        <v>2</v>
      </c>
    </row>
    <row r="3524" hidden="1" spans="1:14">
      <c r="A3524">
        <v>1516</v>
      </c>
      <c r="B3524">
        <v>0</v>
      </c>
      <c r="C3524" t="s">
        <v>218</v>
      </c>
      <c r="D3524" t="s">
        <v>877</v>
      </c>
      <c r="E3524">
        <v>25.4239</v>
      </c>
      <c r="F3524">
        <v>47.1999</v>
      </c>
      <c r="G3524">
        <v>121165.09</v>
      </c>
      <c r="H3524" s="1">
        <v>36333</v>
      </c>
      <c r="I3524" s="1">
        <v>36342</v>
      </c>
      <c r="J3524" t="s">
        <v>15</v>
      </c>
      <c r="K3524">
        <v>19</v>
      </c>
      <c r="L3524">
        <v>914</v>
      </c>
      <c r="M3524" t="s">
        <v>16</v>
      </c>
      <c r="N3524">
        <v>2</v>
      </c>
    </row>
    <row r="3525" hidden="1" spans="1:14">
      <c r="A3525">
        <v>1525</v>
      </c>
      <c r="B3525">
        <v>0</v>
      </c>
      <c r="C3525" t="s">
        <v>218</v>
      </c>
      <c r="D3525" t="s">
        <v>122</v>
      </c>
      <c r="E3525">
        <v>21.9585</v>
      </c>
      <c r="F3525">
        <v>47.5891</v>
      </c>
      <c r="G3525">
        <v>100811.26</v>
      </c>
      <c r="H3525" s="1">
        <v>36350</v>
      </c>
      <c r="I3525" s="1">
        <v>36357</v>
      </c>
      <c r="J3525" t="s">
        <v>15</v>
      </c>
      <c r="K3525">
        <v>16</v>
      </c>
      <c r="L3525">
        <v>3225</v>
      </c>
      <c r="M3525" t="s">
        <v>16</v>
      </c>
      <c r="N3525">
        <v>1</v>
      </c>
    </row>
    <row r="3526" hidden="1" spans="1:14">
      <c r="A3526">
        <v>1547</v>
      </c>
      <c r="B3526">
        <v>0</v>
      </c>
      <c r="C3526" t="s">
        <v>218</v>
      </c>
      <c r="D3526" t="s">
        <v>213</v>
      </c>
      <c r="E3526">
        <v>25.6793</v>
      </c>
      <c r="F3526">
        <v>46.6241</v>
      </c>
      <c r="G3526">
        <v>123874.52</v>
      </c>
      <c r="H3526" s="1">
        <v>36407</v>
      </c>
      <c r="I3526" s="1">
        <v>36411</v>
      </c>
      <c r="J3526" t="s">
        <v>15</v>
      </c>
      <c r="K3526">
        <v>2</v>
      </c>
      <c r="L3526">
        <v>80</v>
      </c>
      <c r="M3526" t="s">
        <v>18</v>
      </c>
      <c r="N3526">
        <v>1</v>
      </c>
    </row>
    <row r="3527" hidden="1" spans="1:14">
      <c r="A3527">
        <v>1595</v>
      </c>
      <c r="B3527">
        <v>0</v>
      </c>
      <c r="C3527" t="s">
        <v>218</v>
      </c>
      <c r="D3527" t="s">
        <v>122</v>
      </c>
      <c r="E3527">
        <v>22.4154</v>
      </c>
      <c r="F3527">
        <v>46.7637</v>
      </c>
      <c r="G3527">
        <v>116230.15</v>
      </c>
      <c r="H3527" s="1">
        <v>36621</v>
      </c>
      <c r="I3527" s="1">
        <v>36641</v>
      </c>
      <c r="J3527" t="s">
        <v>15</v>
      </c>
      <c r="K3527">
        <v>10</v>
      </c>
      <c r="L3527">
        <v>623</v>
      </c>
      <c r="M3527" t="s">
        <v>39</v>
      </c>
      <c r="N3527">
        <v>2</v>
      </c>
    </row>
    <row r="3528" hidden="1" spans="1:14">
      <c r="A3528">
        <v>1855</v>
      </c>
      <c r="B3528">
        <v>0</v>
      </c>
      <c r="C3528" t="s">
        <v>218</v>
      </c>
      <c r="D3528">
        <v>0</v>
      </c>
      <c r="E3528">
        <v>22.9156</v>
      </c>
      <c r="F3528">
        <v>47.8914</v>
      </c>
      <c r="G3528">
        <v>4523.5</v>
      </c>
      <c r="H3528" s="1">
        <v>37258</v>
      </c>
      <c r="I3528" s="1">
        <v>37260</v>
      </c>
      <c r="J3528" t="s">
        <v>15</v>
      </c>
      <c r="K3528">
        <v>0</v>
      </c>
      <c r="L3528">
        <v>120</v>
      </c>
      <c r="M3528" t="s">
        <v>39</v>
      </c>
      <c r="N3528">
        <v>1</v>
      </c>
    </row>
    <row r="3529" hidden="1" spans="1:14">
      <c r="A3529">
        <v>1957</v>
      </c>
      <c r="B3529">
        <v>0</v>
      </c>
      <c r="C3529" t="s">
        <v>218</v>
      </c>
      <c r="D3529">
        <v>0</v>
      </c>
      <c r="E3529">
        <v>24.6069</v>
      </c>
      <c r="F3529">
        <v>46.6027</v>
      </c>
      <c r="G3529">
        <v>765.415</v>
      </c>
      <c r="H3529" s="1">
        <v>37423</v>
      </c>
      <c r="I3529" s="1">
        <v>37425</v>
      </c>
      <c r="J3529" t="s">
        <v>15</v>
      </c>
      <c r="K3529">
        <v>0</v>
      </c>
      <c r="L3529">
        <v>0</v>
      </c>
      <c r="M3529" t="s">
        <v>16</v>
      </c>
      <c r="N3529">
        <v>1</v>
      </c>
    </row>
    <row r="3530" hidden="1" spans="1:14">
      <c r="A3530">
        <v>1995</v>
      </c>
      <c r="B3530">
        <v>0</v>
      </c>
      <c r="C3530" t="s">
        <v>218</v>
      </c>
      <c r="D3530">
        <v>0</v>
      </c>
      <c r="E3530">
        <v>26.178</v>
      </c>
      <c r="F3530">
        <v>47.6469</v>
      </c>
      <c r="G3530">
        <v>5421.41</v>
      </c>
      <c r="H3530" s="1">
        <v>37456</v>
      </c>
      <c r="I3530" s="1">
        <v>37460</v>
      </c>
      <c r="J3530" t="s">
        <v>15</v>
      </c>
      <c r="K3530">
        <v>5</v>
      </c>
      <c r="L3530">
        <v>0</v>
      </c>
      <c r="M3530" t="s">
        <v>16</v>
      </c>
      <c r="N3530">
        <v>1</v>
      </c>
    </row>
    <row r="3531" hidden="1" spans="1:14">
      <c r="A3531">
        <v>2012</v>
      </c>
      <c r="B3531">
        <v>0</v>
      </c>
      <c r="C3531" t="s">
        <v>218</v>
      </c>
      <c r="D3531">
        <v>0</v>
      </c>
      <c r="E3531">
        <v>28.3778</v>
      </c>
      <c r="F3531">
        <v>44.3828</v>
      </c>
      <c r="G3531">
        <v>3417.55</v>
      </c>
      <c r="H3531" s="1">
        <v>37467</v>
      </c>
      <c r="I3531" s="1">
        <v>37471</v>
      </c>
      <c r="J3531" t="s">
        <v>15</v>
      </c>
      <c r="K3531">
        <v>2</v>
      </c>
      <c r="L3531">
        <v>4000</v>
      </c>
      <c r="M3531" t="s">
        <v>16</v>
      </c>
      <c r="N3531">
        <v>1</v>
      </c>
    </row>
    <row r="3532" hidden="1" spans="1:14">
      <c r="A3532">
        <v>2021</v>
      </c>
      <c r="B3532">
        <v>0</v>
      </c>
      <c r="C3532" t="s">
        <v>218</v>
      </c>
      <c r="D3532">
        <v>0</v>
      </c>
      <c r="E3532">
        <v>23.6741</v>
      </c>
      <c r="F3532">
        <v>47.0178</v>
      </c>
      <c r="G3532">
        <v>16409.15</v>
      </c>
      <c r="H3532" s="1">
        <v>37474</v>
      </c>
      <c r="I3532" s="1">
        <v>37475</v>
      </c>
      <c r="J3532" t="s">
        <v>15</v>
      </c>
      <c r="K3532">
        <v>1</v>
      </c>
      <c r="L3532">
        <v>0</v>
      </c>
      <c r="M3532" t="s">
        <v>16</v>
      </c>
      <c r="N3532">
        <v>1</v>
      </c>
    </row>
    <row r="3533" hidden="1" spans="1:14">
      <c r="A3533">
        <v>2071</v>
      </c>
      <c r="B3533">
        <v>0</v>
      </c>
      <c r="C3533" t="s">
        <v>218</v>
      </c>
      <c r="D3533">
        <v>0</v>
      </c>
      <c r="E3533">
        <v>26.178</v>
      </c>
      <c r="F3533">
        <v>47.6469</v>
      </c>
      <c r="G3533">
        <v>5421.41</v>
      </c>
      <c r="H3533" s="1">
        <v>37542</v>
      </c>
      <c r="I3533" s="1">
        <v>37545</v>
      </c>
      <c r="J3533" t="s">
        <v>15</v>
      </c>
      <c r="K3533">
        <v>0</v>
      </c>
      <c r="L3533">
        <v>0</v>
      </c>
      <c r="M3533" t="s">
        <v>16</v>
      </c>
      <c r="N3533">
        <v>2</v>
      </c>
    </row>
    <row r="3534" hidden="1" spans="1:14">
      <c r="A3534">
        <v>2335</v>
      </c>
      <c r="B3534">
        <v>0</v>
      </c>
      <c r="C3534" t="s">
        <v>218</v>
      </c>
      <c r="D3534">
        <v>0</v>
      </c>
      <c r="E3534">
        <v>28.815</v>
      </c>
      <c r="F3534">
        <v>44.866</v>
      </c>
      <c r="G3534">
        <v>367.842</v>
      </c>
      <c r="H3534" s="1">
        <v>37860</v>
      </c>
      <c r="I3534" s="1">
        <v>37860</v>
      </c>
      <c r="J3534" t="s">
        <v>15</v>
      </c>
      <c r="K3534">
        <v>2</v>
      </c>
      <c r="L3534">
        <v>0</v>
      </c>
      <c r="M3534" t="s">
        <v>18</v>
      </c>
      <c r="N3534">
        <v>1</v>
      </c>
    </row>
    <row r="3535" hidden="1" spans="1:14">
      <c r="A3535">
        <v>2501</v>
      </c>
      <c r="B3535">
        <v>0</v>
      </c>
      <c r="C3535" t="s">
        <v>218</v>
      </c>
      <c r="D3535">
        <v>0</v>
      </c>
      <c r="E3535">
        <v>27.0369</v>
      </c>
      <c r="F3535">
        <v>46.7407</v>
      </c>
      <c r="G3535">
        <v>26644.5</v>
      </c>
      <c r="H3535" s="1">
        <v>38151</v>
      </c>
      <c r="I3535" s="1">
        <v>38153</v>
      </c>
      <c r="J3535" t="s">
        <v>15</v>
      </c>
      <c r="K3535">
        <v>1</v>
      </c>
      <c r="L3535">
        <v>0</v>
      </c>
      <c r="M3535" t="s">
        <v>16</v>
      </c>
      <c r="N3535">
        <v>1</v>
      </c>
    </row>
    <row r="3536" hidden="1" spans="1:14">
      <c r="A3536">
        <v>2532</v>
      </c>
      <c r="B3536">
        <v>0</v>
      </c>
      <c r="C3536" t="s">
        <v>218</v>
      </c>
      <c r="D3536">
        <v>0</v>
      </c>
      <c r="E3536">
        <v>26.5286</v>
      </c>
      <c r="F3536">
        <v>46.3703</v>
      </c>
      <c r="G3536">
        <v>17939.35</v>
      </c>
      <c r="H3536" s="1">
        <v>38196</v>
      </c>
      <c r="I3536" s="1">
        <v>38201</v>
      </c>
      <c r="J3536" t="s">
        <v>15</v>
      </c>
      <c r="K3536">
        <v>8</v>
      </c>
      <c r="L3536">
        <v>2000</v>
      </c>
      <c r="M3536" t="s">
        <v>16</v>
      </c>
      <c r="N3536">
        <v>2</v>
      </c>
    </row>
    <row r="3537" hidden="1" spans="1:14">
      <c r="A3537">
        <v>2648</v>
      </c>
      <c r="B3537">
        <v>0</v>
      </c>
      <c r="C3537" t="s">
        <v>218</v>
      </c>
      <c r="D3537" t="s">
        <v>180</v>
      </c>
      <c r="E3537">
        <v>21.2129</v>
      </c>
      <c r="F3537">
        <v>45.6965</v>
      </c>
      <c r="G3537">
        <v>58909.96</v>
      </c>
      <c r="H3537" s="1">
        <v>38460</v>
      </c>
      <c r="I3537" s="1">
        <v>38507</v>
      </c>
      <c r="J3537" t="s">
        <v>15</v>
      </c>
      <c r="K3537">
        <v>4</v>
      </c>
      <c r="L3537">
        <v>7000</v>
      </c>
      <c r="M3537" t="s">
        <v>16</v>
      </c>
      <c r="N3537">
        <v>2</v>
      </c>
    </row>
    <row r="3538" hidden="1" spans="1:14">
      <c r="A3538">
        <v>2687</v>
      </c>
      <c r="B3538">
        <v>0</v>
      </c>
      <c r="C3538" t="s">
        <v>218</v>
      </c>
      <c r="D3538" t="s">
        <v>213</v>
      </c>
      <c r="E3538">
        <v>26.329</v>
      </c>
      <c r="F3538">
        <v>43.8535</v>
      </c>
      <c r="G3538">
        <v>72209.36</v>
      </c>
      <c r="H3538" s="1">
        <v>38535</v>
      </c>
      <c r="I3538" s="1">
        <v>38549</v>
      </c>
      <c r="J3538" t="s">
        <v>15</v>
      </c>
      <c r="K3538">
        <v>23</v>
      </c>
      <c r="L3538">
        <v>7000</v>
      </c>
      <c r="M3538" t="s">
        <v>16</v>
      </c>
      <c r="N3538">
        <v>1</v>
      </c>
    </row>
    <row r="3539" hidden="1" spans="1:14">
      <c r="A3539">
        <v>2692</v>
      </c>
      <c r="B3539">
        <v>0</v>
      </c>
      <c r="C3539" t="s">
        <v>218</v>
      </c>
      <c r="D3539">
        <v>0</v>
      </c>
      <c r="E3539">
        <v>27.8629</v>
      </c>
      <c r="F3539">
        <v>45.7648</v>
      </c>
      <c r="G3539">
        <v>40036.82</v>
      </c>
      <c r="H3539" s="1">
        <v>38545</v>
      </c>
      <c r="I3539" s="1">
        <v>38561</v>
      </c>
      <c r="J3539" t="s">
        <v>15</v>
      </c>
      <c r="K3539">
        <v>23</v>
      </c>
      <c r="L3539">
        <v>13000</v>
      </c>
      <c r="M3539" t="s">
        <v>16</v>
      </c>
      <c r="N3539">
        <v>2</v>
      </c>
    </row>
    <row r="3540" hidden="1" spans="1:14">
      <c r="A3540">
        <v>2714</v>
      </c>
      <c r="B3540">
        <v>0</v>
      </c>
      <c r="C3540" t="s">
        <v>218</v>
      </c>
      <c r="D3540" t="s">
        <v>699</v>
      </c>
      <c r="E3540">
        <v>25.0422</v>
      </c>
      <c r="F3540">
        <v>46.898</v>
      </c>
      <c r="G3540">
        <v>68754.86</v>
      </c>
      <c r="H3540" s="1">
        <v>38578</v>
      </c>
      <c r="I3540" s="1">
        <v>38597</v>
      </c>
      <c r="J3540" t="s">
        <v>15</v>
      </c>
      <c r="K3540">
        <v>34</v>
      </c>
      <c r="L3540">
        <v>2000</v>
      </c>
      <c r="M3540" t="s">
        <v>16</v>
      </c>
      <c r="N3540">
        <v>1</v>
      </c>
    </row>
    <row r="3541" hidden="1" spans="1:14">
      <c r="A3541">
        <v>2733</v>
      </c>
      <c r="B3541">
        <v>0</v>
      </c>
      <c r="C3541" t="s">
        <v>218</v>
      </c>
      <c r="D3541" t="s">
        <v>213</v>
      </c>
      <c r="E3541">
        <v>27.3833</v>
      </c>
      <c r="F3541">
        <v>44.5848</v>
      </c>
      <c r="G3541">
        <v>29372.7</v>
      </c>
      <c r="H3541" s="1">
        <v>38616</v>
      </c>
      <c r="I3541" s="1">
        <v>38634</v>
      </c>
      <c r="J3541" t="s">
        <v>15</v>
      </c>
      <c r="K3541">
        <v>10</v>
      </c>
      <c r="L3541">
        <v>0</v>
      </c>
      <c r="M3541" t="s">
        <v>16</v>
      </c>
      <c r="N3541">
        <v>1</v>
      </c>
    </row>
    <row r="3542" hidden="1" spans="1:14">
      <c r="A3542">
        <v>2819</v>
      </c>
      <c r="B3542">
        <v>0</v>
      </c>
      <c r="C3542" t="s">
        <v>218</v>
      </c>
      <c r="D3542">
        <v>0</v>
      </c>
      <c r="E3542">
        <v>23.3742</v>
      </c>
      <c r="F3542">
        <v>44.2513</v>
      </c>
      <c r="G3542">
        <v>143715.08</v>
      </c>
      <c r="H3542" s="1">
        <v>38789</v>
      </c>
      <c r="I3542" s="1">
        <v>38799</v>
      </c>
      <c r="J3542" t="s">
        <v>15</v>
      </c>
      <c r="K3542">
        <v>0</v>
      </c>
      <c r="L3542">
        <v>10000</v>
      </c>
      <c r="M3542" t="s">
        <v>39</v>
      </c>
      <c r="N3542">
        <v>2</v>
      </c>
    </row>
    <row r="3543" hidden="1" spans="1:14">
      <c r="A3543">
        <v>2839</v>
      </c>
      <c r="B3543" t="s">
        <v>884</v>
      </c>
      <c r="C3543" t="s">
        <v>218</v>
      </c>
      <c r="D3543" t="s">
        <v>213</v>
      </c>
      <c r="E3543">
        <v>23.8669</v>
      </c>
      <c r="F3543">
        <v>44.4976</v>
      </c>
      <c r="G3543">
        <v>144631.5</v>
      </c>
      <c r="H3543" s="1">
        <v>38814</v>
      </c>
      <c r="I3543" s="1">
        <v>38861</v>
      </c>
      <c r="J3543" t="s">
        <v>15</v>
      </c>
      <c r="K3543">
        <v>0</v>
      </c>
      <c r="L3543">
        <v>17000</v>
      </c>
      <c r="M3543" t="s">
        <v>38</v>
      </c>
      <c r="N3543">
        <v>2</v>
      </c>
    </row>
    <row r="3544" hidden="1" spans="1:14">
      <c r="A3544">
        <v>2891</v>
      </c>
      <c r="B3544">
        <v>0</v>
      </c>
      <c r="C3544" t="s">
        <v>218</v>
      </c>
      <c r="D3544">
        <v>0</v>
      </c>
      <c r="E3544">
        <v>24.1537</v>
      </c>
      <c r="F3544">
        <v>47.4559</v>
      </c>
      <c r="G3544">
        <v>5536.22</v>
      </c>
      <c r="H3544" s="1">
        <v>38888</v>
      </c>
      <c r="I3544" s="1">
        <v>38894</v>
      </c>
      <c r="J3544" t="s">
        <v>15</v>
      </c>
      <c r="K3544">
        <v>12</v>
      </c>
      <c r="L3544">
        <v>626</v>
      </c>
      <c r="M3544" t="s">
        <v>16</v>
      </c>
      <c r="N3544">
        <v>1</v>
      </c>
    </row>
    <row r="3545" hidden="1" spans="1:14">
      <c r="A3545">
        <v>2902</v>
      </c>
      <c r="B3545" t="s">
        <v>885</v>
      </c>
      <c r="C3545" t="s">
        <v>218</v>
      </c>
      <c r="D3545">
        <v>0</v>
      </c>
      <c r="E3545">
        <v>25.949</v>
      </c>
      <c r="F3545">
        <v>47.8042</v>
      </c>
      <c r="G3545">
        <v>1119.13</v>
      </c>
      <c r="H3545" s="1">
        <v>38898</v>
      </c>
      <c r="I3545" s="1">
        <v>38901</v>
      </c>
      <c r="J3545" t="s">
        <v>15</v>
      </c>
      <c r="K3545">
        <v>21</v>
      </c>
      <c r="L3545">
        <v>600</v>
      </c>
      <c r="M3545" t="s">
        <v>16</v>
      </c>
      <c r="N3545">
        <v>1</v>
      </c>
    </row>
    <row r="3546" hidden="1" spans="1:14">
      <c r="A3546">
        <v>3178</v>
      </c>
      <c r="B3546">
        <v>0</v>
      </c>
      <c r="C3546" t="s">
        <v>218</v>
      </c>
      <c r="D3546">
        <v>0</v>
      </c>
      <c r="E3546">
        <v>25.6025</v>
      </c>
      <c r="F3546">
        <v>46.7578</v>
      </c>
      <c r="G3546">
        <v>32267.84</v>
      </c>
      <c r="H3546" s="1">
        <v>39319</v>
      </c>
      <c r="I3546" s="1">
        <v>39321</v>
      </c>
      <c r="J3546" t="s">
        <v>15</v>
      </c>
      <c r="K3546">
        <v>2</v>
      </c>
      <c r="L3546">
        <v>0</v>
      </c>
      <c r="M3546" t="s">
        <v>16</v>
      </c>
      <c r="N3546">
        <v>1</v>
      </c>
    </row>
    <row r="3547" hidden="1" spans="1:14">
      <c r="A3547">
        <v>3186</v>
      </c>
      <c r="B3547" t="s">
        <v>886</v>
      </c>
      <c r="C3547" t="s">
        <v>218</v>
      </c>
      <c r="D3547">
        <v>0</v>
      </c>
      <c r="E3547">
        <v>27.2393</v>
      </c>
      <c r="F3547">
        <v>45.8225</v>
      </c>
      <c r="G3547">
        <v>26859.73</v>
      </c>
      <c r="H3547" s="1">
        <v>39330</v>
      </c>
      <c r="I3547" s="1">
        <v>39336</v>
      </c>
      <c r="J3547" t="s">
        <v>15</v>
      </c>
      <c r="K3547">
        <v>7</v>
      </c>
      <c r="L3547">
        <v>1400</v>
      </c>
      <c r="M3547" t="s">
        <v>16</v>
      </c>
      <c r="N3547">
        <v>1</v>
      </c>
    </row>
    <row r="3548" hidden="1" spans="1:14">
      <c r="A3548">
        <v>3434</v>
      </c>
      <c r="B3548">
        <v>0</v>
      </c>
      <c r="C3548" t="s">
        <v>218</v>
      </c>
      <c r="E3548">
        <v>24.9346</v>
      </c>
      <c r="F3548">
        <v>47.6062</v>
      </c>
      <c r="G3548">
        <v>19409.52</v>
      </c>
      <c r="H3548" s="1">
        <v>39836</v>
      </c>
      <c r="I3548" s="1">
        <v>39839</v>
      </c>
      <c r="J3548" t="s">
        <v>15</v>
      </c>
      <c r="K3548">
        <v>11</v>
      </c>
      <c r="L3548">
        <v>0</v>
      </c>
      <c r="M3548" t="s">
        <v>49</v>
      </c>
      <c r="N3548">
        <v>1</v>
      </c>
    </row>
    <row r="3549" hidden="1" spans="1:14">
      <c r="A3549">
        <v>3664</v>
      </c>
      <c r="B3549">
        <v>0</v>
      </c>
      <c r="C3549" t="s">
        <v>218</v>
      </c>
      <c r="E3549">
        <v>23.1853</v>
      </c>
      <c r="F3549">
        <v>46.0793</v>
      </c>
      <c r="G3549">
        <v>56733.12</v>
      </c>
      <c r="H3549" s="1">
        <v>40351</v>
      </c>
      <c r="I3549" s="1">
        <v>40371</v>
      </c>
      <c r="J3549">
        <v>0</v>
      </c>
      <c r="K3549">
        <v>23</v>
      </c>
      <c r="L3549">
        <v>17500</v>
      </c>
      <c r="M3549" t="s">
        <v>49</v>
      </c>
      <c r="N3549">
        <v>2</v>
      </c>
    </row>
    <row r="3550" hidden="1" spans="1:14">
      <c r="A3550">
        <v>4087</v>
      </c>
      <c r="C3550" t="s">
        <v>218</v>
      </c>
      <c r="E3550">
        <v>27.5529</v>
      </c>
      <c r="F3550">
        <v>45.7492</v>
      </c>
      <c r="G3550">
        <v>7171.77</v>
      </c>
      <c r="H3550" s="1">
        <v>41528</v>
      </c>
      <c r="I3550" s="1">
        <v>41533</v>
      </c>
      <c r="J3550" t="s">
        <v>15</v>
      </c>
      <c r="K3550">
        <v>8</v>
      </c>
      <c r="L3550">
        <v>2100</v>
      </c>
      <c r="M3550" t="s">
        <v>52</v>
      </c>
      <c r="N3550">
        <v>2</v>
      </c>
    </row>
    <row r="3551" hidden="1" spans="1:14">
      <c r="A3551">
        <v>4138</v>
      </c>
      <c r="B3551" t="s">
        <v>887</v>
      </c>
      <c r="C3551" t="s">
        <v>218</v>
      </c>
      <c r="D3551" t="s">
        <v>213</v>
      </c>
      <c r="E3551">
        <v>24.494</v>
      </c>
      <c r="F3551">
        <v>44.0617</v>
      </c>
      <c r="G3551">
        <v>87430.69</v>
      </c>
      <c r="H3551" s="1">
        <v>41746</v>
      </c>
      <c r="I3551" s="1">
        <v>41760</v>
      </c>
      <c r="J3551" t="s">
        <v>15</v>
      </c>
      <c r="K3551">
        <v>0</v>
      </c>
      <c r="L3551">
        <v>640</v>
      </c>
      <c r="M3551" t="s">
        <v>52</v>
      </c>
      <c r="N3551">
        <v>1.5</v>
      </c>
    </row>
    <row r="3552" hidden="1" spans="1:14">
      <c r="A3552">
        <v>4257</v>
      </c>
      <c r="C3552" t="s">
        <v>218</v>
      </c>
      <c r="E3552">
        <v>22.8609</v>
      </c>
      <c r="F3552">
        <v>46.8147</v>
      </c>
      <c r="G3552">
        <v>19785.35</v>
      </c>
      <c r="H3552" s="1">
        <v>42149</v>
      </c>
      <c r="I3552" s="1">
        <v>42157</v>
      </c>
      <c r="J3552" t="s">
        <v>15</v>
      </c>
      <c r="K3552">
        <v>1</v>
      </c>
      <c r="L3552">
        <v>184</v>
      </c>
      <c r="M3552" t="s">
        <v>49</v>
      </c>
      <c r="N3552">
        <v>1</v>
      </c>
    </row>
    <row r="3553" hidden="1" spans="1:14">
      <c r="A3553">
        <v>4299</v>
      </c>
      <c r="C3553" t="s">
        <v>218</v>
      </c>
      <c r="E3553">
        <v>28.7321</v>
      </c>
      <c r="F3553">
        <v>44.6422</v>
      </c>
      <c r="G3553">
        <v>441.218</v>
      </c>
      <c r="H3553" s="1">
        <v>42289</v>
      </c>
      <c r="I3553" s="1">
        <v>42290</v>
      </c>
      <c r="J3553" t="s">
        <v>15</v>
      </c>
      <c r="K3553">
        <v>0</v>
      </c>
      <c r="L3553">
        <v>50</v>
      </c>
      <c r="M3553" t="s">
        <v>52</v>
      </c>
      <c r="N3553">
        <v>1.5</v>
      </c>
    </row>
    <row r="3554" hidden="1" spans="1:14">
      <c r="A3554">
        <v>4408</v>
      </c>
      <c r="C3554" t="s">
        <v>218</v>
      </c>
      <c r="D3554" t="s">
        <v>63</v>
      </c>
      <c r="E3554">
        <v>27.5622</v>
      </c>
      <c r="F3554">
        <v>45.151</v>
      </c>
      <c r="G3554">
        <v>57182.5</v>
      </c>
      <c r="H3554" s="1">
        <v>42652</v>
      </c>
      <c r="I3554" s="1">
        <v>42659</v>
      </c>
      <c r="J3554" t="s">
        <v>15</v>
      </c>
      <c r="K3554">
        <v>1</v>
      </c>
      <c r="L3554">
        <v>300</v>
      </c>
      <c r="M3554" t="s">
        <v>49</v>
      </c>
      <c r="N3554">
        <v>1</v>
      </c>
    </row>
    <row r="3555" hidden="1" spans="1:14">
      <c r="A3555">
        <v>4587</v>
      </c>
      <c r="C3555" t="s">
        <v>218</v>
      </c>
      <c r="E3555">
        <v>24.9888</v>
      </c>
      <c r="F3555">
        <v>45.9459</v>
      </c>
      <c r="G3555">
        <v>24192.62</v>
      </c>
      <c r="H3555" s="1">
        <v>43173</v>
      </c>
      <c r="I3555" s="1">
        <v>43175</v>
      </c>
      <c r="J3555" t="s">
        <v>56</v>
      </c>
      <c r="K3555">
        <v>0</v>
      </c>
      <c r="L3555">
        <v>400</v>
      </c>
      <c r="M3555" t="s">
        <v>67</v>
      </c>
      <c r="N3555">
        <v>1</v>
      </c>
    </row>
    <row r="3556" hidden="1" spans="1:14">
      <c r="A3556">
        <v>4756</v>
      </c>
      <c r="C3556" t="s">
        <v>218</v>
      </c>
      <c r="E3556">
        <v>26.6531</v>
      </c>
      <c r="F3556">
        <v>45.6237</v>
      </c>
      <c r="G3556">
        <v>88755.01</v>
      </c>
      <c r="H3556" s="1">
        <v>43616</v>
      </c>
      <c r="I3556" s="1">
        <v>43626</v>
      </c>
      <c r="J3556" t="s">
        <v>56</v>
      </c>
      <c r="K3556">
        <v>0</v>
      </c>
      <c r="L3556">
        <v>260</v>
      </c>
      <c r="M3556" t="s">
        <v>49</v>
      </c>
      <c r="N3556">
        <v>1</v>
      </c>
    </row>
    <row r="3557" hidden="1" spans="1:14">
      <c r="A3557">
        <v>5067</v>
      </c>
      <c r="C3557" t="s">
        <v>218</v>
      </c>
      <c r="E3557">
        <v>23.331</v>
      </c>
      <c r="F3557">
        <v>47.2608</v>
      </c>
      <c r="G3557">
        <v>20206.58</v>
      </c>
      <c r="H3557" s="1">
        <v>44328</v>
      </c>
      <c r="I3557" s="1">
        <v>44330</v>
      </c>
      <c r="J3557" t="s">
        <v>56</v>
      </c>
      <c r="K3557">
        <v>0</v>
      </c>
      <c r="L3557">
        <v>36</v>
      </c>
      <c r="M3557" t="s">
        <v>52</v>
      </c>
      <c r="N3557">
        <v>1.5</v>
      </c>
    </row>
    <row r="3558" hidden="1" spans="1:14">
      <c r="A3558">
        <v>375</v>
      </c>
      <c r="B3558">
        <v>0</v>
      </c>
      <c r="C3558" t="s">
        <v>275</v>
      </c>
      <c r="D3558">
        <v>0</v>
      </c>
      <c r="E3558">
        <v>133.21</v>
      </c>
      <c r="F3558">
        <v>49.8786</v>
      </c>
      <c r="G3558">
        <v>102165.48</v>
      </c>
      <c r="H3558" s="1">
        <v>32799</v>
      </c>
      <c r="I3558" s="1">
        <v>32806</v>
      </c>
      <c r="J3558" t="s">
        <v>15</v>
      </c>
      <c r="K3558">
        <v>2</v>
      </c>
      <c r="L3558">
        <v>0</v>
      </c>
      <c r="M3558" t="s">
        <v>16</v>
      </c>
      <c r="N3558">
        <v>1</v>
      </c>
    </row>
    <row r="3559" hidden="1" spans="1:14">
      <c r="A3559">
        <v>652</v>
      </c>
      <c r="B3559">
        <v>0</v>
      </c>
      <c r="C3559" t="s">
        <v>275</v>
      </c>
      <c r="D3559">
        <v>0</v>
      </c>
      <c r="E3559">
        <v>131.849</v>
      </c>
      <c r="F3559">
        <v>43.6505</v>
      </c>
      <c r="G3559">
        <v>9486.89</v>
      </c>
      <c r="H3559" s="1">
        <v>33763</v>
      </c>
      <c r="I3559" s="1">
        <v>33763</v>
      </c>
      <c r="J3559" t="s">
        <v>15</v>
      </c>
      <c r="K3559">
        <v>0</v>
      </c>
      <c r="L3559">
        <v>0</v>
      </c>
      <c r="M3559" t="s">
        <v>104</v>
      </c>
      <c r="N3559">
        <v>1</v>
      </c>
    </row>
    <row r="3560" hidden="1" spans="1:14">
      <c r="A3560">
        <v>657</v>
      </c>
      <c r="B3560">
        <v>0</v>
      </c>
      <c r="C3560" t="s">
        <v>275</v>
      </c>
      <c r="D3560">
        <v>0</v>
      </c>
      <c r="E3560">
        <v>132.768</v>
      </c>
      <c r="F3560">
        <v>48.5969</v>
      </c>
      <c r="G3560">
        <v>35737.89</v>
      </c>
      <c r="H3560" s="1">
        <v>33775</v>
      </c>
      <c r="I3560" s="1">
        <v>33776</v>
      </c>
      <c r="J3560" t="s">
        <v>15</v>
      </c>
      <c r="K3560">
        <v>0</v>
      </c>
      <c r="L3560">
        <v>0</v>
      </c>
      <c r="M3560" t="s">
        <v>16</v>
      </c>
      <c r="N3560">
        <v>1</v>
      </c>
    </row>
    <row r="3561" hidden="1" spans="1:14">
      <c r="A3561">
        <v>662</v>
      </c>
      <c r="B3561">
        <v>0</v>
      </c>
      <c r="C3561" t="s">
        <v>275</v>
      </c>
      <c r="D3561">
        <v>0</v>
      </c>
      <c r="E3561">
        <v>39.1915</v>
      </c>
      <c r="F3561">
        <v>45.1513</v>
      </c>
      <c r="G3561">
        <v>83463.78</v>
      </c>
      <c r="H3561" s="1">
        <v>33787</v>
      </c>
      <c r="I3561" s="1">
        <v>33794</v>
      </c>
      <c r="J3561" t="s">
        <v>15</v>
      </c>
      <c r="K3561">
        <v>0</v>
      </c>
      <c r="L3561">
        <v>0</v>
      </c>
      <c r="M3561" t="s">
        <v>16</v>
      </c>
      <c r="N3561">
        <v>1</v>
      </c>
    </row>
    <row r="3562" hidden="1" spans="1:14">
      <c r="A3562">
        <v>691</v>
      </c>
      <c r="B3562">
        <v>0</v>
      </c>
      <c r="C3562" t="s">
        <v>275</v>
      </c>
      <c r="D3562">
        <v>0</v>
      </c>
      <c r="E3562">
        <v>134.31</v>
      </c>
      <c r="F3562">
        <v>44.2937</v>
      </c>
      <c r="G3562">
        <v>72751.92</v>
      </c>
      <c r="H3562" s="1">
        <v>33852</v>
      </c>
      <c r="I3562" s="1">
        <v>33863</v>
      </c>
      <c r="J3562" t="s">
        <v>15</v>
      </c>
      <c r="K3562">
        <v>0</v>
      </c>
      <c r="L3562">
        <v>180</v>
      </c>
      <c r="M3562" t="s">
        <v>16</v>
      </c>
      <c r="N3562">
        <v>1</v>
      </c>
    </row>
    <row r="3563" hidden="1" spans="1:14">
      <c r="A3563">
        <v>763</v>
      </c>
      <c r="B3563">
        <v>0</v>
      </c>
      <c r="C3563" t="s">
        <v>275</v>
      </c>
      <c r="D3563">
        <v>0</v>
      </c>
      <c r="E3563">
        <v>108.866</v>
      </c>
      <c r="F3563">
        <v>51.3563</v>
      </c>
      <c r="G3563">
        <v>122315.11</v>
      </c>
      <c r="H3563" s="1">
        <v>34181</v>
      </c>
      <c r="I3563" s="1">
        <v>34193</v>
      </c>
      <c r="J3563" t="s">
        <v>15</v>
      </c>
      <c r="K3563">
        <v>4</v>
      </c>
      <c r="L3563">
        <v>30000</v>
      </c>
      <c r="M3563" t="s">
        <v>64</v>
      </c>
      <c r="N3563">
        <v>2</v>
      </c>
    </row>
    <row r="3564" hidden="1" spans="1:14">
      <c r="A3564">
        <v>834</v>
      </c>
      <c r="B3564">
        <v>0</v>
      </c>
      <c r="C3564" t="s">
        <v>275</v>
      </c>
      <c r="D3564">
        <v>0</v>
      </c>
      <c r="E3564">
        <v>44.6012</v>
      </c>
      <c r="F3564">
        <v>46.5257</v>
      </c>
      <c r="G3564">
        <v>72009.25</v>
      </c>
      <c r="H3564" s="1">
        <v>34410</v>
      </c>
      <c r="I3564" s="1">
        <v>34415</v>
      </c>
      <c r="J3564" t="s">
        <v>15</v>
      </c>
      <c r="K3564">
        <v>7</v>
      </c>
      <c r="L3564">
        <v>0</v>
      </c>
      <c r="M3564" t="s">
        <v>16</v>
      </c>
      <c r="N3564">
        <v>1</v>
      </c>
    </row>
    <row r="3565" hidden="1" spans="1:14">
      <c r="A3565">
        <v>840</v>
      </c>
      <c r="B3565">
        <v>0</v>
      </c>
      <c r="C3565" t="s">
        <v>275</v>
      </c>
      <c r="D3565">
        <v>0</v>
      </c>
      <c r="E3565">
        <v>41.1058</v>
      </c>
      <c r="F3565">
        <v>49.4354</v>
      </c>
      <c r="G3565">
        <v>463435.11</v>
      </c>
      <c r="H3565" s="1">
        <v>34430</v>
      </c>
      <c r="I3565" s="1">
        <v>34438</v>
      </c>
      <c r="J3565" t="s">
        <v>15</v>
      </c>
      <c r="K3565">
        <v>13</v>
      </c>
      <c r="L3565">
        <v>2795</v>
      </c>
      <c r="M3565" t="s">
        <v>39</v>
      </c>
      <c r="N3565">
        <v>1</v>
      </c>
    </row>
    <row r="3566" hidden="1" spans="1:14">
      <c r="A3566">
        <v>847</v>
      </c>
      <c r="B3566">
        <v>0</v>
      </c>
      <c r="C3566" t="s">
        <v>275</v>
      </c>
      <c r="D3566">
        <v>0</v>
      </c>
      <c r="E3566">
        <v>43.3263</v>
      </c>
      <c r="F3566">
        <v>55.3351</v>
      </c>
      <c r="G3566">
        <v>22905.3</v>
      </c>
      <c r="H3566" s="1">
        <v>34482</v>
      </c>
      <c r="I3566" s="1">
        <v>34484</v>
      </c>
      <c r="J3566" t="s">
        <v>15</v>
      </c>
      <c r="K3566">
        <v>2</v>
      </c>
      <c r="L3566">
        <v>0</v>
      </c>
      <c r="M3566" t="s">
        <v>16</v>
      </c>
      <c r="N3566">
        <v>1</v>
      </c>
    </row>
    <row r="3567" hidden="1" spans="1:14">
      <c r="A3567">
        <v>857</v>
      </c>
      <c r="B3567">
        <v>0</v>
      </c>
      <c r="C3567" t="s">
        <v>275</v>
      </c>
      <c r="D3567">
        <v>0</v>
      </c>
      <c r="E3567">
        <v>111.609</v>
      </c>
      <c r="F3567">
        <v>53.6353</v>
      </c>
      <c r="G3567">
        <v>322784.51</v>
      </c>
      <c r="H3567" s="1">
        <v>34517</v>
      </c>
      <c r="I3567" s="1">
        <v>34522</v>
      </c>
      <c r="J3567" t="s">
        <v>15</v>
      </c>
      <c r="K3567">
        <v>4</v>
      </c>
      <c r="L3567">
        <v>0</v>
      </c>
      <c r="M3567" t="s">
        <v>16</v>
      </c>
      <c r="N3567">
        <v>1</v>
      </c>
    </row>
    <row r="3568" hidden="1" spans="1:14">
      <c r="A3568">
        <v>876</v>
      </c>
      <c r="B3568">
        <v>0</v>
      </c>
      <c r="C3568" t="s">
        <v>275</v>
      </c>
      <c r="D3568">
        <v>0</v>
      </c>
      <c r="E3568">
        <v>58.4183</v>
      </c>
      <c r="F3568">
        <v>53.574</v>
      </c>
      <c r="G3568">
        <v>32565.85</v>
      </c>
      <c r="H3568" s="1">
        <v>34551</v>
      </c>
      <c r="I3568" s="1">
        <v>34554</v>
      </c>
      <c r="J3568" t="s">
        <v>15</v>
      </c>
      <c r="K3568">
        <v>20</v>
      </c>
      <c r="L3568">
        <v>1000</v>
      </c>
      <c r="M3568" t="s">
        <v>16</v>
      </c>
      <c r="N3568">
        <v>1</v>
      </c>
    </row>
    <row r="3569" hidden="1" spans="1:14">
      <c r="A3569">
        <v>901</v>
      </c>
      <c r="B3569">
        <v>0</v>
      </c>
      <c r="C3569" t="s">
        <v>275</v>
      </c>
      <c r="D3569">
        <v>0</v>
      </c>
      <c r="E3569">
        <v>134.79</v>
      </c>
      <c r="F3569">
        <v>45.0556</v>
      </c>
      <c r="G3569">
        <v>140070.73</v>
      </c>
      <c r="H3569" s="1">
        <v>34594</v>
      </c>
      <c r="I3569" s="1">
        <v>34603</v>
      </c>
      <c r="J3569" t="s">
        <v>15</v>
      </c>
      <c r="K3569">
        <v>13</v>
      </c>
      <c r="L3569">
        <v>700000</v>
      </c>
      <c r="M3569" t="s">
        <v>16</v>
      </c>
      <c r="N3569">
        <v>2</v>
      </c>
    </row>
    <row r="3570" hidden="1" spans="1:14">
      <c r="A3570">
        <v>941</v>
      </c>
      <c r="B3570">
        <v>0</v>
      </c>
      <c r="C3570" t="s">
        <v>275</v>
      </c>
      <c r="D3570">
        <v>0</v>
      </c>
      <c r="E3570">
        <v>45.9569</v>
      </c>
      <c r="F3570">
        <v>44.8374</v>
      </c>
      <c r="G3570">
        <v>115668.65</v>
      </c>
      <c r="H3570" s="1">
        <v>34772</v>
      </c>
      <c r="I3570" s="1">
        <v>34772</v>
      </c>
      <c r="J3570" t="s">
        <v>15</v>
      </c>
      <c r="K3570">
        <v>2</v>
      </c>
      <c r="L3570">
        <v>2400</v>
      </c>
      <c r="M3570" t="s">
        <v>16</v>
      </c>
      <c r="N3570">
        <v>1</v>
      </c>
    </row>
    <row r="3571" hidden="1" spans="1:14">
      <c r="A3571">
        <v>1084</v>
      </c>
      <c r="B3571">
        <v>0</v>
      </c>
      <c r="C3571" t="s">
        <v>275</v>
      </c>
      <c r="D3571">
        <v>0</v>
      </c>
      <c r="E3571">
        <v>108.345</v>
      </c>
      <c r="F3571">
        <v>58.4808</v>
      </c>
      <c r="G3571">
        <v>614642.51</v>
      </c>
      <c r="H3571" s="1">
        <v>35249</v>
      </c>
      <c r="I3571" s="1">
        <v>35253</v>
      </c>
      <c r="J3571" t="s">
        <v>15</v>
      </c>
      <c r="K3571">
        <v>0</v>
      </c>
      <c r="L3571">
        <v>220000</v>
      </c>
      <c r="M3571" t="s">
        <v>16</v>
      </c>
      <c r="N3571">
        <v>1</v>
      </c>
    </row>
    <row r="3572" hidden="1" spans="1:14">
      <c r="A3572">
        <v>1098</v>
      </c>
      <c r="B3572">
        <v>0</v>
      </c>
      <c r="C3572" t="s">
        <v>275</v>
      </c>
      <c r="D3572">
        <v>0</v>
      </c>
      <c r="E3572">
        <v>136.205</v>
      </c>
      <c r="F3572">
        <v>48.4439</v>
      </c>
      <c r="G3572">
        <v>524911.5</v>
      </c>
      <c r="H3572" s="1">
        <v>35278</v>
      </c>
      <c r="I3572" s="1">
        <v>35302</v>
      </c>
      <c r="J3572" t="s">
        <v>15</v>
      </c>
      <c r="K3572">
        <v>4</v>
      </c>
      <c r="L3572">
        <v>14000</v>
      </c>
      <c r="M3572" t="s">
        <v>49</v>
      </c>
      <c r="N3572">
        <v>1</v>
      </c>
    </row>
    <row r="3573" hidden="1" spans="1:14">
      <c r="A3573">
        <v>1222</v>
      </c>
      <c r="B3573">
        <v>0</v>
      </c>
      <c r="C3573" t="s">
        <v>275</v>
      </c>
      <c r="D3573">
        <v>0</v>
      </c>
      <c r="E3573">
        <v>89.0683</v>
      </c>
      <c r="F3573">
        <v>60.8855</v>
      </c>
      <c r="G3573">
        <v>26136.96</v>
      </c>
      <c r="H3573" s="1">
        <v>35544</v>
      </c>
      <c r="I3573" s="1">
        <v>35550</v>
      </c>
      <c r="J3573" t="s">
        <v>15</v>
      </c>
      <c r="K3573">
        <v>3</v>
      </c>
      <c r="L3573">
        <v>1000</v>
      </c>
      <c r="M3573" t="s">
        <v>48</v>
      </c>
      <c r="N3573">
        <v>1</v>
      </c>
    </row>
    <row r="3574" hidden="1" spans="1:14">
      <c r="A3574">
        <v>1224</v>
      </c>
      <c r="B3574">
        <v>0</v>
      </c>
      <c r="C3574" t="s">
        <v>275</v>
      </c>
      <c r="D3574">
        <v>0</v>
      </c>
      <c r="E3574">
        <v>40.082</v>
      </c>
      <c r="F3574">
        <v>47.3337</v>
      </c>
      <c r="G3574">
        <v>12912.59</v>
      </c>
      <c r="H3574" s="1">
        <v>35535</v>
      </c>
      <c r="I3574" s="1">
        <v>35537</v>
      </c>
      <c r="J3574" t="s">
        <v>15</v>
      </c>
      <c r="K3574">
        <v>2</v>
      </c>
      <c r="L3574">
        <v>500</v>
      </c>
      <c r="M3574" t="s">
        <v>16</v>
      </c>
      <c r="N3574">
        <v>1</v>
      </c>
    </row>
    <row r="3575" hidden="1" spans="1:14">
      <c r="A3575">
        <v>1316</v>
      </c>
      <c r="B3575">
        <v>0</v>
      </c>
      <c r="C3575" t="s">
        <v>275</v>
      </c>
      <c r="D3575">
        <v>0</v>
      </c>
      <c r="E3575">
        <v>39.3706</v>
      </c>
      <c r="F3575">
        <v>46.5334</v>
      </c>
      <c r="G3575">
        <v>34202.54</v>
      </c>
      <c r="H3575" s="1">
        <v>35844</v>
      </c>
      <c r="I3575" s="1">
        <v>35861</v>
      </c>
      <c r="J3575" t="s">
        <v>15</v>
      </c>
      <c r="K3575">
        <v>1</v>
      </c>
      <c r="L3575">
        <v>88000</v>
      </c>
      <c r="M3575" t="s">
        <v>39</v>
      </c>
      <c r="N3575">
        <v>1</v>
      </c>
    </row>
    <row r="3576" hidden="1" spans="1:14">
      <c r="A3576">
        <v>1353</v>
      </c>
      <c r="B3576">
        <v>0</v>
      </c>
      <c r="C3576" t="s">
        <v>275</v>
      </c>
      <c r="D3576">
        <v>0</v>
      </c>
      <c r="E3576">
        <v>39.7084</v>
      </c>
      <c r="F3576">
        <v>59.9746</v>
      </c>
      <c r="G3576">
        <v>62266.04</v>
      </c>
      <c r="H3576" s="1">
        <v>35919</v>
      </c>
      <c r="I3576" s="1">
        <v>35922</v>
      </c>
      <c r="J3576" t="s">
        <v>15</v>
      </c>
      <c r="K3576">
        <v>0</v>
      </c>
      <c r="L3576">
        <v>0</v>
      </c>
      <c r="M3576" t="s">
        <v>39</v>
      </c>
      <c r="N3576">
        <v>2</v>
      </c>
    </row>
    <row r="3577" hidden="1" spans="1:14">
      <c r="A3577">
        <v>1377</v>
      </c>
      <c r="B3577">
        <v>0</v>
      </c>
      <c r="C3577" t="s">
        <v>275</v>
      </c>
      <c r="D3577">
        <v>0</v>
      </c>
      <c r="E3577">
        <v>52.982</v>
      </c>
      <c r="F3577">
        <v>66.6416</v>
      </c>
      <c r="G3577">
        <v>56635.43</v>
      </c>
      <c r="H3577" s="1">
        <v>35949</v>
      </c>
      <c r="I3577" s="1">
        <v>35953</v>
      </c>
      <c r="J3577" t="s">
        <v>15</v>
      </c>
      <c r="K3577">
        <v>0</v>
      </c>
      <c r="L3577">
        <v>49</v>
      </c>
      <c r="M3577" t="s">
        <v>48</v>
      </c>
      <c r="N3577">
        <v>1</v>
      </c>
    </row>
    <row r="3578" hidden="1" spans="1:14">
      <c r="A3578">
        <v>1416</v>
      </c>
      <c r="B3578">
        <v>0</v>
      </c>
      <c r="C3578" t="s">
        <v>275</v>
      </c>
      <c r="D3578">
        <v>0</v>
      </c>
      <c r="E3578">
        <v>150.45</v>
      </c>
      <c r="F3578">
        <v>61.4991</v>
      </c>
      <c r="G3578">
        <v>102657.49</v>
      </c>
      <c r="H3578" s="1">
        <v>35995</v>
      </c>
      <c r="I3578" s="1">
        <v>35996</v>
      </c>
      <c r="J3578" t="s">
        <v>15</v>
      </c>
      <c r="K3578">
        <v>0</v>
      </c>
      <c r="L3578">
        <v>56</v>
      </c>
      <c r="M3578" t="s">
        <v>16</v>
      </c>
      <c r="N3578">
        <v>1</v>
      </c>
    </row>
    <row r="3579" hidden="1" spans="1:14">
      <c r="A3579">
        <v>1427</v>
      </c>
      <c r="B3579">
        <v>0</v>
      </c>
      <c r="C3579" t="s">
        <v>275</v>
      </c>
      <c r="D3579">
        <v>0</v>
      </c>
      <c r="E3579">
        <v>117.806</v>
      </c>
      <c r="F3579">
        <v>52.2417</v>
      </c>
      <c r="G3579">
        <v>168600.45</v>
      </c>
      <c r="H3579" s="1">
        <v>36019</v>
      </c>
      <c r="I3579" s="1">
        <v>36020</v>
      </c>
      <c r="J3579" t="s">
        <v>15</v>
      </c>
      <c r="K3579">
        <v>0</v>
      </c>
      <c r="L3579">
        <v>16000</v>
      </c>
      <c r="M3579" t="s">
        <v>16</v>
      </c>
      <c r="N3579">
        <v>1</v>
      </c>
    </row>
    <row r="3580" hidden="1" spans="1:14">
      <c r="A3580">
        <v>1440</v>
      </c>
      <c r="B3580">
        <v>0</v>
      </c>
      <c r="C3580" t="s">
        <v>275</v>
      </c>
      <c r="D3580">
        <v>0</v>
      </c>
      <c r="E3580">
        <v>132.906</v>
      </c>
      <c r="F3580">
        <v>48.5204</v>
      </c>
      <c r="G3580">
        <v>36019.2</v>
      </c>
      <c r="H3580" s="1">
        <v>36045</v>
      </c>
      <c r="I3580" s="1">
        <v>36045</v>
      </c>
      <c r="J3580" t="s">
        <v>15</v>
      </c>
      <c r="K3580">
        <v>0</v>
      </c>
      <c r="L3580">
        <v>0</v>
      </c>
      <c r="M3580" t="s">
        <v>16</v>
      </c>
      <c r="N3580">
        <v>1</v>
      </c>
    </row>
    <row r="3581" hidden="1" spans="1:14">
      <c r="A3581">
        <v>1510</v>
      </c>
      <c r="B3581">
        <v>0</v>
      </c>
      <c r="C3581" t="s">
        <v>275</v>
      </c>
      <c r="D3581">
        <v>0</v>
      </c>
      <c r="E3581">
        <v>128.374</v>
      </c>
      <c r="F3581">
        <v>64.5213</v>
      </c>
      <c r="G3581">
        <v>76624.97</v>
      </c>
      <c r="H3581" s="1">
        <v>36301</v>
      </c>
      <c r="I3581" s="1">
        <v>36304</v>
      </c>
      <c r="J3581" t="s">
        <v>15</v>
      </c>
      <c r="K3581">
        <v>0</v>
      </c>
      <c r="L3581">
        <v>4000</v>
      </c>
      <c r="M3581" t="s">
        <v>39</v>
      </c>
      <c r="N3581">
        <v>2</v>
      </c>
    </row>
    <row r="3582" hidden="1" spans="1:14">
      <c r="A3582">
        <v>1545</v>
      </c>
      <c r="B3582">
        <v>0</v>
      </c>
      <c r="C3582" t="s">
        <v>275</v>
      </c>
      <c r="D3582">
        <v>0</v>
      </c>
      <c r="E3582">
        <v>134.425</v>
      </c>
      <c r="F3582">
        <v>45.2732</v>
      </c>
      <c r="G3582">
        <v>97272.46</v>
      </c>
      <c r="H3582" s="1">
        <v>36402</v>
      </c>
      <c r="I3582" s="1">
        <v>36405</v>
      </c>
      <c r="J3582" t="s">
        <v>15</v>
      </c>
      <c r="K3582">
        <v>2</v>
      </c>
      <c r="L3582">
        <v>0</v>
      </c>
      <c r="M3582" t="s">
        <v>104</v>
      </c>
      <c r="N3582">
        <v>1</v>
      </c>
    </row>
    <row r="3583" hidden="1" spans="1:14">
      <c r="A3583">
        <v>1619</v>
      </c>
      <c r="B3583">
        <v>0</v>
      </c>
      <c r="C3583" t="s">
        <v>275</v>
      </c>
      <c r="D3583">
        <v>0</v>
      </c>
      <c r="E3583">
        <v>134.396</v>
      </c>
      <c r="F3583">
        <v>47.1138</v>
      </c>
      <c r="G3583">
        <v>192115.69</v>
      </c>
      <c r="H3583" s="1">
        <v>36737</v>
      </c>
      <c r="I3583" s="1">
        <v>36744</v>
      </c>
      <c r="J3583" t="s">
        <v>15</v>
      </c>
      <c r="K3583">
        <v>0</v>
      </c>
      <c r="L3583">
        <v>24000</v>
      </c>
      <c r="M3583" t="s">
        <v>16</v>
      </c>
      <c r="N3583">
        <v>1</v>
      </c>
    </row>
    <row r="3584" hidden="1" spans="1:14">
      <c r="A3584">
        <v>1719</v>
      </c>
      <c r="B3584">
        <v>0</v>
      </c>
      <c r="C3584" t="s">
        <v>275</v>
      </c>
      <c r="D3584">
        <v>0</v>
      </c>
      <c r="E3584">
        <v>56.1937</v>
      </c>
      <c r="F3584">
        <v>53.8396</v>
      </c>
      <c r="G3584">
        <v>16164.46</v>
      </c>
      <c r="H3584" s="1">
        <v>37012</v>
      </c>
      <c r="I3584" s="1">
        <v>37028</v>
      </c>
      <c r="J3584" t="s">
        <v>15</v>
      </c>
      <c r="K3584">
        <v>0</v>
      </c>
      <c r="L3584">
        <v>15000</v>
      </c>
      <c r="M3584" t="s">
        <v>39</v>
      </c>
      <c r="N3584">
        <v>1</v>
      </c>
    </row>
    <row r="3585" hidden="1" spans="1:14">
      <c r="A3585">
        <v>1745</v>
      </c>
      <c r="B3585">
        <v>0</v>
      </c>
      <c r="C3585" t="s">
        <v>275</v>
      </c>
      <c r="D3585">
        <v>0</v>
      </c>
      <c r="E3585">
        <v>101.959</v>
      </c>
      <c r="F3585">
        <v>55.2385</v>
      </c>
      <c r="G3585">
        <v>231499.29</v>
      </c>
      <c r="H3585" s="1">
        <v>37079</v>
      </c>
      <c r="I3585" s="1">
        <v>37085</v>
      </c>
      <c r="J3585" t="s">
        <v>15</v>
      </c>
      <c r="K3585">
        <v>11</v>
      </c>
      <c r="L3585">
        <v>20000</v>
      </c>
      <c r="M3585" t="s">
        <v>104</v>
      </c>
      <c r="N3585">
        <v>2</v>
      </c>
    </row>
    <row r="3586" hidden="1" spans="1:14">
      <c r="A3586">
        <v>1773</v>
      </c>
      <c r="B3586">
        <v>0</v>
      </c>
      <c r="C3586" t="s">
        <v>275</v>
      </c>
      <c r="D3586">
        <v>0</v>
      </c>
      <c r="E3586">
        <v>133.797</v>
      </c>
      <c r="F3586">
        <v>43.6492</v>
      </c>
      <c r="G3586">
        <v>36650.01</v>
      </c>
      <c r="H3586" s="1">
        <v>37109</v>
      </c>
      <c r="I3586" s="1">
        <v>37115</v>
      </c>
      <c r="J3586" t="s">
        <v>15</v>
      </c>
      <c r="K3586">
        <v>11</v>
      </c>
      <c r="L3586">
        <v>30000</v>
      </c>
      <c r="M3586" t="s">
        <v>16</v>
      </c>
      <c r="N3586">
        <v>1</v>
      </c>
    </row>
    <row r="3587" hidden="1" spans="1:14">
      <c r="A3587">
        <v>1862</v>
      </c>
      <c r="B3587">
        <v>0</v>
      </c>
      <c r="C3587" t="s">
        <v>275</v>
      </c>
      <c r="D3587">
        <v>0</v>
      </c>
      <c r="E3587">
        <v>37.8507</v>
      </c>
      <c r="F3587">
        <v>45.5001</v>
      </c>
      <c r="G3587">
        <v>9583.71</v>
      </c>
      <c r="H3587" s="1">
        <v>37262</v>
      </c>
      <c r="I3587" s="1">
        <v>37279</v>
      </c>
      <c r="J3587" t="s">
        <v>15</v>
      </c>
      <c r="K3587">
        <v>1</v>
      </c>
      <c r="L3587">
        <v>3000</v>
      </c>
      <c r="M3587" t="s">
        <v>39</v>
      </c>
      <c r="N3587">
        <v>2</v>
      </c>
    </row>
    <row r="3588" hidden="1" spans="1:14">
      <c r="A3588">
        <v>1880</v>
      </c>
      <c r="B3588">
        <v>0</v>
      </c>
      <c r="C3588" t="s">
        <v>275</v>
      </c>
      <c r="D3588">
        <v>0</v>
      </c>
      <c r="E3588">
        <v>42.2864</v>
      </c>
      <c r="F3588">
        <v>42.1729</v>
      </c>
      <c r="G3588">
        <v>516.405</v>
      </c>
      <c r="H3588" s="1">
        <v>37302</v>
      </c>
      <c r="I3588" s="1">
        <v>37304</v>
      </c>
      <c r="J3588" t="s">
        <v>15</v>
      </c>
      <c r="K3588">
        <v>0</v>
      </c>
      <c r="L3588">
        <v>1200</v>
      </c>
      <c r="M3588" t="s">
        <v>16</v>
      </c>
      <c r="N3588">
        <v>1</v>
      </c>
    </row>
    <row r="3589" hidden="1" spans="1:14">
      <c r="A3589">
        <v>1888</v>
      </c>
      <c r="B3589">
        <v>0</v>
      </c>
      <c r="C3589" t="s">
        <v>275</v>
      </c>
      <c r="D3589">
        <v>0</v>
      </c>
      <c r="E3589">
        <v>47.8434</v>
      </c>
      <c r="F3589">
        <v>50.8573</v>
      </c>
      <c r="G3589">
        <v>4120.28</v>
      </c>
      <c r="H3589" s="1">
        <v>37311</v>
      </c>
      <c r="I3589" s="1">
        <v>37314</v>
      </c>
      <c r="J3589" t="s">
        <v>15</v>
      </c>
      <c r="K3589">
        <v>0</v>
      </c>
      <c r="L3589">
        <v>0</v>
      </c>
      <c r="M3589" t="s">
        <v>39</v>
      </c>
      <c r="N3589">
        <v>1</v>
      </c>
    </row>
    <row r="3590" hidden="1" spans="1:14">
      <c r="A3590">
        <v>1910</v>
      </c>
      <c r="B3590">
        <v>0</v>
      </c>
      <c r="C3590" t="s">
        <v>275</v>
      </c>
      <c r="D3590">
        <v>0</v>
      </c>
      <c r="E3590">
        <v>67.2446</v>
      </c>
      <c r="F3590">
        <v>58.0454</v>
      </c>
      <c r="G3590">
        <v>191207.86</v>
      </c>
      <c r="H3590" s="1">
        <v>37368</v>
      </c>
      <c r="I3590" s="1">
        <v>37383</v>
      </c>
      <c r="J3590" t="s">
        <v>15</v>
      </c>
      <c r="K3590">
        <v>0</v>
      </c>
      <c r="L3590">
        <v>6000</v>
      </c>
      <c r="M3590" t="s">
        <v>39</v>
      </c>
      <c r="N3590">
        <v>1</v>
      </c>
    </row>
    <row r="3591" hidden="1" spans="1:14">
      <c r="A3591">
        <v>1913</v>
      </c>
      <c r="B3591">
        <v>0</v>
      </c>
      <c r="C3591" t="s">
        <v>275</v>
      </c>
      <c r="D3591">
        <v>0</v>
      </c>
      <c r="E3591">
        <v>156.653</v>
      </c>
      <c r="F3591">
        <v>53.5916</v>
      </c>
      <c r="G3591">
        <v>23145.61</v>
      </c>
      <c r="H3591" s="1">
        <v>37372</v>
      </c>
      <c r="I3591" s="1">
        <v>37375</v>
      </c>
      <c r="J3591" t="s">
        <v>15</v>
      </c>
      <c r="K3591">
        <v>0</v>
      </c>
      <c r="L3591">
        <v>0</v>
      </c>
      <c r="M3591" t="s">
        <v>16</v>
      </c>
      <c r="N3591">
        <v>1</v>
      </c>
    </row>
    <row r="3592" hidden="1" spans="1:14">
      <c r="A3592">
        <v>1921</v>
      </c>
      <c r="B3592">
        <v>0</v>
      </c>
      <c r="C3592" t="s">
        <v>275</v>
      </c>
      <c r="D3592">
        <v>0</v>
      </c>
      <c r="E3592">
        <v>64.5783</v>
      </c>
      <c r="F3592">
        <v>58.6923</v>
      </c>
      <c r="G3592">
        <v>61802.24</v>
      </c>
      <c r="H3592" s="1">
        <v>37383</v>
      </c>
      <c r="I3592" s="1">
        <v>37413</v>
      </c>
      <c r="J3592" t="s">
        <v>15</v>
      </c>
      <c r="K3592">
        <v>0</v>
      </c>
      <c r="L3592">
        <v>1000</v>
      </c>
      <c r="M3592" t="s">
        <v>16</v>
      </c>
      <c r="N3592">
        <v>1</v>
      </c>
    </row>
    <row r="3593" hidden="1" spans="1:14">
      <c r="A3593">
        <v>1931</v>
      </c>
      <c r="B3593">
        <v>0</v>
      </c>
      <c r="C3593" t="s">
        <v>275</v>
      </c>
      <c r="D3593">
        <v>0</v>
      </c>
      <c r="E3593">
        <v>131.95</v>
      </c>
      <c r="F3593">
        <v>62.8807</v>
      </c>
      <c r="G3593">
        <v>85631.21</v>
      </c>
      <c r="H3593" s="1">
        <v>37400</v>
      </c>
      <c r="I3593" s="1">
        <v>37408</v>
      </c>
      <c r="J3593" t="s">
        <v>15</v>
      </c>
      <c r="K3593">
        <v>0</v>
      </c>
      <c r="L3593">
        <v>1500</v>
      </c>
      <c r="M3593" t="s">
        <v>39</v>
      </c>
      <c r="N3593">
        <v>1</v>
      </c>
    </row>
    <row r="3594" hidden="1" spans="1:14">
      <c r="A3594">
        <v>1933</v>
      </c>
      <c r="B3594">
        <v>0</v>
      </c>
      <c r="C3594" t="s">
        <v>275</v>
      </c>
      <c r="D3594">
        <v>0</v>
      </c>
      <c r="E3594">
        <v>94.2009</v>
      </c>
      <c r="F3594">
        <v>64.8048</v>
      </c>
      <c r="G3594">
        <v>358953.75</v>
      </c>
      <c r="H3594" s="1">
        <v>37403</v>
      </c>
      <c r="I3594" s="1">
        <v>37408</v>
      </c>
      <c r="J3594" t="s">
        <v>15</v>
      </c>
      <c r="K3594">
        <v>0</v>
      </c>
      <c r="L3594">
        <v>0</v>
      </c>
      <c r="M3594" t="s">
        <v>39</v>
      </c>
      <c r="N3594">
        <v>1</v>
      </c>
    </row>
    <row r="3595" hidden="1" spans="1:14">
      <c r="A3595">
        <v>1946</v>
      </c>
      <c r="B3595">
        <v>0</v>
      </c>
      <c r="C3595" t="s">
        <v>275</v>
      </c>
      <c r="D3595">
        <v>0</v>
      </c>
      <c r="E3595">
        <v>61.5509</v>
      </c>
      <c r="F3595">
        <v>55.5516</v>
      </c>
      <c r="G3595">
        <v>66440.05</v>
      </c>
      <c r="H3595" s="1">
        <v>37416</v>
      </c>
      <c r="I3595" s="1">
        <v>37422</v>
      </c>
      <c r="J3595" t="s">
        <v>15</v>
      </c>
      <c r="K3595">
        <v>0</v>
      </c>
      <c r="L3595">
        <v>0</v>
      </c>
      <c r="M3595" t="s">
        <v>16</v>
      </c>
      <c r="N3595">
        <v>1</v>
      </c>
    </row>
    <row r="3596" hidden="1" spans="1:14">
      <c r="A3596">
        <v>1949</v>
      </c>
      <c r="B3596">
        <v>0</v>
      </c>
      <c r="C3596" t="s">
        <v>275</v>
      </c>
      <c r="D3596">
        <v>0</v>
      </c>
      <c r="E3596">
        <v>47.0419</v>
      </c>
      <c r="F3596">
        <v>43.5246</v>
      </c>
      <c r="G3596">
        <v>10642.67</v>
      </c>
      <c r="H3596" s="1">
        <v>37419</v>
      </c>
      <c r="I3596" s="1">
        <v>37421</v>
      </c>
      <c r="J3596" t="s">
        <v>15</v>
      </c>
      <c r="K3596">
        <v>0</v>
      </c>
      <c r="L3596">
        <v>0</v>
      </c>
      <c r="M3596" t="s">
        <v>16</v>
      </c>
      <c r="N3596">
        <v>1</v>
      </c>
    </row>
    <row r="3597" hidden="1" spans="1:14">
      <c r="A3597">
        <v>1962</v>
      </c>
      <c r="B3597">
        <v>0</v>
      </c>
      <c r="C3597" t="s">
        <v>275</v>
      </c>
      <c r="D3597">
        <v>0</v>
      </c>
      <c r="E3597">
        <v>43.255</v>
      </c>
      <c r="F3597">
        <v>43.9929</v>
      </c>
      <c r="G3597">
        <v>224555.13</v>
      </c>
      <c r="H3597" s="1">
        <v>37426</v>
      </c>
      <c r="I3597" s="1">
        <v>37438</v>
      </c>
      <c r="J3597" t="s">
        <v>15</v>
      </c>
      <c r="K3597">
        <v>117</v>
      </c>
      <c r="L3597">
        <v>200000</v>
      </c>
      <c r="M3597" t="s">
        <v>16</v>
      </c>
      <c r="N3597">
        <v>2</v>
      </c>
    </row>
    <row r="3598" hidden="1" spans="1:14">
      <c r="A3598">
        <v>1984</v>
      </c>
      <c r="B3598">
        <v>0</v>
      </c>
      <c r="C3598" t="s">
        <v>275</v>
      </c>
      <c r="D3598">
        <v>0</v>
      </c>
      <c r="E3598">
        <v>98.4303</v>
      </c>
      <c r="F3598">
        <v>56.0839</v>
      </c>
      <c r="G3598">
        <v>49723.18</v>
      </c>
      <c r="H3598" s="1">
        <v>37449</v>
      </c>
      <c r="I3598" s="1">
        <v>37453</v>
      </c>
      <c r="J3598" t="s">
        <v>15</v>
      </c>
      <c r="K3598">
        <v>0</v>
      </c>
      <c r="L3598">
        <v>2000</v>
      </c>
      <c r="M3598" t="s">
        <v>16</v>
      </c>
      <c r="N3598">
        <v>1</v>
      </c>
    </row>
    <row r="3599" hidden="1" spans="1:14">
      <c r="A3599">
        <v>1997</v>
      </c>
      <c r="B3599">
        <v>0</v>
      </c>
      <c r="C3599" t="s">
        <v>275</v>
      </c>
      <c r="D3599">
        <v>0</v>
      </c>
      <c r="E3599">
        <v>132.38</v>
      </c>
      <c r="F3599">
        <v>43.8822</v>
      </c>
      <c r="G3599">
        <v>23877.42</v>
      </c>
      <c r="H3599" s="1">
        <v>37457</v>
      </c>
      <c r="I3599" s="1">
        <v>37463</v>
      </c>
      <c r="J3599" t="s">
        <v>15</v>
      </c>
      <c r="K3599">
        <v>0</v>
      </c>
      <c r="L3599">
        <v>1500</v>
      </c>
      <c r="M3599" t="s">
        <v>16</v>
      </c>
      <c r="N3599">
        <v>1</v>
      </c>
    </row>
    <row r="3600" hidden="1" spans="1:14">
      <c r="A3600">
        <v>2015</v>
      </c>
      <c r="B3600">
        <v>0</v>
      </c>
      <c r="C3600" t="s">
        <v>275</v>
      </c>
      <c r="D3600">
        <v>0</v>
      </c>
      <c r="E3600">
        <v>133.885</v>
      </c>
      <c r="F3600">
        <v>45.9346</v>
      </c>
      <c r="G3600">
        <v>1348.91</v>
      </c>
      <c r="H3600" s="1">
        <v>37469</v>
      </c>
      <c r="I3600" s="1">
        <v>37474</v>
      </c>
      <c r="J3600" t="s">
        <v>15</v>
      </c>
      <c r="K3600">
        <v>0</v>
      </c>
      <c r="L3600">
        <v>80</v>
      </c>
      <c r="M3600" t="s">
        <v>16</v>
      </c>
      <c r="N3600">
        <v>1</v>
      </c>
    </row>
    <row r="3601" hidden="1" spans="1:14">
      <c r="A3601">
        <v>2025</v>
      </c>
      <c r="B3601">
        <v>0</v>
      </c>
      <c r="C3601" t="s">
        <v>275</v>
      </c>
      <c r="D3601">
        <v>0</v>
      </c>
      <c r="E3601">
        <v>38.6654</v>
      </c>
      <c r="F3601">
        <v>44.3276</v>
      </c>
      <c r="G3601">
        <v>10857.77</v>
      </c>
      <c r="H3601" s="1">
        <v>37476</v>
      </c>
      <c r="I3601" s="1">
        <v>37480</v>
      </c>
      <c r="J3601" t="s">
        <v>15</v>
      </c>
      <c r="K3601">
        <v>59</v>
      </c>
      <c r="L3601">
        <v>48000</v>
      </c>
      <c r="M3601" t="s">
        <v>16</v>
      </c>
      <c r="N3601">
        <v>2</v>
      </c>
    </row>
    <row r="3602" hidden="1" spans="1:14">
      <c r="A3602">
        <v>2046</v>
      </c>
      <c r="B3602">
        <v>0</v>
      </c>
      <c r="C3602" t="s">
        <v>275</v>
      </c>
      <c r="D3602">
        <v>0</v>
      </c>
      <c r="E3602">
        <v>133.885</v>
      </c>
      <c r="F3602">
        <v>45.9346</v>
      </c>
      <c r="G3602">
        <v>1348.91</v>
      </c>
      <c r="H3602" s="1">
        <v>37496</v>
      </c>
      <c r="I3602" s="1">
        <v>37505</v>
      </c>
      <c r="J3602" t="s">
        <v>15</v>
      </c>
      <c r="K3602">
        <v>0</v>
      </c>
      <c r="L3602">
        <v>0</v>
      </c>
      <c r="M3602" t="s">
        <v>16</v>
      </c>
      <c r="N3602">
        <v>1</v>
      </c>
    </row>
    <row r="3603" hidden="1" spans="1:14">
      <c r="A3603">
        <v>2147</v>
      </c>
      <c r="B3603">
        <v>0</v>
      </c>
      <c r="C3603" t="s">
        <v>275</v>
      </c>
      <c r="D3603">
        <v>0</v>
      </c>
      <c r="E3603">
        <v>39.6729</v>
      </c>
      <c r="F3603">
        <v>47.2248</v>
      </c>
      <c r="G3603">
        <v>18390.87</v>
      </c>
      <c r="H3603" s="1">
        <v>37653</v>
      </c>
      <c r="I3603" s="1">
        <v>37655</v>
      </c>
      <c r="J3603" t="s">
        <v>15</v>
      </c>
      <c r="K3603">
        <v>0</v>
      </c>
      <c r="L3603">
        <v>200</v>
      </c>
      <c r="M3603" t="s">
        <v>16</v>
      </c>
      <c r="N3603">
        <v>1</v>
      </c>
    </row>
    <row r="3604" hidden="1" spans="1:14">
      <c r="A3604">
        <v>2191</v>
      </c>
      <c r="B3604">
        <v>0</v>
      </c>
      <c r="C3604" t="s">
        <v>275</v>
      </c>
      <c r="D3604">
        <v>0</v>
      </c>
      <c r="E3604">
        <v>133.058</v>
      </c>
      <c r="F3604">
        <v>44.3837</v>
      </c>
      <c r="G3604">
        <v>30394.38</v>
      </c>
      <c r="H3604" s="1">
        <v>37705</v>
      </c>
      <c r="I3604" s="1">
        <v>37722</v>
      </c>
      <c r="J3604" t="s">
        <v>15</v>
      </c>
      <c r="K3604">
        <v>0</v>
      </c>
      <c r="L3604">
        <v>0</v>
      </c>
      <c r="M3604" t="s">
        <v>153</v>
      </c>
      <c r="N3604">
        <v>1</v>
      </c>
    </row>
    <row r="3605" hidden="1" spans="1:14">
      <c r="A3605">
        <v>2199</v>
      </c>
      <c r="B3605">
        <v>0</v>
      </c>
      <c r="C3605" t="s">
        <v>275</v>
      </c>
      <c r="D3605">
        <v>0</v>
      </c>
      <c r="E3605">
        <v>42.8994</v>
      </c>
      <c r="F3605">
        <v>49.2409</v>
      </c>
      <c r="G3605">
        <v>1434589.04</v>
      </c>
      <c r="H3605" s="1">
        <v>37712</v>
      </c>
      <c r="I3605" s="1">
        <v>37755</v>
      </c>
      <c r="J3605" t="s">
        <v>15</v>
      </c>
      <c r="K3605">
        <v>1</v>
      </c>
      <c r="L3605">
        <v>8000</v>
      </c>
      <c r="M3605" t="s">
        <v>153</v>
      </c>
      <c r="N3605">
        <v>2</v>
      </c>
    </row>
    <row r="3606" hidden="1" spans="1:14">
      <c r="A3606">
        <v>2208</v>
      </c>
      <c r="B3606">
        <v>0</v>
      </c>
      <c r="C3606" t="s">
        <v>275</v>
      </c>
      <c r="D3606">
        <v>0</v>
      </c>
      <c r="E3606">
        <v>64.7393</v>
      </c>
      <c r="F3606">
        <v>55.4536</v>
      </c>
      <c r="G3606">
        <v>315231.35</v>
      </c>
      <c r="H3606" s="1">
        <v>37727</v>
      </c>
      <c r="I3606" s="1">
        <v>37769</v>
      </c>
      <c r="J3606" t="s">
        <v>15</v>
      </c>
      <c r="K3606">
        <v>0</v>
      </c>
      <c r="L3606">
        <v>0</v>
      </c>
      <c r="M3606" t="s">
        <v>39</v>
      </c>
      <c r="N3606">
        <v>1</v>
      </c>
    </row>
    <row r="3607" hidden="1" spans="1:14">
      <c r="A3607">
        <v>2209</v>
      </c>
      <c r="B3607">
        <v>0</v>
      </c>
      <c r="C3607" t="s">
        <v>275</v>
      </c>
      <c r="D3607">
        <v>0</v>
      </c>
      <c r="E3607">
        <v>35.7082</v>
      </c>
      <c r="F3607">
        <v>52.5531</v>
      </c>
      <c r="G3607">
        <v>393161.63</v>
      </c>
      <c r="H3607" s="1">
        <v>37726</v>
      </c>
      <c r="I3607" s="1">
        <v>37759</v>
      </c>
      <c r="J3607" t="s">
        <v>15</v>
      </c>
      <c r="K3607">
        <v>0</v>
      </c>
      <c r="L3607">
        <v>600</v>
      </c>
      <c r="M3607" t="s">
        <v>39</v>
      </c>
      <c r="N3607">
        <v>1</v>
      </c>
    </row>
    <row r="3608" hidden="1" spans="1:14">
      <c r="A3608">
        <v>2221</v>
      </c>
      <c r="B3608">
        <v>0</v>
      </c>
      <c r="C3608" t="s">
        <v>275</v>
      </c>
      <c r="D3608">
        <v>0</v>
      </c>
      <c r="E3608">
        <v>42.3946</v>
      </c>
      <c r="F3608">
        <v>63.5313</v>
      </c>
      <c r="G3608">
        <v>345303.79</v>
      </c>
      <c r="H3608" s="1">
        <v>37742</v>
      </c>
      <c r="I3608" s="1">
        <v>37757</v>
      </c>
      <c r="J3608" t="s">
        <v>15</v>
      </c>
      <c r="K3608">
        <v>0</v>
      </c>
      <c r="L3608">
        <v>1600</v>
      </c>
      <c r="M3608" t="s">
        <v>39</v>
      </c>
      <c r="N3608">
        <v>1</v>
      </c>
    </row>
    <row r="3609" hidden="1" spans="1:14">
      <c r="A3609">
        <v>2238</v>
      </c>
      <c r="B3609">
        <v>0</v>
      </c>
      <c r="C3609" t="s">
        <v>275</v>
      </c>
      <c r="D3609">
        <v>0</v>
      </c>
      <c r="E3609">
        <v>128.13</v>
      </c>
      <c r="F3609">
        <v>62.8787</v>
      </c>
      <c r="G3609">
        <v>62479.95</v>
      </c>
      <c r="H3609" s="1">
        <v>37768</v>
      </c>
      <c r="I3609" s="1">
        <v>37792</v>
      </c>
      <c r="J3609" t="s">
        <v>15</v>
      </c>
      <c r="K3609">
        <v>0</v>
      </c>
      <c r="L3609">
        <v>400</v>
      </c>
      <c r="M3609" t="s">
        <v>39</v>
      </c>
      <c r="N3609">
        <v>1</v>
      </c>
    </row>
    <row r="3610" hidden="1" spans="1:14">
      <c r="A3610">
        <v>2241</v>
      </c>
      <c r="B3610">
        <v>0</v>
      </c>
      <c r="C3610" t="s">
        <v>275</v>
      </c>
      <c r="D3610">
        <v>0</v>
      </c>
      <c r="E3610">
        <v>90.8345</v>
      </c>
      <c r="F3610">
        <v>53.3172</v>
      </c>
      <c r="G3610">
        <v>5085.41</v>
      </c>
      <c r="H3610" s="1">
        <v>37773</v>
      </c>
      <c r="I3610" s="1">
        <v>37776</v>
      </c>
      <c r="J3610" t="s">
        <v>15</v>
      </c>
      <c r="K3610">
        <v>0</v>
      </c>
      <c r="L3610">
        <v>0</v>
      </c>
      <c r="M3610" t="s">
        <v>16</v>
      </c>
      <c r="N3610">
        <v>1</v>
      </c>
    </row>
    <row r="3611" hidden="1" spans="1:14">
      <c r="A3611">
        <v>2214</v>
      </c>
      <c r="B3611">
        <v>0</v>
      </c>
      <c r="C3611" t="s">
        <v>275</v>
      </c>
      <c r="D3611">
        <v>0</v>
      </c>
      <c r="E3611">
        <v>79.3162</v>
      </c>
      <c r="F3611">
        <v>57.8205</v>
      </c>
      <c r="G3611">
        <v>876375.49</v>
      </c>
      <c r="H3611" s="1">
        <v>37734</v>
      </c>
      <c r="I3611" s="1">
        <v>37754</v>
      </c>
      <c r="J3611" t="s">
        <v>15</v>
      </c>
      <c r="K3611">
        <v>0</v>
      </c>
      <c r="L3611">
        <v>500</v>
      </c>
      <c r="M3611" t="s">
        <v>39</v>
      </c>
      <c r="N3611">
        <v>1</v>
      </c>
    </row>
    <row r="3612" hidden="1" spans="1:14">
      <c r="A3612">
        <v>2302</v>
      </c>
      <c r="B3612">
        <v>0</v>
      </c>
      <c r="C3612" t="s">
        <v>275</v>
      </c>
      <c r="D3612">
        <v>0</v>
      </c>
      <c r="E3612">
        <v>94.0334</v>
      </c>
      <c r="F3612">
        <v>51.2311</v>
      </c>
      <c r="G3612">
        <v>8222.43</v>
      </c>
      <c r="H3612" s="1">
        <v>37831</v>
      </c>
      <c r="I3612" s="1">
        <v>37833</v>
      </c>
      <c r="J3612" t="s">
        <v>15</v>
      </c>
      <c r="K3612">
        <v>0</v>
      </c>
      <c r="L3612">
        <v>600</v>
      </c>
      <c r="M3612" t="s">
        <v>16</v>
      </c>
      <c r="N3612">
        <v>1</v>
      </c>
    </row>
    <row r="3613" hidden="1" spans="1:14">
      <c r="A3613">
        <v>2319</v>
      </c>
      <c r="B3613">
        <v>0</v>
      </c>
      <c r="C3613" t="s">
        <v>275</v>
      </c>
      <c r="D3613">
        <v>0</v>
      </c>
      <c r="E3613">
        <v>101.83</v>
      </c>
      <c r="F3613">
        <v>52.124</v>
      </c>
      <c r="G3613">
        <v>65748.36</v>
      </c>
      <c r="H3613" s="1">
        <v>37847</v>
      </c>
      <c r="I3613" s="1">
        <v>37851</v>
      </c>
      <c r="J3613" t="s">
        <v>15</v>
      </c>
      <c r="K3613">
        <v>1</v>
      </c>
      <c r="L3613">
        <v>200</v>
      </c>
      <c r="M3613" t="s">
        <v>16</v>
      </c>
      <c r="N3613">
        <v>1</v>
      </c>
    </row>
    <row r="3614" hidden="1" spans="1:14">
      <c r="A3614">
        <v>2336</v>
      </c>
      <c r="B3614">
        <v>0</v>
      </c>
      <c r="C3614" t="s">
        <v>275</v>
      </c>
      <c r="D3614">
        <v>0</v>
      </c>
      <c r="E3614">
        <v>44.3698</v>
      </c>
      <c r="F3614">
        <v>44.7002</v>
      </c>
      <c r="G3614">
        <v>11776.47</v>
      </c>
      <c r="H3614" s="1">
        <v>37860</v>
      </c>
      <c r="I3614" s="1">
        <v>37862</v>
      </c>
      <c r="J3614" t="s">
        <v>15</v>
      </c>
      <c r="K3614">
        <v>0</v>
      </c>
      <c r="L3614">
        <v>200</v>
      </c>
      <c r="M3614" t="s">
        <v>18</v>
      </c>
      <c r="N3614">
        <v>1</v>
      </c>
    </row>
    <row r="3615" hidden="1" spans="1:14">
      <c r="A3615">
        <v>2371</v>
      </c>
      <c r="B3615">
        <v>0</v>
      </c>
      <c r="C3615" t="s">
        <v>275</v>
      </c>
      <c r="D3615" t="s">
        <v>422</v>
      </c>
      <c r="E3615">
        <v>40.7145</v>
      </c>
      <c r="F3615">
        <v>43.8129</v>
      </c>
      <c r="G3615">
        <v>51606.53</v>
      </c>
      <c r="H3615" s="1">
        <v>37919</v>
      </c>
      <c r="I3615" s="1">
        <v>37921</v>
      </c>
      <c r="J3615" t="s">
        <v>15</v>
      </c>
      <c r="K3615">
        <v>0</v>
      </c>
      <c r="L3615">
        <v>600</v>
      </c>
      <c r="M3615" t="s">
        <v>16</v>
      </c>
      <c r="N3615">
        <v>2</v>
      </c>
    </row>
    <row r="3616" hidden="1" spans="1:14">
      <c r="A3616">
        <v>2445</v>
      </c>
      <c r="B3616">
        <v>0</v>
      </c>
      <c r="C3616" t="s">
        <v>275</v>
      </c>
      <c r="D3616">
        <v>0</v>
      </c>
      <c r="E3616">
        <v>45.061</v>
      </c>
      <c r="F3616">
        <v>51.9038</v>
      </c>
      <c r="G3616">
        <v>1401.54</v>
      </c>
      <c r="H3616" s="1">
        <v>38048</v>
      </c>
      <c r="I3616" s="1">
        <v>38051</v>
      </c>
      <c r="J3616" t="s">
        <v>15</v>
      </c>
      <c r="K3616">
        <v>0</v>
      </c>
      <c r="L3616">
        <v>0</v>
      </c>
      <c r="M3616" t="s">
        <v>39</v>
      </c>
      <c r="N3616">
        <v>1</v>
      </c>
    </row>
    <row r="3617" hidden="1" spans="1:14">
      <c r="A3617">
        <v>2453</v>
      </c>
      <c r="B3617">
        <v>0</v>
      </c>
      <c r="C3617" t="s">
        <v>275</v>
      </c>
      <c r="D3617">
        <v>0</v>
      </c>
      <c r="E3617">
        <v>39.8068</v>
      </c>
      <c r="F3617">
        <v>44.7613</v>
      </c>
      <c r="G3617">
        <v>10516.82</v>
      </c>
      <c r="H3617" s="1">
        <v>38052</v>
      </c>
      <c r="I3617" s="1">
        <v>38057</v>
      </c>
      <c r="J3617" t="s">
        <v>15</v>
      </c>
      <c r="K3617">
        <v>0</v>
      </c>
      <c r="L3617">
        <v>1000</v>
      </c>
      <c r="M3617" t="s">
        <v>39</v>
      </c>
      <c r="N3617">
        <v>1</v>
      </c>
    </row>
    <row r="3618" hidden="1" spans="1:14">
      <c r="A3618">
        <v>2463</v>
      </c>
      <c r="B3618">
        <v>0</v>
      </c>
      <c r="C3618" t="s">
        <v>275</v>
      </c>
      <c r="D3618" t="s">
        <v>151</v>
      </c>
      <c r="E3618">
        <v>34.4848</v>
      </c>
      <c r="F3618">
        <v>53.4739</v>
      </c>
      <c r="G3618">
        <v>839987</v>
      </c>
      <c r="H3618" s="1">
        <v>38076</v>
      </c>
      <c r="I3618" s="1">
        <v>38112</v>
      </c>
      <c r="J3618" t="s">
        <v>15</v>
      </c>
      <c r="K3618">
        <v>0</v>
      </c>
      <c r="L3618">
        <v>1220</v>
      </c>
      <c r="M3618" t="s">
        <v>38</v>
      </c>
      <c r="N3618">
        <v>1</v>
      </c>
    </row>
    <row r="3619" hidden="1" spans="1:14">
      <c r="A3619">
        <v>2471</v>
      </c>
      <c r="B3619">
        <v>0</v>
      </c>
      <c r="C3619" t="s">
        <v>275</v>
      </c>
      <c r="D3619">
        <v>0</v>
      </c>
      <c r="E3619">
        <v>86.6102</v>
      </c>
      <c r="F3619">
        <v>51.9754</v>
      </c>
      <c r="G3619">
        <v>264456.02</v>
      </c>
      <c r="H3619" s="1">
        <v>38091</v>
      </c>
      <c r="I3619" s="1">
        <v>38123</v>
      </c>
      <c r="J3619" t="s">
        <v>15</v>
      </c>
      <c r="K3619">
        <v>18</v>
      </c>
      <c r="L3619">
        <v>4800</v>
      </c>
      <c r="M3619" t="s">
        <v>38</v>
      </c>
      <c r="N3619">
        <v>1</v>
      </c>
    </row>
    <row r="3620" hidden="1" spans="1:14">
      <c r="A3620">
        <v>2500</v>
      </c>
      <c r="B3620">
        <v>0</v>
      </c>
      <c r="C3620" t="s">
        <v>275</v>
      </c>
      <c r="D3620">
        <v>0</v>
      </c>
      <c r="E3620">
        <v>112.632</v>
      </c>
      <c r="F3620">
        <v>59.1447</v>
      </c>
      <c r="G3620">
        <v>136392.44</v>
      </c>
      <c r="H3620" s="1">
        <v>38150</v>
      </c>
      <c r="I3620" s="1">
        <v>38161</v>
      </c>
      <c r="J3620" t="s">
        <v>15</v>
      </c>
      <c r="K3620">
        <v>0</v>
      </c>
      <c r="L3620">
        <v>500</v>
      </c>
      <c r="M3620" t="s">
        <v>38</v>
      </c>
      <c r="N3620">
        <v>1</v>
      </c>
    </row>
    <row r="3621" hidden="1" spans="1:14">
      <c r="A3621">
        <v>2511</v>
      </c>
      <c r="B3621">
        <v>0</v>
      </c>
      <c r="C3621" t="s">
        <v>275</v>
      </c>
      <c r="D3621">
        <v>0</v>
      </c>
      <c r="E3621">
        <v>134.049</v>
      </c>
      <c r="F3621">
        <v>67.4199</v>
      </c>
      <c r="G3621">
        <v>157042.18</v>
      </c>
      <c r="H3621" s="1">
        <v>38161</v>
      </c>
      <c r="I3621" s="1">
        <v>38189</v>
      </c>
      <c r="J3621" t="s">
        <v>15</v>
      </c>
      <c r="K3621">
        <v>0</v>
      </c>
      <c r="L3621">
        <v>700</v>
      </c>
      <c r="M3621" t="s">
        <v>16</v>
      </c>
      <c r="N3621">
        <v>1</v>
      </c>
    </row>
    <row r="3622" hidden="1" spans="1:14">
      <c r="A3622">
        <v>2512</v>
      </c>
      <c r="B3622">
        <v>0</v>
      </c>
      <c r="C3622" t="s">
        <v>275</v>
      </c>
      <c r="D3622">
        <v>0</v>
      </c>
      <c r="E3622">
        <v>41.045</v>
      </c>
      <c r="F3622">
        <v>44.5712</v>
      </c>
      <c r="G3622">
        <v>18008.27</v>
      </c>
      <c r="H3622" s="1">
        <v>38164</v>
      </c>
      <c r="I3622" s="1">
        <v>38169</v>
      </c>
      <c r="J3622" t="s">
        <v>15</v>
      </c>
      <c r="K3622">
        <v>0</v>
      </c>
      <c r="L3622">
        <v>500</v>
      </c>
      <c r="M3622" t="s">
        <v>16</v>
      </c>
      <c r="N3622">
        <v>1</v>
      </c>
    </row>
    <row r="3623" hidden="1" spans="1:14">
      <c r="A3623">
        <v>2558</v>
      </c>
      <c r="B3623">
        <v>0</v>
      </c>
      <c r="C3623" t="s">
        <v>275</v>
      </c>
      <c r="D3623">
        <v>0</v>
      </c>
      <c r="E3623">
        <v>40.7769</v>
      </c>
      <c r="F3623">
        <v>44.4962</v>
      </c>
      <c r="G3623">
        <v>831.468</v>
      </c>
      <c r="H3623" s="1">
        <v>38230</v>
      </c>
      <c r="I3623" s="1">
        <v>38231</v>
      </c>
      <c r="J3623" t="s">
        <v>15</v>
      </c>
      <c r="K3623">
        <v>0</v>
      </c>
      <c r="L3623">
        <v>500</v>
      </c>
      <c r="M3623" t="s">
        <v>18</v>
      </c>
      <c r="N3623">
        <v>1</v>
      </c>
    </row>
    <row r="3624" hidden="1" spans="1:14">
      <c r="A3624">
        <v>2595</v>
      </c>
      <c r="B3624">
        <v>0</v>
      </c>
      <c r="C3624" t="s">
        <v>275</v>
      </c>
      <c r="D3624">
        <v>0</v>
      </c>
      <c r="E3624">
        <v>40.8956</v>
      </c>
      <c r="F3624">
        <v>44.5206</v>
      </c>
      <c r="G3624">
        <v>4281.58</v>
      </c>
      <c r="H3624" s="1">
        <v>38324</v>
      </c>
      <c r="I3624" s="1">
        <v>38328</v>
      </c>
      <c r="J3624" t="s">
        <v>15</v>
      </c>
      <c r="K3624">
        <v>0</v>
      </c>
      <c r="L3624">
        <v>150</v>
      </c>
      <c r="M3624" t="s">
        <v>39</v>
      </c>
      <c r="N3624">
        <v>1</v>
      </c>
    </row>
    <row r="3625" hidden="1" spans="1:14">
      <c r="A3625">
        <v>2659</v>
      </c>
      <c r="B3625">
        <v>0</v>
      </c>
      <c r="C3625" t="s">
        <v>275</v>
      </c>
      <c r="D3625">
        <v>0</v>
      </c>
      <c r="E3625">
        <v>135.157</v>
      </c>
      <c r="F3625">
        <v>47.9353</v>
      </c>
      <c r="G3625">
        <v>379339.74</v>
      </c>
      <c r="H3625" s="1">
        <v>38483</v>
      </c>
      <c r="I3625" s="1">
        <v>38510</v>
      </c>
      <c r="J3625" t="s">
        <v>15</v>
      </c>
      <c r="K3625">
        <v>1</v>
      </c>
      <c r="L3625">
        <v>50</v>
      </c>
      <c r="M3625" t="s">
        <v>16</v>
      </c>
      <c r="N3625">
        <v>2</v>
      </c>
    </row>
    <row r="3626" hidden="1" spans="1:14">
      <c r="A3626">
        <v>2851</v>
      </c>
      <c r="B3626">
        <v>0</v>
      </c>
      <c r="C3626" t="s">
        <v>275</v>
      </c>
      <c r="D3626">
        <v>0</v>
      </c>
      <c r="E3626">
        <v>87.1438</v>
      </c>
      <c r="F3626">
        <v>50.7752</v>
      </c>
      <c r="G3626">
        <v>144912.1</v>
      </c>
      <c r="H3626" s="1">
        <v>38828</v>
      </c>
      <c r="I3626" s="1">
        <v>38868</v>
      </c>
      <c r="J3626" t="s">
        <v>15</v>
      </c>
      <c r="K3626">
        <v>0</v>
      </c>
      <c r="L3626">
        <v>420</v>
      </c>
      <c r="M3626" t="s">
        <v>39</v>
      </c>
      <c r="N3626">
        <v>1</v>
      </c>
    </row>
    <row r="3627" hidden="1" spans="1:14">
      <c r="A3627">
        <v>2883</v>
      </c>
      <c r="B3627">
        <v>0</v>
      </c>
      <c r="C3627" t="s">
        <v>275</v>
      </c>
      <c r="D3627">
        <v>0</v>
      </c>
      <c r="E3627">
        <v>114.578</v>
      </c>
      <c r="F3627">
        <v>58.3325</v>
      </c>
      <c r="G3627">
        <v>274771.44</v>
      </c>
      <c r="H3627" s="1">
        <v>38872</v>
      </c>
      <c r="I3627" s="1">
        <v>38880</v>
      </c>
      <c r="J3627" t="s">
        <v>15</v>
      </c>
      <c r="K3627">
        <v>0</v>
      </c>
      <c r="L3627">
        <v>1300</v>
      </c>
      <c r="M3627" t="s">
        <v>38</v>
      </c>
      <c r="N3627">
        <v>1</v>
      </c>
    </row>
    <row r="3628" hidden="1" spans="1:14">
      <c r="A3628">
        <v>2923</v>
      </c>
      <c r="B3628">
        <v>0</v>
      </c>
      <c r="C3628" t="s">
        <v>275</v>
      </c>
      <c r="D3628">
        <v>0</v>
      </c>
      <c r="E3628">
        <v>106.525</v>
      </c>
      <c r="F3628">
        <v>50.7912</v>
      </c>
      <c r="G3628">
        <v>22757.9</v>
      </c>
      <c r="H3628" s="1">
        <v>38910</v>
      </c>
      <c r="I3628" s="1">
        <v>38912</v>
      </c>
      <c r="J3628" t="s">
        <v>15</v>
      </c>
      <c r="K3628">
        <v>0</v>
      </c>
      <c r="L3628">
        <v>6000</v>
      </c>
      <c r="M3628" t="s">
        <v>16</v>
      </c>
      <c r="N3628">
        <v>1</v>
      </c>
    </row>
    <row r="3629" hidden="1" spans="1:14">
      <c r="A3629">
        <v>3075</v>
      </c>
      <c r="B3629">
        <v>0</v>
      </c>
      <c r="C3629" t="s">
        <v>275</v>
      </c>
      <c r="D3629">
        <v>0</v>
      </c>
      <c r="E3629">
        <v>130.459</v>
      </c>
      <c r="F3629">
        <v>62.3364</v>
      </c>
      <c r="G3629">
        <v>378031.54</v>
      </c>
      <c r="H3629" s="1">
        <v>39215</v>
      </c>
      <c r="I3629" s="1">
        <v>39246</v>
      </c>
      <c r="J3629" t="s">
        <v>15</v>
      </c>
      <c r="K3629">
        <v>0</v>
      </c>
      <c r="L3629">
        <v>7000</v>
      </c>
      <c r="M3629" t="s">
        <v>39</v>
      </c>
      <c r="N3629">
        <v>1</v>
      </c>
    </row>
    <row r="3630" hidden="1" spans="1:14">
      <c r="A3630">
        <v>3076</v>
      </c>
      <c r="B3630">
        <v>0</v>
      </c>
      <c r="C3630" t="s">
        <v>275</v>
      </c>
      <c r="D3630">
        <v>0</v>
      </c>
      <c r="E3630">
        <v>85.8394</v>
      </c>
      <c r="F3630">
        <v>56.9372</v>
      </c>
      <c r="G3630">
        <v>427668.3</v>
      </c>
      <c r="H3630" s="1">
        <v>39213</v>
      </c>
      <c r="I3630" s="1">
        <v>39246</v>
      </c>
      <c r="J3630" t="s">
        <v>15</v>
      </c>
      <c r="K3630">
        <v>0</v>
      </c>
      <c r="L3630">
        <v>640</v>
      </c>
      <c r="M3630" t="s">
        <v>39</v>
      </c>
      <c r="N3630">
        <v>1</v>
      </c>
    </row>
    <row r="3631" hidden="1" spans="1:14">
      <c r="A3631">
        <v>3142</v>
      </c>
      <c r="B3631" t="s">
        <v>888</v>
      </c>
      <c r="C3631" t="s">
        <v>275</v>
      </c>
      <c r="D3631">
        <v>0</v>
      </c>
      <c r="E3631">
        <v>127.277</v>
      </c>
      <c r="F3631">
        <v>54.005</v>
      </c>
      <c r="G3631">
        <v>20811.95</v>
      </c>
      <c r="H3631" s="1">
        <v>39280</v>
      </c>
      <c r="I3631" s="1">
        <v>39304</v>
      </c>
      <c r="J3631" t="s">
        <v>15</v>
      </c>
      <c r="K3631">
        <v>0</v>
      </c>
      <c r="L3631">
        <v>500</v>
      </c>
      <c r="M3631" t="s">
        <v>25</v>
      </c>
      <c r="N3631">
        <v>1</v>
      </c>
    </row>
    <row r="3632" hidden="1" spans="1:14">
      <c r="A3632">
        <v>3306</v>
      </c>
      <c r="B3632">
        <v>0</v>
      </c>
      <c r="C3632" t="s">
        <v>275</v>
      </c>
      <c r="D3632">
        <v>0</v>
      </c>
      <c r="E3632">
        <v>130.54</v>
      </c>
      <c r="F3632">
        <v>60.5005</v>
      </c>
      <c r="G3632">
        <v>595263.27</v>
      </c>
      <c r="H3632" s="1">
        <v>39580</v>
      </c>
      <c r="I3632" s="1">
        <v>39593</v>
      </c>
      <c r="J3632" t="s">
        <v>15</v>
      </c>
      <c r="K3632">
        <v>0</v>
      </c>
      <c r="L3632">
        <v>700</v>
      </c>
      <c r="M3632" t="s">
        <v>48</v>
      </c>
      <c r="N3632">
        <v>1</v>
      </c>
    </row>
    <row r="3633" hidden="1" spans="1:14">
      <c r="A3633">
        <v>3628</v>
      </c>
      <c r="B3633">
        <v>0</v>
      </c>
      <c r="C3633" t="s">
        <v>275</v>
      </c>
      <c r="D3633">
        <v>0</v>
      </c>
      <c r="E3633">
        <v>36.9829</v>
      </c>
      <c r="F3633">
        <v>53.2843</v>
      </c>
      <c r="G3633">
        <v>187689.01</v>
      </c>
      <c r="H3633" s="1">
        <v>40263</v>
      </c>
      <c r="I3633" s="1">
        <v>40268</v>
      </c>
      <c r="J3633">
        <v>0</v>
      </c>
      <c r="K3633">
        <v>0</v>
      </c>
      <c r="L3633">
        <v>0</v>
      </c>
      <c r="M3633" t="s">
        <v>39</v>
      </c>
      <c r="N3633">
        <v>1</v>
      </c>
    </row>
    <row r="3634" hidden="1" spans="1:14">
      <c r="A3634">
        <v>3735</v>
      </c>
      <c r="B3634">
        <v>0</v>
      </c>
      <c r="C3634" t="s">
        <v>275</v>
      </c>
      <c r="D3634">
        <v>0</v>
      </c>
      <c r="E3634">
        <v>43.425</v>
      </c>
      <c r="F3634">
        <v>45.09</v>
      </c>
      <c r="G3634">
        <v>7522.87</v>
      </c>
      <c r="H3634" s="1">
        <v>40467</v>
      </c>
      <c r="I3634" s="1">
        <v>40470</v>
      </c>
      <c r="J3634" t="s">
        <v>15</v>
      </c>
      <c r="K3634">
        <v>13</v>
      </c>
      <c r="L3634">
        <v>0</v>
      </c>
      <c r="M3634" t="s">
        <v>52</v>
      </c>
      <c r="N3634">
        <v>1.5</v>
      </c>
    </row>
    <row r="3635" hidden="1" spans="1:14">
      <c r="A3635">
        <v>3831</v>
      </c>
      <c r="C3635" t="s">
        <v>275</v>
      </c>
      <c r="E3635">
        <v>134.953</v>
      </c>
      <c r="F3635">
        <v>48.8518</v>
      </c>
      <c r="G3635">
        <v>189593.05</v>
      </c>
      <c r="H3635" s="1">
        <v>40709</v>
      </c>
      <c r="I3635" s="1">
        <v>40723</v>
      </c>
      <c r="J3635" t="s">
        <v>15</v>
      </c>
      <c r="K3635">
        <v>0</v>
      </c>
      <c r="L3635">
        <v>120</v>
      </c>
      <c r="M3635" t="s">
        <v>49</v>
      </c>
      <c r="N3635">
        <v>1</v>
      </c>
    </row>
    <row r="3636" hidden="1" spans="1:14">
      <c r="A3636">
        <v>3916</v>
      </c>
      <c r="B3636" t="s">
        <v>889</v>
      </c>
      <c r="C3636" t="s">
        <v>275</v>
      </c>
      <c r="E3636">
        <v>40.2645</v>
      </c>
      <c r="F3636">
        <v>55.6236</v>
      </c>
      <c r="G3636">
        <v>681012.64</v>
      </c>
      <c r="H3636" s="1">
        <v>41007</v>
      </c>
      <c r="I3636" s="1">
        <v>41025</v>
      </c>
      <c r="J3636" t="s">
        <v>15</v>
      </c>
      <c r="K3636">
        <v>0</v>
      </c>
      <c r="L3636">
        <v>2600</v>
      </c>
      <c r="M3636" t="s">
        <v>39</v>
      </c>
      <c r="N3636">
        <v>1</v>
      </c>
    </row>
    <row r="3637" hidden="1" spans="1:14">
      <c r="A3637">
        <v>3931</v>
      </c>
      <c r="C3637" t="s">
        <v>275</v>
      </c>
      <c r="E3637">
        <v>157.95</v>
      </c>
      <c r="F3637">
        <v>68.0009</v>
      </c>
      <c r="G3637">
        <v>22717.12</v>
      </c>
      <c r="H3637" s="1">
        <v>41049</v>
      </c>
      <c r="I3637" s="1">
        <v>41058</v>
      </c>
      <c r="J3637" t="s">
        <v>15</v>
      </c>
      <c r="K3637">
        <v>0</v>
      </c>
      <c r="L3637">
        <v>1000</v>
      </c>
      <c r="M3637" t="s">
        <v>49</v>
      </c>
      <c r="N3637">
        <v>1.5</v>
      </c>
    </row>
    <row r="3638" hidden="1" spans="1:14">
      <c r="A3638">
        <v>3943</v>
      </c>
      <c r="B3638" t="s">
        <v>890</v>
      </c>
      <c r="C3638" t="s">
        <v>275</v>
      </c>
      <c r="E3638">
        <v>38.5436</v>
      </c>
      <c r="F3638">
        <v>44.8644</v>
      </c>
      <c r="G3638">
        <v>18552.42</v>
      </c>
      <c r="H3638" s="1">
        <v>41096</v>
      </c>
      <c r="I3638" s="1">
        <v>41106</v>
      </c>
      <c r="J3638" t="s">
        <v>15</v>
      </c>
      <c r="K3638">
        <v>171</v>
      </c>
      <c r="L3638">
        <v>24000</v>
      </c>
      <c r="M3638" t="s">
        <v>52</v>
      </c>
      <c r="N3638">
        <v>2</v>
      </c>
    </row>
    <row r="3639" hidden="1" spans="1:14">
      <c r="A3639">
        <v>3996</v>
      </c>
      <c r="C3639" t="s">
        <v>275</v>
      </c>
      <c r="E3639">
        <v>47.5986</v>
      </c>
      <c r="F3639">
        <v>42.3329</v>
      </c>
      <c r="G3639">
        <v>10482.16</v>
      </c>
      <c r="H3639" s="1">
        <v>41191</v>
      </c>
      <c r="I3639" s="1">
        <v>41197</v>
      </c>
      <c r="J3639" t="s">
        <v>15</v>
      </c>
      <c r="K3639">
        <v>7</v>
      </c>
      <c r="L3639">
        <v>1120</v>
      </c>
      <c r="M3639" t="s">
        <v>52</v>
      </c>
      <c r="N3639">
        <v>1.5</v>
      </c>
    </row>
    <row r="3640" hidden="1" spans="1:14">
      <c r="A3640">
        <v>4012</v>
      </c>
      <c r="C3640" t="s">
        <v>275</v>
      </c>
      <c r="E3640">
        <v>39.1034</v>
      </c>
      <c r="F3640">
        <v>44.2559</v>
      </c>
      <c r="G3640">
        <v>5668.01</v>
      </c>
      <c r="H3640" s="1">
        <v>41280</v>
      </c>
      <c r="I3640" s="1">
        <v>41284</v>
      </c>
      <c r="J3640" t="s">
        <v>15</v>
      </c>
      <c r="K3640">
        <v>4</v>
      </c>
      <c r="L3640">
        <v>1500</v>
      </c>
      <c r="M3640" t="s">
        <v>52</v>
      </c>
      <c r="N3640">
        <v>1.5</v>
      </c>
    </row>
    <row r="3641" hidden="1" spans="1:14">
      <c r="A3641">
        <v>4031</v>
      </c>
      <c r="C3641" t="s">
        <v>275</v>
      </c>
      <c r="E3641">
        <v>39.2468</v>
      </c>
      <c r="F3641">
        <v>44.3289</v>
      </c>
      <c r="G3641">
        <v>2432.33</v>
      </c>
      <c r="H3641" s="1">
        <v>41325</v>
      </c>
      <c r="I3641" s="1">
        <v>41337</v>
      </c>
      <c r="J3641" t="s">
        <v>15</v>
      </c>
      <c r="K3641">
        <v>4</v>
      </c>
      <c r="L3641">
        <v>1500</v>
      </c>
      <c r="M3641" t="s">
        <v>52</v>
      </c>
      <c r="N3641">
        <v>1</v>
      </c>
    </row>
    <row r="3642" hidden="1" spans="1:14">
      <c r="A3642">
        <v>4053</v>
      </c>
      <c r="C3642" t="s">
        <v>275</v>
      </c>
      <c r="E3642">
        <v>133.329</v>
      </c>
      <c r="F3642">
        <v>68.1591</v>
      </c>
      <c r="G3642">
        <v>630162.34</v>
      </c>
      <c r="H3642" s="1">
        <v>41400</v>
      </c>
      <c r="I3642" s="1">
        <v>41410</v>
      </c>
      <c r="J3642" t="s">
        <v>15</v>
      </c>
      <c r="K3642">
        <v>0</v>
      </c>
      <c r="L3642">
        <v>390</v>
      </c>
      <c r="M3642" t="s">
        <v>891</v>
      </c>
      <c r="N3642">
        <v>1</v>
      </c>
    </row>
    <row r="3643" hidden="1" spans="1:14">
      <c r="A3643">
        <v>4079</v>
      </c>
      <c r="C3643" t="s">
        <v>275</v>
      </c>
      <c r="D3643" t="s">
        <v>273</v>
      </c>
      <c r="E3643">
        <v>128.424</v>
      </c>
      <c r="F3643">
        <v>50.0043</v>
      </c>
      <c r="G3643">
        <v>102479.27</v>
      </c>
      <c r="H3643" s="1">
        <v>41487</v>
      </c>
      <c r="I3643" s="1">
        <v>41493</v>
      </c>
      <c r="J3643" t="s">
        <v>15</v>
      </c>
      <c r="K3643">
        <v>0</v>
      </c>
      <c r="L3643">
        <v>1500</v>
      </c>
      <c r="M3643" t="s">
        <v>49</v>
      </c>
      <c r="N3643">
        <v>2</v>
      </c>
    </row>
    <row r="3644" hidden="1" spans="1:14">
      <c r="A3644">
        <v>4149</v>
      </c>
      <c r="C3644" t="s">
        <v>275</v>
      </c>
      <c r="E3644">
        <v>94.3696</v>
      </c>
      <c r="F3644">
        <v>55.0332</v>
      </c>
      <c r="G3644">
        <v>1829701.35</v>
      </c>
      <c r="H3644" s="1">
        <v>41794</v>
      </c>
      <c r="I3644" s="1">
        <v>41800</v>
      </c>
      <c r="J3644" t="s">
        <v>15</v>
      </c>
      <c r="K3644">
        <v>70</v>
      </c>
      <c r="L3644">
        <v>3000</v>
      </c>
      <c r="M3644" t="s">
        <v>52</v>
      </c>
      <c r="N3644">
        <v>1.5</v>
      </c>
    </row>
    <row r="3645" hidden="1" spans="1:14">
      <c r="A3645">
        <v>4166</v>
      </c>
      <c r="C3645" t="s">
        <v>275</v>
      </c>
      <c r="E3645">
        <v>156.129</v>
      </c>
      <c r="F3645">
        <v>62.7394</v>
      </c>
      <c r="G3645">
        <v>224475.55</v>
      </c>
      <c r="H3645" s="1">
        <v>41842</v>
      </c>
      <c r="I3645" s="1">
        <v>41849</v>
      </c>
      <c r="J3645" t="s">
        <v>15</v>
      </c>
      <c r="K3645">
        <v>0</v>
      </c>
      <c r="L3645">
        <v>0</v>
      </c>
      <c r="M3645" t="s">
        <v>49</v>
      </c>
      <c r="N3645">
        <v>2</v>
      </c>
    </row>
    <row r="3646" hidden="1" spans="1:14">
      <c r="A3646">
        <v>4258</v>
      </c>
      <c r="C3646" t="s">
        <v>275</v>
      </c>
      <c r="E3646">
        <v>81.5277</v>
      </c>
      <c r="F3646">
        <v>58.1901</v>
      </c>
      <c r="G3646">
        <v>242622.13</v>
      </c>
      <c r="H3646" s="1">
        <v>42139</v>
      </c>
      <c r="I3646" s="1">
        <v>42157</v>
      </c>
      <c r="J3646" t="s">
        <v>15</v>
      </c>
      <c r="K3646">
        <v>0</v>
      </c>
      <c r="L3646">
        <v>1200</v>
      </c>
      <c r="M3646" t="s">
        <v>49</v>
      </c>
      <c r="N3646">
        <v>1</v>
      </c>
    </row>
    <row r="3647" hidden="1" spans="1:14">
      <c r="A3647">
        <v>4266</v>
      </c>
      <c r="C3647" t="s">
        <v>275</v>
      </c>
      <c r="E3647">
        <v>39.3401</v>
      </c>
      <c r="F3647">
        <v>44.1285</v>
      </c>
      <c r="G3647">
        <v>5567.64</v>
      </c>
      <c r="H3647" s="1">
        <v>42180</v>
      </c>
      <c r="I3647" s="1">
        <v>42184</v>
      </c>
      <c r="J3647" t="s">
        <v>15</v>
      </c>
      <c r="K3647">
        <v>1</v>
      </c>
      <c r="L3647">
        <v>0</v>
      </c>
      <c r="M3647" t="s">
        <v>52</v>
      </c>
      <c r="N3647">
        <v>1.5</v>
      </c>
    </row>
    <row r="3648" hidden="1" spans="1:14">
      <c r="A3648">
        <v>4349</v>
      </c>
      <c r="C3648" t="s">
        <v>275</v>
      </c>
      <c r="E3648">
        <v>59.8029</v>
      </c>
      <c r="F3648">
        <v>61.9672</v>
      </c>
      <c r="G3648">
        <v>1834048.3</v>
      </c>
      <c r="H3648" s="1">
        <v>42475</v>
      </c>
      <c r="I3648" s="1">
        <v>42482</v>
      </c>
      <c r="J3648" t="s">
        <v>15</v>
      </c>
      <c r="K3648">
        <v>0</v>
      </c>
      <c r="L3648">
        <v>3200</v>
      </c>
      <c r="M3648" t="s">
        <v>892</v>
      </c>
      <c r="N3648">
        <v>1.5</v>
      </c>
    </row>
    <row r="3649" hidden="1" spans="1:14">
      <c r="A3649">
        <v>4358</v>
      </c>
      <c r="C3649" t="s">
        <v>275</v>
      </c>
      <c r="E3649">
        <v>47.0353</v>
      </c>
      <c r="F3649">
        <v>51.3145</v>
      </c>
      <c r="G3649">
        <v>80319.4</v>
      </c>
      <c r="H3649" s="1">
        <v>42475</v>
      </c>
      <c r="I3649" s="1">
        <v>42520</v>
      </c>
      <c r="J3649" t="s">
        <v>893</v>
      </c>
      <c r="K3649">
        <v>0</v>
      </c>
      <c r="L3649">
        <v>0</v>
      </c>
      <c r="M3649" t="s">
        <v>894</v>
      </c>
      <c r="N3649">
        <v>1</v>
      </c>
    </row>
    <row r="3650" hidden="1" spans="1:14">
      <c r="A3650">
        <v>4502</v>
      </c>
      <c r="C3650" t="s">
        <v>275</v>
      </c>
      <c r="E3650">
        <v>136.879</v>
      </c>
      <c r="F3650">
        <v>47.8978</v>
      </c>
      <c r="G3650">
        <v>228750.36</v>
      </c>
      <c r="H3650" s="1">
        <v>42954</v>
      </c>
      <c r="I3650" s="1">
        <v>42957</v>
      </c>
      <c r="J3650" t="s">
        <v>15</v>
      </c>
      <c r="K3650">
        <v>0</v>
      </c>
      <c r="L3650">
        <v>3600</v>
      </c>
      <c r="M3650" t="s">
        <v>49</v>
      </c>
      <c r="N3650">
        <v>1.5</v>
      </c>
    </row>
    <row r="3651" hidden="1" spans="1:14">
      <c r="A3651">
        <v>4596</v>
      </c>
      <c r="C3651" t="s">
        <v>275</v>
      </c>
      <c r="E3651">
        <v>84.5959</v>
      </c>
      <c r="F3651">
        <v>52.8826</v>
      </c>
      <c r="G3651">
        <v>172029.58</v>
      </c>
      <c r="H3651" s="1">
        <v>43185</v>
      </c>
      <c r="I3651" s="1">
        <v>43190</v>
      </c>
      <c r="J3651" t="s">
        <v>56</v>
      </c>
      <c r="K3651">
        <v>0</v>
      </c>
      <c r="L3651">
        <v>1029</v>
      </c>
      <c r="M3651" t="s">
        <v>67</v>
      </c>
      <c r="N3651">
        <v>1</v>
      </c>
    </row>
    <row r="3652" hidden="1" spans="1:14">
      <c r="A3652">
        <v>4615</v>
      </c>
      <c r="C3652" t="s">
        <v>275</v>
      </c>
      <c r="E3652">
        <v>45.7239</v>
      </c>
      <c r="F3652">
        <v>44.1504</v>
      </c>
      <c r="G3652">
        <v>24823.02</v>
      </c>
      <c r="H3652" s="1">
        <v>43240</v>
      </c>
      <c r="I3652" s="1">
        <v>43242</v>
      </c>
      <c r="J3652" t="s">
        <v>15</v>
      </c>
      <c r="K3652">
        <v>0</v>
      </c>
      <c r="L3652">
        <v>0</v>
      </c>
      <c r="M3652" t="s">
        <v>52</v>
      </c>
      <c r="N3652">
        <v>1.5</v>
      </c>
    </row>
    <row r="3653" hidden="1" spans="1:14">
      <c r="A3653">
        <v>4697</v>
      </c>
      <c r="C3653" t="s">
        <v>275</v>
      </c>
      <c r="E3653">
        <v>39.1174</v>
      </c>
      <c r="F3653">
        <v>45.021</v>
      </c>
      <c r="G3653">
        <v>65879.5</v>
      </c>
      <c r="H3653" s="1">
        <v>43396</v>
      </c>
      <c r="I3653" s="1">
        <v>43400</v>
      </c>
      <c r="J3653" t="s">
        <v>56</v>
      </c>
      <c r="K3653">
        <v>6</v>
      </c>
      <c r="L3653">
        <v>750</v>
      </c>
      <c r="M3653" t="s">
        <v>49</v>
      </c>
      <c r="N3653">
        <v>1.5</v>
      </c>
    </row>
    <row r="3654" hidden="1" spans="1:14">
      <c r="A3654">
        <v>4777</v>
      </c>
      <c r="C3654" t="s">
        <v>275</v>
      </c>
      <c r="E3654">
        <v>102.485</v>
      </c>
      <c r="F3654">
        <v>58.9111</v>
      </c>
      <c r="G3654">
        <v>413323.05</v>
      </c>
      <c r="H3654" s="1">
        <v>43641</v>
      </c>
      <c r="I3654" s="1">
        <v>43656</v>
      </c>
      <c r="J3654" t="s">
        <v>56</v>
      </c>
      <c r="K3654">
        <v>18</v>
      </c>
      <c r="L3654">
        <v>3000</v>
      </c>
      <c r="M3654" t="s">
        <v>49</v>
      </c>
      <c r="N3654">
        <v>1.5</v>
      </c>
    </row>
    <row r="3655" hidden="1" spans="1:14">
      <c r="A3655">
        <v>4793</v>
      </c>
      <c r="C3655" t="s">
        <v>275</v>
      </c>
      <c r="E3655">
        <v>134.553</v>
      </c>
      <c r="F3655">
        <v>44.7995</v>
      </c>
      <c r="G3655">
        <v>86510.96</v>
      </c>
      <c r="H3655" s="1">
        <v>43702</v>
      </c>
      <c r="I3655" s="1">
        <v>43707</v>
      </c>
      <c r="J3655" t="s">
        <v>56</v>
      </c>
      <c r="K3655">
        <v>0</v>
      </c>
      <c r="L3655">
        <v>170</v>
      </c>
      <c r="M3655" t="s">
        <v>49</v>
      </c>
      <c r="N3655">
        <v>1</v>
      </c>
    </row>
    <row r="3656" hidden="1" spans="1:14">
      <c r="A3656">
        <v>5069</v>
      </c>
      <c r="C3656" t="s">
        <v>275</v>
      </c>
      <c r="E3656">
        <v>135.716</v>
      </c>
      <c r="F3656">
        <v>48.9893</v>
      </c>
      <c r="G3656">
        <v>47981.88</v>
      </c>
      <c r="H3656" s="1">
        <v>44326</v>
      </c>
      <c r="I3656" s="1">
        <v>44330</v>
      </c>
      <c r="J3656" t="s">
        <v>56</v>
      </c>
      <c r="K3656">
        <v>0</v>
      </c>
      <c r="L3656">
        <v>116</v>
      </c>
      <c r="M3656" t="s">
        <v>895</v>
      </c>
      <c r="N3656">
        <v>1.5</v>
      </c>
    </row>
    <row r="3657" hidden="1" spans="1:14">
      <c r="A3657">
        <v>5071</v>
      </c>
      <c r="C3657" t="s">
        <v>275</v>
      </c>
      <c r="E3657">
        <v>85.4651</v>
      </c>
      <c r="F3657">
        <v>56.1379</v>
      </c>
      <c r="G3657">
        <v>487697.74</v>
      </c>
      <c r="H3657" s="1">
        <v>44326</v>
      </c>
      <c r="I3657" s="1">
        <v>44330</v>
      </c>
      <c r="J3657" t="s">
        <v>74</v>
      </c>
      <c r="K3657">
        <v>0</v>
      </c>
      <c r="L3657">
        <v>0</v>
      </c>
      <c r="M3657" t="s">
        <v>896</v>
      </c>
      <c r="N3657">
        <v>1.5</v>
      </c>
    </row>
    <row r="3658" hidden="1" spans="1:14">
      <c r="A3658">
        <v>5094</v>
      </c>
      <c r="C3658" t="s">
        <v>275</v>
      </c>
      <c r="E3658">
        <v>37.4225</v>
      </c>
      <c r="F3658">
        <v>44.9971</v>
      </c>
      <c r="G3658">
        <v>4231.93</v>
      </c>
      <c r="H3658" s="1">
        <v>44381</v>
      </c>
      <c r="I3658" s="1">
        <v>44383</v>
      </c>
      <c r="J3658" t="s">
        <v>56</v>
      </c>
      <c r="K3658">
        <v>0</v>
      </c>
      <c r="L3658">
        <v>2400</v>
      </c>
      <c r="M3658" t="s">
        <v>52</v>
      </c>
      <c r="N3658">
        <v>1.5</v>
      </c>
    </row>
    <row r="3659" hidden="1" spans="1:14">
      <c r="A3659">
        <v>750</v>
      </c>
      <c r="B3659">
        <v>0</v>
      </c>
      <c r="C3659" t="s">
        <v>897</v>
      </c>
      <c r="D3659">
        <v>0</v>
      </c>
      <c r="E3659">
        <v>59.9925</v>
      </c>
      <c r="F3659">
        <v>60.2954</v>
      </c>
      <c r="G3659">
        <v>23269.14</v>
      </c>
      <c r="H3659" s="1">
        <v>34133</v>
      </c>
      <c r="I3659" s="1">
        <v>34137</v>
      </c>
      <c r="J3659" t="s">
        <v>15</v>
      </c>
      <c r="K3659">
        <v>15</v>
      </c>
      <c r="L3659">
        <v>3000</v>
      </c>
      <c r="M3659" t="s">
        <v>16</v>
      </c>
      <c r="N3659">
        <v>1</v>
      </c>
    </row>
    <row r="3660" hidden="1" spans="1:14">
      <c r="A3660">
        <v>753</v>
      </c>
      <c r="B3660">
        <v>0</v>
      </c>
      <c r="C3660" t="s">
        <v>897</v>
      </c>
      <c r="D3660">
        <v>0</v>
      </c>
      <c r="E3660">
        <v>83.7111</v>
      </c>
      <c r="F3660">
        <v>53.2133</v>
      </c>
      <c r="G3660">
        <v>3547.11</v>
      </c>
      <c r="H3660" s="1">
        <v>34135</v>
      </c>
      <c r="I3660" s="1">
        <v>34150</v>
      </c>
      <c r="J3660" t="s">
        <v>15</v>
      </c>
      <c r="K3660">
        <v>0</v>
      </c>
      <c r="L3660">
        <v>0</v>
      </c>
      <c r="M3660" t="s">
        <v>39</v>
      </c>
      <c r="N3660">
        <v>1</v>
      </c>
    </row>
    <row r="3661" hidden="1" spans="1:14">
      <c r="A3661">
        <v>1571</v>
      </c>
      <c r="B3661">
        <v>0</v>
      </c>
      <c r="C3661" t="s">
        <v>897</v>
      </c>
      <c r="D3661">
        <v>0</v>
      </c>
      <c r="E3661">
        <v>32.7609</v>
      </c>
      <c r="F3661">
        <v>60.2789</v>
      </c>
      <c r="G3661">
        <v>27470.57</v>
      </c>
      <c r="H3661" s="1">
        <v>36493</v>
      </c>
      <c r="I3661" s="1">
        <v>36496</v>
      </c>
      <c r="J3661" t="s">
        <v>15</v>
      </c>
      <c r="K3661">
        <v>2</v>
      </c>
      <c r="L3661">
        <v>0</v>
      </c>
      <c r="M3661" t="s">
        <v>16</v>
      </c>
      <c r="N3661">
        <v>1</v>
      </c>
    </row>
    <row r="3662" hidden="1" spans="1:14">
      <c r="A3662">
        <v>1725</v>
      </c>
      <c r="B3662">
        <v>0</v>
      </c>
      <c r="C3662" t="s">
        <v>897</v>
      </c>
      <c r="D3662">
        <v>0</v>
      </c>
      <c r="E3662">
        <v>106.619</v>
      </c>
      <c r="F3662">
        <v>58.4897</v>
      </c>
      <c r="G3662">
        <v>2856609.94</v>
      </c>
      <c r="H3662" s="1">
        <v>37023</v>
      </c>
      <c r="I3662" s="1">
        <v>37050</v>
      </c>
      <c r="J3662" t="s">
        <v>15</v>
      </c>
      <c r="K3662">
        <v>7</v>
      </c>
      <c r="L3662">
        <v>70000</v>
      </c>
      <c r="M3662" t="s">
        <v>39</v>
      </c>
      <c r="N3662">
        <v>2</v>
      </c>
    </row>
    <row r="3663" hidden="1" spans="1:14">
      <c r="A3663">
        <v>178</v>
      </c>
      <c r="B3663">
        <v>0</v>
      </c>
      <c r="C3663" t="s">
        <v>234</v>
      </c>
      <c r="E3663">
        <v>30.4125</v>
      </c>
      <c r="F3663">
        <v>-0.829098</v>
      </c>
      <c r="G3663">
        <v>40351.4</v>
      </c>
      <c r="H3663" s="1">
        <v>32269</v>
      </c>
      <c r="I3663" s="1">
        <v>32278</v>
      </c>
      <c r="J3663" t="s">
        <v>15</v>
      </c>
      <c r="K3663">
        <v>52</v>
      </c>
      <c r="L3663">
        <v>23628</v>
      </c>
      <c r="M3663" t="s">
        <v>64</v>
      </c>
      <c r="N3663">
        <v>1</v>
      </c>
    </row>
    <row r="3664" hidden="1" spans="1:14">
      <c r="A3664">
        <v>2374</v>
      </c>
      <c r="B3664">
        <v>0</v>
      </c>
      <c r="C3664" t="s">
        <v>234</v>
      </c>
      <c r="D3664">
        <v>0</v>
      </c>
      <c r="E3664">
        <v>30.2562</v>
      </c>
      <c r="F3664">
        <v>-1.44887</v>
      </c>
      <c r="G3664">
        <v>3857.91</v>
      </c>
      <c r="H3664" s="1">
        <v>37924</v>
      </c>
      <c r="I3664" s="1">
        <v>37925</v>
      </c>
      <c r="J3664" t="s">
        <v>15</v>
      </c>
      <c r="K3664">
        <v>0</v>
      </c>
      <c r="L3664">
        <v>7000</v>
      </c>
      <c r="M3664" t="s">
        <v>16</v>
      </c>
      <c r="N3664">
        <v>1</v>
      </c>
    </row>
    <row r="3665" hidden="1" spans="1:14">
      <c r="A3665">
        <v>3001</v>
      </c>
      <c r="B3665">
        <v>0</v>
      </c>
      <c r="C3665" t="s">
        <v>234</v>
      </c>
      <c r="D3665">
        <v>0</v>
      </c>
      <c r="E3665">
        <v>29.9443</v>
      </c>
      <c r="F3665">
        <v>-1.79098</v>
      </c>
      <c r="G3665">
        <v>840.315</v>
      </c>
      <c r="H3665" s="1">
        <v>39049</v>
      </c>
      <c r="I3665" s="1">
        <v>39066</v>
      </c>
      <c r="J3665" t="s">
        <v>15</v>
      </c>
      <c r="K3665">
        <v>24</v>
      </c>
      <c r="L3665">
        <v>2000</v>
      </c>
      <c r="M3665" t="s">
        <v>16</v>
      </c>
      <c r="N3665">
        <v>1</v>
      </c>
    </row>
    <row r="3666" hidden="1" spans="1:14">
      <c r="A3666">
        <v>3028</v>
      </c>
      <c r="B3666">
        <v>0</v>
      </c>
      <c r="C3666" t="s">
        <v>234</v>
      </c>
      <c r="D3666">
        <v>0</v>
      </c>
      <c r="E3666">
        <v>29.4784</v>
      </c>
      <c r="F3666">
        <v>-1.73364</v>
      </c>
      <c r="G3666">
        <v>1342.82</v>
      </c>
      <c r="H3666" s="1">
        <v>39115</v>
      </c>
      <c r="I3666" s="1">
        <v>39129</v>
      </c>
      <c r="J3666" t="s">
        <v>15</v>
      </c>
      <c r="K3666">
        <v>10</v>
      </c>
      <c r="L3666">
        <v>500</v>
      </c>
      <c r="M3666" t="s">
        <v>16</v>
      </c>
      <c r="N3666">
        <v>1</v>
      </c>
    </row>
    <row r="3667" hidden="1" spans="1:14">
      <c r="A3667">
        <v>3189</v>
      </c>
      <c r="B3667" t="s">
        <v>898</v>
      </c>
      <c r="C3667" t="s">
        <v>234</v>
      </c>
      <c r="D3667">
        <v>0</v>
      </c>
      <c r="E3667">
        <v>29.4215</v>
      </c>
      <c r="F3667">
        <v>-1.67758</v>
      </c>
      <c r="G3667">
        <v>1163.19</v>
      </c>
      <c r="H3667" s="1">
        <v>39337</v>
      </c>
      <c r="I3667" s="1">
        <v>39345</v>
      </c>
      <c r="J3667" t="s">
        <v>15</v>
      </c>
      <c r="K3667">
        <v>20</v>
      </c>
      <c r="L3667">
        <v>4000</v>
      </c>
      <c r="M3667" t="s">
        <v>16</v>
      </c>
      <c r="N3667">
        <v>1</v>
      </c>
    </row>
    <row r="3668" hidden="1" spans="1:14">
      <c r="A3668">
        <v>3392</v>
      </c>
      <c r="B3668">
        <v>0</v>
      </c>
      <c r="C3668" t="s">
        <v>234</v>
      </c>
      <c r="D3668">
        <v>0</v>
      </c>
      <c r="E3668">
        <v>29.8894</v>
      </c>
      <c r="F3668">
        <v>-1.71681</v>
      </c>
      <c r="G3668">
        <v>11139.97</v>
      </c>
      <c r="H3668" s="1">
        <v>39722</v>
      </c>
      <c r="I3668" s="1">
        <v>39727</v>
      </c>
      <c r="J3668" t="s">
        <v>15</v>
      </c>
      <c r="K3668">
        <v>0</v>
      </c>
      <c r="L3668">
        <v>2000</v>
      </c>
      <c r="M3668" t="s">
        <v>49</v>
      </c>
      <c r="N3668">
        <v>1</v>
      </c>
    </row>
    <row r="3669" hidden="1" spans="1:14">
      <c r="A3669">
        <v>3631</v>
      </c>
      <c r="B3669">
        <v>0</v>
      </c>
      <c r="C3669" t="s">
        <v>234</v>
      </c>
      <c r="D3669">
        <v>0</v>
      </c>
      <c r="E3669">
        <v>29.6861</v>
      </c>
      <c r="F3669">
        <v>-1.74307</v>
      </c>
      <c r="G3669">
        <v>8862.8</v>
      </c>
      <c r="H3669" s="1">
        <v>40263</v>
      </c>
      <c r="I3669" s="1">
        <v>40268</v>
      </c>
      <c r="J3669">
        <v>0</v>
      </c>
      <c r="K3669">
        <v>4</v>
      </c>
      <c r="L3669">
        <v>0</v>
      </c>
      <c r="M3669" t="s">
        <v>49</v>
      </c>
      <c r="N3669">
        <v>1</v>
      </c>
    </row>
    <row r="3670" hidden="1" spans="1:14">
      <c r="A3670">
        <v>3918</v>
      </c>
      <c r="C3670" t="s">
        <v>234</v>
      </c>
      <c r="E3670">
        <v>29.3596</v>
      </c>
      <c r="F3670">
        <v>-1.40095</v>
      </c>
      <c r="G3670">
        <v>43617.54</v>
      </c>
      <c r="H3670" s="1">
        <v>41008</v>
      </c>
      <c r="I3670" s="1">
        <v>41017</v>
      </c>
      <c r="J3670" t="s">
        <v>15</v>
      </c>
      <c r="K3670">
        <v>2</v>
      </c>
      <c r="L3670">
        <v>300</v>
      </c>
      <c r="M3670" t="s">
        <v>49</v>
      </c>
      <c r="N3670">
        <v>1</v>
      </c>
    </row>
    <row r="3671" hidden="1" spans="1:14">
      <c r="A3671">
        <v>4353</v>
      </c>
      <c r="C3671" t="s">
        <v>234</v>
      </c>
      <c r="E3671">
        <v>30.0118</v>
      </c>
      <c r="F3671">
        <v>-2.0565</v>
      </c>
      <c r="G3671">
        <v>18269.24</v>
      </c>
      <c r="H3671" s="1">
        <v>42496</v>
      </c>
      <c r="I3671" s="1">
        <v>42501</v>
      </c>
      <c r="J3671" t="s">
        <v>899</v>
      </c>
      <c r="K3671">
        <v>49</v>
      </c>
      <c r="L3671">
        <v>2000</v>
      </c>
      <c r="M3671" t="s">
        <v>49</v>
      </c>
      <c r="N3671">
        <v>1.5</v>
      </c>
    </row>
    <row r="3672" hidden="1" spans="1:14">
      <c r="A3672">
        <v>4603</v>
      </c>
      <c r="C3672" t="s">
        <v>234</v>
      </c>
      <c r="E3672">
        <v>30.0118</v>
      </c>
      <c r="F3672">
        <v>-1.78399</v>
      </c>
      <c r="G3672">
        <v>14768.05</v>
      </c>
      <c r="H3672" s="1">
        <v>43213</v>
      </c>
      <c r="I3672" s="1">
        <v>43215</v>
      </c>
      <c r="J3672" t="s">
        <v>56</v>
      </c>
      <c r="K3672">
        <v>18</v>
      </c>
      <c r="L3672">
        <v>360</v>
      </c>
      <c r="M3672" t="s">
        <v>52</v>
      </c>
      <c r="N3672">
        <v>1.5</v>
      </c>
    </row>
    <row r="3673" hidden="1" spans="1:14">
      <c r="A3673">
        <v>4844</v>
      </c>
      <c r="C3673" t="s">
        <v>234</v>
      </c>
      <c r="E3673">
        <v>29.9252</v>
      </c>
      <c r="F3673">
        <v>-2.0069</v>
      </c>
      <c r="G3673">
        <v>17894.83</v>
      </c>
      <c r="H3673" s="1">
        <v>43823</v>
      </c>
      <c r="I3673" s="1">
        <v>43825</v>
      </c>
      <c r="J3673" t="s">
        <v>56</v>
      </c>
      <c r="K3673">
        <v>12</v>
      </c>
      <c r="L3673">
        <v>550</v>
      </c>
      <c r="M3673" t="s">
        <v>52</v>
      </c>
      <c r="N3673">
        <v>2</v>
      </c>
    </row>
    <row r="3674" hidden="1" spans="1:14">
      <c r="A3674">
        <v>4850</v>
      </c>
      <c r="C3674" t="s">
        <v>234</v>
      </c>
      <c r="E3674">
        <v>29.8881</v>
      </c>
      <c r="F3674">
        <v>-2.08125</v>
      </c>
      <c r="G3674">
        <v>21120.51</v>
      </c>
      <c r="H3674" s="1">
        <v>43801</v>
      </c>
      <c r="I3674" s="1">
        <v>43805</v>
      </c>
      <c r="J3674" t="s">
        <v>56</v>
      </c>
      <c r="K3674">
        <v>0</v>
      </c>
      <c r="L3674">
        <v>36</v>
      </c>
      <c r="M3674" t="s">
        <v>52</v>
      </c>
      <c r="N3674">
        <v>1</v>
      </c>
    </row>
    <row r="3675" hidden="1" spans="1:14">
      <c r="A3675">
        <v>4885</v>
      </c>
      <c r="C3675" t="s">
        <v>234</v>
      </c>
      <c r="E3675">
        <v>29.8633</v>
      </c>
      <c r="F3675">
        <v>-1.99445</v>
      </c>
      <c r="G3675">
        <v>15283.09</v>
      </c>
      <c r="H3675" s="1">
        <v>43892</v>
      </c>
      <c r="I3675" s="1">
        <v>43895</v>
      </c>
      <c r="J3675" t="s">
        <v>58</v>
      </c>
      <c r="K3675">
        <v>10</v>
      </c>
      <c r="L3675">
        <v>0</v>
      </c>
      <c r="M3675" t="s">
        <v>49</v>
      </c>
      <c r="N3675">
        <v>1.5</v>
      </c>
    </row>
    <row r="3676" hidden="1" spans="1:14">
      <c r="A3676">
        <v>5055</v>
      </c>
      <c r="C3676" t="s">
        <v>234</v>
      </c>
      <c r="E3676">
        <v>29.8881</v>
      </c>
      <c r="F3676">
        <v>-1.58531</v>
      </c>
      <c r="G3676">
        <v>6066.26</v>
      </c>
      <c r="H3676" s="1">
        <v>44313</v>
      </c>
      <c r="I3676" s="1">
        <v>44314</v>
      </c>
      <c r="J3676" t="s">
        <v>56</v>
      </c>
      <c r="K3676">
        <v>1</v>
      </c>
      <c r="L3676">
        <v>15</v>
      </c>
      <c r="M3676" t="s">
        <v>52</v>
      </c>
      <c r="N3676">
        <v>1</v>
      </c>
    </row>
    <row r="3677" hidden="1" spans="1:14">
      <c r="A3677">
        <v>1801</v>
      </c>
      <c r="B3677">
        <v>0</v>
      </c>
      <c r="C3677" t="s">
        <v>900</v>
      </c>
      <c r="D3677">
        <v>0</v>
      </c>
      <c r="E3677">
        <v>29.6461</v>
      </c>
      <c r="F3677">
        <v>-2.59236</v>
      </c>
      <c r="G3677">
        <v>1769.07</v>
      </c>
      <c r="H3677" s="1">
        <v>37156</v>
      </c>
      <c r="I3677" s="1">
        <v>37156</v>
      </c>
      <c r="J3677" t="s">
        <v>15</v>
      </c>
      <c r="K3677">
        <v>10</v>
      </c>
      <c r="L3677">
        <v>0</v>
      </c>
      <c r="M3677" t="s">
        <v>18</v>
      </c>
      <c r="N3677">
        <v>1</v>
      </c>
    </row>
    <row r="3678" hidden="1" spans="1:14">
      <c r="A3678">
        <v>1819</v>
      </c>
      <c r="B3678">
        <v>0</v>
      </c>
      <c r="C3678" t="s">
        <v>900</v>
      </c>
      <c r="D3678">
        <v>0</v>
      </c>
      <c r="E3678">
        <v>29.3907</v>
      </c>
      <c r="F3678">
        <v>-1.73326</v>
      </c>
      <c r="G3678">
        <v>1196.74</v>
      </c>
      <c r="H3678" s="1">
        <v>37194</v>
      </c>
      <c r="I3678" s="1">
        <v>37197</v>
      </c>
      <c r="J3678" t="s">
        <v>15</v>
      </c>
      <c r="K3678">
        <v>2</v>
      </c>
      <c r="L3678">
        <v>3000</v>
      </c>
      <c r="M3678" t="s">
        <v>16</v>
      </c>
      <c r="N3678">
        <v>1</v>
      </c>
    </row>
    <row r="3679" hidden="1" spans="1:14">
      <c r="A3679">
        <v>4114</v>
      </c>
      <c r="B3679" t="s">
        <v>901</v>
      </c>
      <c r="C3679" t="s">
        <v>902</v>
      </c>
      <c r="D3679" t="s">
        <v>903</v>
      </c>
      <c r="E3679">
        <v>-60.9886</v>
      </c>
      <c r="F3679">
        <v>13.9188</v>
      </c>
      <c r="G3679">
        <v>830.232</v>
      </c>
      <c r="H3679" s="1">
        <v>41634</v>
      </c>
      <c r="I3679" s="1">
        <v>41643</v>
      </c>
      <c r="J3679" t="s">
        <v>15</v>
      </c>
      <c r="K3679">
        <v>11</v>
      </c>
      <c r="L3679">
        <v>0</v>
      </c>
      <c r="M3679" t="s">
        <v>49</v>
      </c>
      <c r="N3679">
        <v>1</v>
      </c>
    </row>
    <row r="3680" hidden="1" spans="1:14">
      <c r="A3680">
        <v>1029</v>
      </c>
      <c r="B3680">
        <v>0</v>
      </c>
      <c r="C3680" t="s">
        <v>772</v>
      </c>
      <c r="D3680">
        <v>0</v>
      </c>
      <c r="E3680">
        <v>40.1454</v>
      </c>
      <c r="F3680">
        <v>21.1239</v>
      </c>
      <c r="G3680">
        <v>34495.3</v>
      </c>
      <c r="H3680" s="1">
        <v>35007</v>
      </c>
      <c r="I3680" s="1">
        <v>35008</v>
      </c>
      <c r="J3680" t="s">
        <v>15</v>
      </c>
      <c r="K3680">
        <v>5</v>
      </c>
      <c r="L3680">
        <v>0</v>
      </c>
      <c r="M3680" t="s">
        <v>16</v>
      </c>
      <c r="N3680">
        <v>2</v>
      </c>
    </row>
    <row r="3681" hidden="1" spans="1:14">
      <c r="A3681">
        <v>1203</v>
      </c>
      <c r="B3681">
        <v>0</v>
      </c>
      <c r="C3681" t="s">
        <v>772</v>
      </c>
      <c r="D3681">
        <v>0</v>
      </c>
      <c r="E3681">
        <v>39.3523</v>
      </c>
      <c r="F3681">
        <v>22.6243</v>
      </c>
      <c r="G3681">
        <v>131573.32</v>
      </c>
      <c r="H3681" s="1">
        <v>35437</v>
      </c>
      <c r="I3681" s="1">
        <v>35438</v>
      </c>
      <c r="J3681" t="s">
        <v>15</v>
      </c>
      <c r="K3681">
        <v>10</v>
      </c>
      <c r="L3681">
        <v>0</v>
      </c>
      <c r="M3681" t="s">
        <v>16</v>
      </c>
      <c r="N3681">
        <v>1</v>
      </c>
    </row>
    <row r="3682" hidden="1" spans="1:14">
      <c r="A3682">
        <v>1213</v>
      </c>
      <c r="B3682">
        <v>0</v>
      </c>
      <c r="C3682" t="s">
        <v>772</v>
      </c>
      <c r="D3682">
        <v>0</v>
      </c>
      <c r="E3682">
        <v>43.4738</v>
      </c>
      <c r="F3682">
        <v>18.9038</v>
      </c>
      <c r="G3682">
        <v>98253.71</v>
      </c>
      <c r="H3682" s="1">
        <v>35514</v>
      </c>
      <c r="I3682" s="1">
        <v>35517</v>
      </c>
      <c r="J3682" t="s">
        <v>15</v>
      </c>
      <c r="K3682">
        <v>16</v>
      </c>
      <c r="L3682">
        <v>0</v>
      </c>
      <c r="M3682" t="s">
        <v>16</v>
      </c>
      <c r="N3682">
        <v>1</v>
      </c>
    </row>
    <row r="3683" hidden="1" spans="1:14">
      <c r="A3683">
        <v>1666</v>
      </c>
      <c r="B3683">
        <v>0</v>
      </c>
      <c r="C3683" t="s">
        <v>772</v>
      </c>
      <c r="D3683">
        <v>0</v>
      </c>
      <c r="E3683">
        <v>39.7227</v>
      </c>
      <c r="F3683">
        <v>21.4998</v>
      </c>
      <c r="G3683">
        <v>10793.76</v>
      </c>
      <c r="H3683" s="1">
        <v>36845</v>
      </c>
      <c r="I3683" s="1">
        <v>36848</v>
      </c>
      <c r="J3683" t="s">
        <v>15</v>
      </c>
      <c r="K3683">
        <v>7</v>
      </c>
      <c r="L3683">
        <v>300</v>
      </c>
      <c r="M3683" t="s">
        <v>16</v>
      </c>
      <c r="N3683">
        <v>1</v>
      </c>
    </row>
    <row r="3684" hidden="1" spans="1:14">
      <c r="A3684">
        <v>1902</v>
      </c>
      <c r="B3684">
        <v>0</v>
      </c>
      <c r="C3684" t="s">
        <v>772</v>
      </c>
      <c r="D3684">
        <v>0</v>
      </c>
      <c r="E3684">
        <v>39.8985</v>
      </c>
      <c r="F3684">
        <v>21.0961</v>
      </c>
      <c r="G3684">
        <v>22811.32</v>
      </c>
      <c r="H3684" s="1">
        <v>37354</v>
      </c>
      <c r="I3684" s="1">
        <v>37359</v>
      </c>
      <c r="J3684" t="s">
        <v>15</v>
      </c>
      <c r="K3684">
        <v>19</v>
      </c>
      <c r="L3684">
        <v>0</v>
      </c>
      <c r="M3684" t="s">
        <v>16</v>
      </c>
      <c r="N3684">
        <v>1</v>
      </c>
    </row>
    <row r="3685" hidden="1" spans="1:14">
      <c r="A3685">
        <v>2379</v>
      </c>
      <c r="B3685">
        <v>0</v>
      </c>
      <c r="C3685" t="s">
        <v>772</v>
      </c>
      <c r="D3685">
        <v>0</v>
      </c>
      <c r="E3685">
        <v>39.8268</v>
      </c>
      <c r="F3685">
        <v>21.4209</v>
      </c>
      <c r="G3685">
        <v>507.189</v>
      </c>
      <c r="H3685" s="1">
        <v>37935</v>
      </c>
      <c r="I3685" s="1">
        <v>37936</v>
      </c>
      <c r="J3685" t="s">
        <v>15</v>
      </c>
      <c r="K3685">
        <v>12</v>
      </c>
      <c r="L3685">
        <v>0</v>
      </c>
      <c r="M3685" t="s">
        <v>18</v>
      </c>
      <c r="N3685">
        <v>1</v>
      </c>
    </row>
    <row r="3686" hidden="1" spans="1:14">
      <c r="A3686">
        <v>2472</v>
      </c>
      <c r="B3686">
        <v>0</v>
      </c>
      <c r="C3686" t="s">
        <v>772</v>
      </c>
      <c r="D3686">
        <v>0</v>
      </c>
      <c r="E3686">
        <v>42.6602</v>
      </c>
      <c r="F3686">
        <v>17.0785</v>
      </c>
      <c r="G3686">
        <v>2676.01</v>
      </c>
      <c r="H3686" s="1">
        <v>38091</v>
      </c>
      <c r="I3686" s="1">
        <v>38093</v>
      </c>
      <c r="J3686" t="s">
        <v>15</v>
      </c>
      <c r="K3686">
        <v>5</v>
      </c>
      <c r="L3686">
        <v>400</v>
      </c>
      <c r="M3686" t="s">
        <v>16</v>
      </c>
      <c r="N3686">
        <v>1</v>
      </c>
    </row>
    <row r="3687" hidden="1" spans="1:14">
      <c r="A3687">
        <v>2542</v>
      </c>
      <c r="B3687">
        <v>0</v>
      </c>
      <c r="C3687" t="s">
        <v>772</v>
      </c>
      <c r="D3687">
        <v>0</v>
      </c>
      <c r="E3687">
        <v>42.4899</v>
      </c>
      <c r="F3687">
        <v>17.3866</v>
      </c>
      <c r="G3687">
        <v>4070.77</v>
      </c>
      <c r="H3687" s="1">
        <v>38202</v>
      </c>
      <c r="I3687" s="1">
        <v>38203</v>
      </c>
      <c r="J3687" t="s">
        <v>15</v>
      </c>
      <c r="K3687">
        <v>8</v>
      </c>
      <c r="L3687">
        <v>0</v>
      </c>
      <c r="M3687" t="s">
        <v>16</v>
      </c>
      <c r="N3687">
        <v>2</v>
      </c>
    </row>
    <row r="3688" hidden="1" spans="1:14">
      <c r="A3688">
        <v>2614</v>
      </c>
      <c r="B3688">
        <v>0</v>
      </c>
      <c r="C3688" t="s">
        <v>772</v>
      </c>
      <c r="D3688">
        <v>0</v>
      </c>
      <c r="E3688">
        <v>40.6202</v>
      </c>
      <c r="F3688">
        <v>24.7876</v>
      </c>
      <c r="G3688">
        <v>22757.65</v>
      </c>
      <c r="H3688" s="1">
        <v>38374</v>
      </c>
      <c r="I3688" s="1">
        <v>38379</v>
      </c>
      <c r="J3688" t="s">
        <v>15</v>
      </c>
      <c r="K3688">
        <v>29</v>
      </c>
      <c r="L3688">
        <v>50</v>
      </c>
      <c r="M3688" t="s">
        <v>16</v>
      </c>
      <c r="N3688">
        <v>1</v>
      </c>
    </row>
    <row r="3689" hidden="1" spans="1:14">
      <c r="A3689">
        <v>2630</v>
      </c>
      <c r="B3689">
        <v>0</v>
      </c>
      <c r="C3689" t="s">
        <v>772</v>
      </c>
      <c r="D3689" t="s">
        <v>769</v>
      </c>
      <c r="E3689">
        <v>48.568</v>
      </c>
      <c r="F3689">
        <v>24.3928</v>
      </c>
      <c r="G3689">
        <v>488992.8</v>
      </c>
      <c r="H3689" s="1">
        <v>38412</v>
      </c>
      <c r="I3689" s="1">
        <v>38434</v>
      </c>
      <c r="J3689" t="s">
        <v>15</v>
      </c>
      <c r="K3689">
        <v>7</v>
      </c>
      <c r="L3689">
        <v>700</v>
      </c>
      <c r="M3689" t="s">
        <v>16</v>
      </c>
      <c r="N3689">
        <v>1</v>
      </c>
    </row>
    <row r="3690" hidden="1" spans="1:14">
      <c r="A3690">
        <v>2792</v>
      </c>
      <c r="B3690">
        <v>0</v>
      </c>
      <c r="C3690" t="s">
        <v>772</v>
      </c>
      <c r="D3690" t="s">
        <v>560</v>
      </c>
      <c r="E3690">
        <v>35.5811</v>
      </c>
      <c r="F3690">
        <v>29.7338</v>
      </c>
      <c r="G3690">
        <v>22619.33</v>
      </c>
      <c r="H3690" s="1">
        <v>38749</v>
      </c>
      <c r="I3690" s="1">
        <v>38754</v>
      </c>
      <c r="J3690" t="s">
        <v>15</v>
      </c>
      <c r="K3690">
        <v>6</v>
      </c>
      <c r="L3690">
        <v>0</v>
      </c>
      <c r="M3690" t="s">
        <v>16</v>
      </c>
      <c r="N3690">
        <v>1</v>
      </c>
    </row>
    <row r="3691" hidden="1" spans="1:14">
      <c r="A3691">
        <v>3579</v>
      </c>
      <c r="B3691" t="s">
        <v>904</v>
      </c>
      <c r="C3691" t="s">
        <v>772</v>
      </c>
      <c r="D3691">
        <v>0</v>
      </c>
      <c r="E3691">
        <v>40.2282</v>
      </c>
      <c r="F3691">
        <v>21.2394</v>
      </c>
      <c r="G3691">
        <v>114601.3</v>
      </c>
      <c r="H3691" s="1">
        <v>40141</v>
      </c>
      <c r="I3691" s="1">
        <v>40143</v>
      </c>
      <c r="J3691">
        <v>0</v>
      </c>
      <c r="K3691">
        <v>116</v>
      </c>
      <c r="L3691">
        <v>0</v>
      </c>
      <c r="M3691" t="s">
        <v>52</v>
      </c>
      <c r="N3691">
        <v>1</v>
      </c>
    </row>
    <row r="3692" hidden="1" spans="1:14">
      <c r="A3692">
        <v>3677</v>
      </c>
      <c r="B3692">
        <v>0</v>
      </c>
      <c r="C3692" t="s">
        <v>772</v>
      </c>
      <c r="D3692">
        <v>0</v>
      </c>
      <c r="E3692">
        <v>41.1722</v>
      </c>
      <c r="F3692">
        <v>20.6067</v>
      </c>
      <c r="G3692">
        <v>55999.09</v>
      </c>
      <c r="H3692" s="1">
        <v>40369</v>
      </c>
      <c r="I3692" s="1">
        <v>40371</v>
      </c>
      <c r="J3692">
        <v>0</v>
      </c>
      <c r="K3692">
        <v>7</v>
      </c>
      <c r="L3692">
        <v>85</v>
      </c>
      <c r="M3692" t="s">
        <v>52</v>
      </c>
      <c r="N3692">
        <v>1</v>
      </c>
    </row>
    <row r="3693" hidden="1" spans="1:14">
      <c r="A3693">
        <v>3694</v>
      </c>
      <c r="B3693">
        <v>0</v>
      </c>
      <c r="C3693" t="s">
        <v>772</v>
      </c>
      <c r="D3693">
        <v>0</v>
      </c>
      <c r="E3693">
        <v>41.9223</v>
      </c>
      <c r="F3693">
        <v>21.515</v>
      </c>
      <c r="G3693">
        <v>346152.85</v>
      </c>
      <c r="H3693" s="1">
        <v>40382</v>
      </c>
      <c r="I3693" s="1">
        <v>40384</v>
      </c>
      <c r="J3693">
        <v>0</v>
      </c>
      <c r="K3693">
        <v>14</v>
      </c>
      <c r="L3693">
        <v>0</v>
      </c>
      <c r="M3693" t="s">
        <v>52</v>
      </c>
      <c r="N3693">
        <v>1</v>
      </c>
    </row>
    <row r="3694" hidden="1" spans="1:14">
      <c r="A3694">
        <v>3771</v>
      </c>
      <c r="B3694" t="s">
        <v>905</v>
      </c>
      <c r="C3694" t="s">
        <v>772</v>
      </c>
      <c r="E3694">
        <v>39.9448</v>
      </c>
      <c r="F3694">
        <v>21.3521</v>
      </c>
      <c r="G3694">
        <v>30361.71</v>
      </c>
      <c r="H3694" s="1">
        <v>40569</v>
      </c>
      <c r="I3694" s="1">
        <v>40574</v>
      </c>
      <c r="J3694" t="s">
        <v>15</v>
      </c>
      <c r="K3694">
        <v>10</v>
      </c>
      <c r="L3694">
        <v>0</v>
      </c>
      <c r="M3694" t="s">
        <v>52</v>
      </c>
      <c r="N3694">
        <v>1.5</v>
      </c>
    </row>
    <row r="3695" hidden="1" spans="1:14">
      <c r="A3695">
        <v>3920</v>
      </c>
      <c r="C3695" t="s">
        <v>772</v>
      </c>
      <c r="D3695" t="s">
        <v>769</v>
      </c>
      <c r="E3695">
        <v>51.0064</v>
      </c>
      <c r="F3695">
        <v>20.5946</v>
      </c>
      <c r="G3695">
        <v>233126.25</v>
      </c>
      <c r="H3695" s="1">
        <v>41013</v>
      </c>
      <c r="I3695" s="1">
        <v>41017</v>
      </c>
      <c r="J3695" t="s">
        <v>15</v>
      </c>
      <c r="K3695">
        <v>19</v>
      </c>
      <c r="L3695">
        <v>0</v>
      </c>
      <c r="M3695" t="s">
        <v>52</v>
      </c>
      <c r="N3695">
        <v>1.5</v>
      </c>
    </row>
    <row r="3696" hidden="1" spans="1:14">
      <c r="A3696">
        <v>4049</v>
      </c>
      <c r="C3696" t="s">
        <v>772</v>
      </c>
      <c r="D3696" t="s">
        <v>769</v>
      </c>
      <c r="E3696">
        <v>52.3938</v>
      </c>
      <c r="F3696">
        <v>22.7624</v>
      </c>
      <c r="G3696">
        <v>814307.06</v>
      </c>
      <c r="H3696" s="1">
        <v>41389</v>
      </c>
      <c r="I3696" s="1">
        <v>41410</v>
      </c>
      <c r="J3696" t="s">
        <v>15</v>
      </c>
      <c r="K3696">
        <v>0</v>
      </c>
      <c r="L3696">
        <v>0</v>
      </c>
      <c r="M3696" t="s">
        <v>49</v>
      </c>
      <c r="N3696">
        <v>1</v>
      </c>
    </row>
    <row r="3697" hidden="1" spans="1:14">
      <c r="A3697">
        <v>4104</v>
      </c>
      <c r="C3697" t="s">
        <v>772</v>
      </c>
      <c r="E3697">
        <v>44.8084</v>
      </c>
      <c r="F3697">
        <v>27.4145</v>
      </c>
      <c r="G3697">
        <v>361386.84</v>
      </c>
      <c r="H3697" s="1">
        <v>41596</v>
      </c>
      <c r="I3697" s="1">
        <v>41597</v>
      </c>
      <c r="J3697" t="s">
        <v>15</v>
      </c>
      <c r="K3697">
        <v>15</v>
      </c>
      <c r="L3697">
        <v>121</v>
      </c>
      <c r="M3697" t="s">
        <v>52</v>
      </c>
      <c r="N3697">
        <v>1.5</v>
      </c>
    </row>
    <row r="3698" hidden="1" spans="1:14">
      <c r="A3698">
        <v>4542</v>
      </c>
      <c r="C3698" t="s">
        <v>772</v>
      </c>
      <c r="E3698">
        <v>39.3648</v>
      </c>
      <c r="F3698">
        <v>22.7069</v>
      </c>
      <c r="G3698">
        <v>181054.82</v>
      </c>
      <c r="H3698" s="1">
        <v>43060</v>
      </c>
      <c r="I3698" s="1">
        <v>43061</v>
      </c>
      <c r="J3698" t="s">
        <v>15</v>
      </c>
      <c r="K3698">
        <v>3</v>
      </c>
      <c r="L3698">
        <v>50</v>
      </c>
      <c r="M3698" t="s">
        <v>52</v>
      </c>
      <c r="N3698">
        <v>1</v>
      </c>
    </row>
    <row r="3699" hidden="1" spans="1:14">
      <c r="A3699">
        <v>4717</v>
      </c>
      <c r="C3699" t="s">
        <v>772</v>
      </c>
      <c r="E3699">
        <v>41.2948</v>
      </c>
      <c r="F3699">
        <v>26.6741</v>
      </c>
      <c r="G3699">
        <v>632315.72</v>
      </c>
      <c r="H3699" s="1">
        <v>43491</v>
      </c>
      <c r="I3699" s="1">
        <v>43494</v>
      </c>
      <c r="J3699" t="s">
        <v>56</v>
      </c>
      <c r="K3699">
        <v>1</v>
      </c>
      <c r="L3699">
        <v>100</v>
      </c>
      <c r="M3699" t="s">
        <v>52</v>
      </c>
      <c r="N3699">
        <v>1</v>
      </c>
    </row>
    <row r="3700" hidden="1" spans="1:14">
      <c r="A3700">
        <v>4750</v>
      </c>
      <c r="C3700" t="s">
        <v>772</v>
      </c>
      <c r="E3700">
        <v>45.2538</v>
      </c>
      <c r="F3700">
        <v>18.5395</v>
      </c>
      <c r="G3700">
        <v>238156.72</v>
      </c>
      <c r="H3700" s="1">
        <v>43607</v>
      </c>
      <c r="I3700" s="1">
        <v>43612</v>
      </c>
      <c r="J3700" t="s">
        <v>58</v>
      </c>
      <c r="K3700">
        <v>1</v>
      </c>
      <c r="L3700">
        <v>36</v>
      </c>
      <c r="M3700" t="s">
        <v>52</v>
      </c>
      <c r="N3700">
        <v>1</v>
      </c>
    </row>
    <row r="3701" hidden="1" spans="1:14">
      <c r="A3701">
        <v>1705</v>
      </c>
      <c r="B3701">
        <v>0</v>
      </c>
      <c r="C3701" t="s">
        <v>906</v>
      </c>
      <c r="D3701">
        <v>0</v>
      </c>
      <c r="E3701">
        <v>46.7364</v>
      </c>
      <c r="F3701">
        <v>24.5293</v>
      </c>
      <c r="G3701">
        <v>3069.99</v>
      </c>
      <c r="H3701" s="1">
        <v>36967</v>
      </c>
      <c r="I3701" s="1">
        <v>36969</v>
      </c>
      <c r="J3701" t="s">
        <v>15</v>
      </c>
      <c r="K3701">
        <v>6</v>
      </c>
      <c r="L3701">
        <v>0</v>
      </c>
      <c r="M3701" t="s">
        <v>16</v>
      </c>
      <c r="N3701">
        <v>1</v>
      </c>
    </row>
    <row r="3702" hidden="1" spans="1:14">
      <c r="A3702">
        <v>276</v>
      </c>
      <c r="B3702">
        <v>0</v>
      </c>
      <c r="C3702" t="s">
        <v>907</v>
      </c>
      <c r="D3702">
        <v>0</v>
      </c>
      <c r="E3702">
        <v>-4.50437</v>
      </c>
      <c r="F3702">
        <v>57.2883</v>
      </c>
      <c r="G3702">
        <v>1308.86</v>
      </c>
      <c r="H3702" s="1">
        <v>32522</v>
      </c>
      <c r="I3702" s="1">
        <v>32525</v>
      </c>
      <c r="J3702" t="s">
        <v>15</v>
      </c>
      <c r="K3702">
        <v>0</v>
      </c>
      <c r="L3702">
        <v>3000</v>
      </c>
      <c r="M3702" t="s">
        <v>16</v>
      </c>
      <c r="N3702">
        <v>1</v>
      </c>
    </row>
    <row r="3703" hidden="1" spans="1:14">
      <c r="A3703">
        <v>466</v>
      </c>
      <c r="B3703">
        <v>0</v>
      </c>
      <c r="C3703" t="s">
        <v>907</v>
      </c>
      <c r="D3703">
        <v>0</v>
      </c>
      <c r="E3703">
        <v>-3.64553</v>
      </c>
      <c r="F3703">
        <v>55.6343</v>
      </c>
      <c r="G3703">
        <v>26545.49</v>
      </c>
      <c r="H3703" s="1">
        <v>33152</v>
      </c>
      <c r="I3703" s="1">
        <v>33153</v>
      </c>
      <c r="J3703" t="s">
        <v>15</v>
      </c>
      <c r="K3703">
        <v>1</v>
      </c>
      <c r="L3703">
        <v>300</v>
      </c>
      <c r="M3703" t="s">
        <v>16</v>
      </c>
      <c r="N3703">
        <v>1</v>
      </c>
    </row>
    <row r="3704" hidden="1" spans="1:14">
      <c r="A3704">
        <v>612</v>
      </c>
      <c r="B3704">
        <v>0</v>
      </c>
      <c r="C3704" t="s">
        <v>907</v>
      </c>
      <c r="D3704">
        <v>0</v>
      </c>
      <c r="E3704">
        <v>-3.74148</v>
      </c>
      <c r="F3704">
        <v>57.28</v>
      </c>
      <c r="G3704">
        <v>5882.58</v>
      </c>
      <c r="H3704" s="1">
        <v>33605</v>
      </c>
      <c r="I3704" s="1">
        <v>33606</v>
      </c>
      <c r="J3704" t="s">
        <v>15</v>
      </c>
      <c r="K3704">
        <v>1</v>
      </c>
      <c r="L3704">
        <v>30</v>
      </c>
      <c r="M3704" t="s">
        <v>16</v>
      </c>
      <c r="N3704">
        <v>1</v>
      </c>
    </row>
    <row r="3705" hidden="1" spans="1:14">
      <c r="A3705">
        <v>3962</v>
      </c>
      <c r="C3705" t="s">
        <v>907</v>
      </c>
      <c r="E3705">
        <v>-2.59334</v>
      </c>
      <c r="F3705">
        <v>55.5746</v>
      </c>
      <c r="G3705">
        <v>4260.88</v>
      </c>
      <c r="H3705" s="1">
        <v>41125</v>
      </c>
      <c r="I3705" s="1">
        <v>41127</v>
      </c>
      <c r="J3705" t="s">
        <v>15</v>
      </c>
      <c r="K3705">
        <v>0</v>
      </c>
      <c r="L3705">
        <v>0</v>
      </c>
      <c r="M3705" t="s">
        <v>52</v>
      </c>
      <c r="N3705">
        <v>1</v>
      </c>
    </row>
    <row r="3706" hidden="1" spans="1:14">
      <c r="A3706">
        <v>1008</v>
      </c>
      <c r="B3706">
        <v>0</v>
      </c>
      <c r="C3706" t="s">
        <v>752</v>
      </c>
      <c r="D3706">
        <v>0</v>
      </c>
      <c r="E3706">
        <v>-15.0548</v>
      </c>
      <c r="F3706">
        <v>15.8268</v>
      </c>
      <c r="G3706">
        <v>47808.22</v>
      </c>
      <c r="H3706" s="1">
        <v>34966</v>
      </c>
      <c r="I3706" s="1">
        <v>34980</v>
      </c>
      <c r="J3706" t="s">
        <v>15</v>
      </c>
      <c r="K3706">
        <v>0</v>
      </c>
      <c r="L3706">
        <v>0</v>
      </c>
      <c r="M3706" t="s">
        <v>16</v>
      </c>
      <c r="N3706">
        <v>1</v>
      </c>
    </row>
    <row r="3707" hidden="1" spans="1:14">
      <c r="A3707">
        <v>1866</v>
      </c>
      <c r="B3707">
        <v>0</v>
      </c>
      <c r="C3707" t="s">
        <v>752</v>
      </c>
      <c r="D3707">
        <v>0</v>
      </c>
      <c r="E3707">
        <v>-14.6405</v>
      </c>
      <c r="F3707">
        <v>15.5553</v>
      </c>
      <c r="G3707">
        <v>62705.79</v>
      </c>
      <c r="H3707" s="1">
        <v>37265</v>
      </c>
      <c r="I3707" s="1">
        <v>37268</v>
      </c>
      <c r="J3707" t="s">
        <v>15</v>
      </c>
      <c r="K3707">
        <v>28</v>
      </c>
      <c r="L3707">
        <v>80000</v>
      </c>
      <c r="M3707" t="s">
        <v>16</v>
      </c>
      <c r="N3707">
        <v>1</v>
      </c>
    </row>
    <row r="3708" hidden="1" spans="1:14">
      <c r="A3708">
        <v>2316</v>
      </c>
      <c r="B3708">
        <v>0</v>
      </c>
      <c r="C3708" t="s">
        <v>752</v>
      </c>
      <c r="D3708" t="s">
        <v>664</v>
      </c>
      <c r="E3708">
        <v>-12.9402</v>
      </c>
      <c r="F3708">
        <v>15.9392</v>
      </c>
      <c r="G3708">
        <v>586302.53</v>
      </c>
      <c r="H3708" s="1">
        <v>37842</v>
      </c>
      <c r="I3708" s="1">
        <v>37930</v>
      </c>
      <c r="J3708" t="s">
        <v>15</v>
      </c>
      <c r="K3708">
        <v>10</v>
      </c>
      <c r="L3708">
        <v>5300</v>
      </c>
      <c r="M3708" t="s">
        <v>16</v>
      </c>
      <c r="N3708">
        <v>1</v>
      </c>
    </row>
    <row r="3709" hidden="1" spans="1:14">
      <c r="A3709">
        <v>2729</v>
      </c>
      <c r="B3709">
        <v>0</v>
      </c>
      <c r="C3709" t="s">
        <v>752</v>
      </c>
      <c r="D3709">
        <v>0</v>
      </c>
      <c r="E3709">
        <v>-17.3737</v>
      </c>
      <c r="F3709">
        <v>14.7558</v>
      </c>
      <c r="G3709">
        <v>333.207</v>
      </c>
      <c r="H3709" s="1">
        <v>38584</v>
      </c>
      <c r="I3709" s="1">
        <v>38605</v>
      </c>
      <c r="J3709" t="s">
        <v>15</v>
      </c>
      <c r="K3709">
        <v>0</v>
      </c>
      <c r="L3709">
        <v>5600</v>
      </c>
      <c r="M3709" t="s">
        <v>16</v>
      </c>
      <c r="N3709">
        <v>1</v>
      </c>
    </row>
    <row r="3710" hidden="1" spans="1:14">
      <c r="A3710">
        <v>3180</v>
      </c>
      <c r="B3710" t="s">
        <v>908</v>
      </c>
      <c r="C3710" t="s">
        <v>752</v>
      </c>
      <c r="E3710">
        <v>-13.9678</v>
      </c>
      <c r="F3710">
        <v>15.4745</v>
      </c>
      <c r="G3710">
        <v>167997.63</v>
      </c>
      <c r="H3710" s="1">
        <v>39325</v>
      </c>
      <c r="I3710" s="1">
        <v>39345</v>
      </c>
      <c r="J3710" t="s">
        <v>15</v>
      </c>
      <c r="K3710">
        <v>1</v>
      </c>
      <c r="L3710">
        <v>0</v>
      </c>
      <c r="M3710" t="s">
        <v>16</v>
      </c>
      <c r="N3710">
        <v>1</v>
      </c>
    </row>
    <row r="3711" hidden="1" spans="1:14">
      <c r="A3711">
        <v>3531</v>
      </c>
      <c r="B3711" t="s">
        <v>909</v>
      </c>
      <c r="C3711" t="s">
        <v>752</v>
      </c>
      <c r="D3711">
        <v>0</v>
      </c>
      <c r="E3711">
        <v>-16.8108</v>
      </c>
      <c r="F3711">
        <v>14.5762</v>
      </c>
      <c r="G3711">
        <v>8510.69</v>
      </c>
      <c r="H3711" s="1">
        <v>40049</v>
      </c>
      <c r="I3711" s="1">
        <v>40051</v>
      </c>
      <c r="J3711">
        <v>0</v>
      </c>
      <c r="K3711">
        <v>0</v>
      </c>
      <c r="L3711">
        <v>0</v>
      </c>
      <c r="M3711" t="s">
        <v>49</v>
      </c>
      <c r="N3711">
        <v>1</v>
      </c>
    </row>
    <row r="3712" hidden="1" spans="1:14">
      <c r="A3712">
        <v>3971</v>
      </c>
      <c r="C3712" t="s">
        <v>752</v>
      </c>
      <c r="E3712">
        <v>-15.4943</v>
      </c>
      <c r="F3712">
        <v>14.462</v>
      </c>
      <c r="G3712">
        <v>79242.7</v>
      </c>
      <c r="H3712" s="1">
        <v>41145</v>
      </c>
      <c r="I3712" s="1">
        <v>41150</v>
      </c>
      <c r="J3712" t="s">
        <v>15</v>
      </c>
      <c r="K3712">
        <v>4</v>
      </c>
      <c r="L3712">
        <v>1200</v>
      </c>
      <c r="M3712" t="s">
        <v>52</v>
      </c>
      <c r="N3712">
        <v>1.5</v>
      </c>
    </row>
    <row r="3713" hidden="1" spans="1:14">
      <c r="A3713">
        <v>4808</v>
      </c>
      <c r="C3713" t="s">
        <v>752</v>
      </c>
      <c r="E3713">
        <v>-15.5163</v>
      </c>
      <c r="F3713">
        <v>15.5202</v>
      </c>
      <c r="G3713">
        <v>60942.37</v>
      </c>
      <c r="H3713" s="1">
        <v>43718</v>
      </c>
      <c r="I3713" s="1">
        <v>43728</v>
      </c>
      <c r="J3713" t="s">
        <v>56</v>
      </c>
      <c r="K3713">
        <v>0</v>
      </c>
      <c r="L3713">
        <v>4500</v>
      </c>
      <c r="M3713" t="s">
        <v>49</v>
      </c>
      <c r="N3713">
        <v>1</v>
      </c>
    </row>
    <row r="3714" hidden="1" spans="1:14">
      <c r="A3714">
        <v>241</v>
      </c>
      <c r="B3714">
        <v>0</v>
      </c>
      <c r="C3714" t="s">
        <v>910</v>
      </c>
      <c r="D3714">
        <v>0</v>
      </c>
      <c r="E3714">
        <v>-17.0028</v>
      </c>
      <c r="F3714">
        <v>14.7289</v>
      </c>
      <c r="G3714">
        <v>1307.63</v>
      </c>
      <c r="H3714" s="1">
        <v>32388</v>
      </c>
      <c r="I3714" s="1">
        <v>32388</v>
      </c>
      <c r="J3714" t="s">
        <v>15</v>
      </c>
      <c r="K3714">
        <v>4</v>
      </c>
      <c r="L3714">
        <v>2400</v>
      </c>
      <c r="M3714" t="s">
        <v>16</v>
      </c>
      <c r="N3714">
        <v>1</v>
      </c>
    </row>
    <row r="3715" hidden="1" spans="1:14">
      <c r="A3715">
        <v>2809</v>
      </c>
      <c r="B3715" t="s">
        <v>911</v>
      </c>
      <c r="C3715" t="s">
        <v>180</v>
      </c>
      <c r="D3715" t="s">
        <v>65</v>
      </c>
      <c r="E3715">
        <v>20.8258</v>
      </c>
      <c r="F3715">
        <v>42.6033</v>
      </c>
      <c r="G3715">
        <v>10087.24</v>
      </c>
      <c r="H3715" s="1">
        <v>38769</v>
      </c>
      <c r="I3715" s="1">
        <v>38777</v>
      </c>
      <c r="J3715" t="s">
        <v>15</v>
      </c>
      <c r="K3715">
        <v>0</v>
      </c>
      <c r="L3715">
        <v>1200</v>
      </c>
      <c r="M3715" t="s">
        <v>38</v>
      </c>
      <c r="N3715">
        <v>1</v>
      </c>
    </row>
    <row r="3716" hidden="1" spans="1:14">
      <c r="A3716">
        <v>3618</v>
      </c>
      <c r="B3716" t="s">
        <v>912</v>
      </c>
      <c r="C3716" t="s">
        <v>180</v>
      </c>
      <c r="E3716">
        <v>21.1442</v>
      </c>
      <c r="F3716">
        <v>44.4668</v>
      </c>
      <c r="G3716">
        <v>46896.64</v>
      </c>
      <c r="H3716" s="1">
        <v>40238</v>
      </c>
      <c r="I3716" s="1">
        <v>40239</v>
      </c>
      <c r="J3716">
        <v>0</v>
      </c>
      <c r="K3716">
        <v>0</v>
      </c>
      <c r="L3716">
        <v>4000</v>
      </c>
      <c r="M3716" t="s">
        <v>49</v>
      </c>
      <c r="N3716">
        <v>1</v>
      </c>
    </row>
    <row r="3717" hidden="1" spans="1:14">
      <c r="A3717">
        <v>3635</v>
      </c>
      <c r="B3717">
        <v>0</v>
      </c>
      <c r="C3717" t="s">
        <v>180</v>
      </c>
      <c r="D3717">
        <v>0</v>
      </c>
      <c r="E3717">
        <v>21.7157</v>
      </c>
      <c r="F3717">
        <v>43.4667</v>
      </c>
      <c r="G3717">
        <v>13989.57</v>
      </c>
      <c r="H3717" s="1">
        <v>40288</v>
      </c>
      <c r="I3717" s="1">
        <v>40290</v>
      </c>
      <c r="J3717">
        <v>0</v>
      </c>
      <c r="K3717">
        <v>0</v>
      </c>
      <c r="L3717">
        <v>0</v>
      </c>
      <c r="M3717" t="s">
        <v>49</v>
      </c>
      <c r="N3717">
        <v>1</v>
      </c>
    </row>
    <row r="3718" hidden="1" spans="1:14">
      <c r="A3718">
        <v>3755</v>
      </c>
      <c r="B3718" t="s">
        <v>913</v>
      </c>
      <c r="C3718" t="s">
        <v>180</v>
      </c>
      <c r="D3718" t="s">
        <v>65</v>
      </c>
      <c r="E3718">
        <v>20.7292</v>
      </c>
      <c r="F3718">
        <v>44.0151</v>
      </c>
      <c r="G3718">
        <v>101737.38</v>
      </c>
      <c r="H3718" s="1">
        <v>40513</v>
      </c>
      <c r="I3718" s="1">
        <v>40529</v>
      </c>
      <c r="J3718" t="s">
        <v>15</v>
      </c>
      <c r="K3718">
        <v>3</v>
      </c>
      <c r="L3718">
        <v>30000</v>
      </c>
      <c r="M3718" t="s">
        <v>49</v>
      </c>
      <c r="N3718">
        <v>2</v>
      </c>
    </row>
    <row r="3719" hidden="1" spans="1:14">
      <c r="A3719">
        <v>3814</v>
      </c>
      <c r="C3719" t="s">
        <v>180</v>
      </c>
      <c r="E3719">
        <v>20.8708</v>
      </c>
      <c r="F3719">
        <v>43.048</v>
      </c>
      <c r="G3719">
        <v>5465.46</v>
      </c>
      <c r="H3719" s="1">
        <v>40686</v>
      </c>
      <c r="I3719" s="1">
        <v>40687</v>
      </c>
      <c r="J3719" t="s">
        <v>15</v>
      </c>
      <c r="K3719">
        <v>0</v>
      </c>
      <c r="L3719">
        <v>5000</v>
      </c>
      <c r="M3719" t="s">
        <v>52</v>
      </c>
      <c r="N3719">
        <v>1</v>
      </c>
    </row>
    <row r="3720" hidden="1" spans="1:14">
      <c r="A3720">
        <v>4139</v>
      </c>
      <c r="C3720" t="s">
        <v>180</v>
      </c>
      <c r="D3720" t="s">
        <v>179</v>
      </c>
      <c r="E3720">
        <v>19.2236</v>
      </c>
      <c r="F3720">
        <v>44.56</v>
      </c>
      <c r="G3720">
        <v>115747.69</v>
      </c>
      <c r="H3720" s="1">
        <v>41771</v>
      </c>
      <c r="I3720" s="1">
        <v>41775</v>
      </c>
      <c r="J3720" t="s">
        <v>15</v>
      </c>
      <c r="K3720">
        <v>3</v>
      </c>
      <c r="L3720">
        <v>4000</v>
      </c>
      <c r="M3720" t="s">
        <v>49</v>
      </c>
      <c r="N3720">
        <v>2</v>
      </c>
    </row>
    <row r="3721" hidden="1" spans="1:14">
      <c r="A3721">
        <v>4334</v>
      </c>
      <c r="C3721" t="s">
        <v>180</v>
      </c>
      <c r="E3721">
        <v>21.0546</v>
      </c>
      <c r="F3721">
        <v>44.671</v>
      </c>
      <c r="G3721">
        <v>16442.45</v>
      </c>
      <c r="H3721" s="1">
        <v>42435</v>
      </c>
      <c r="I3721" s="1">
        <v>42439</v>
      </c>
      <c r="J3721" t="s">
        <v>15</v>
      </c>
      <c r="K3721">
        <v>0</v>
      </c>
      <c r="L3721">
        <v>420</v>
      </c>
      <c r="M3721" t="s">
        <v>49</v>
      </c>
      <c r="N3721">
        <v>1.5</v>
      </c>
    </row>
    <row r="3722" hidden="1" spans="1:14">
      <c r="A3722">
        <v>5013</v>
      </c>
      <c r="C3722" t="s">
        <v>180</v>
      </c>
      <c r="D3722" t="s">
        <v>213</v>
      </c>
      <c r="E3722">
        <v>20.535</v>
      </c>
      <c r="F3722">
        <v>44.3113</v>
      </c>
      <c r="G3722">
        <v>68673.77</v>
      </c>
      <c r="H3722" s="1">
        <v>44205</v>
      </c>
      <c r="I3722" s="1">
        <v>44209</v>
      </c>
      <c r="J3722" t="s">
        <v>56</v>
      </c>
      <c r="K3722">
        <v>0</v>
      </c>
      <c r="L3722">
        <v>0</v>
      </c>
      <c r="M3722" t="s">
        <v>49</v>
      </c>
      <c r="N3722">
        <v>1</v>
      </c>
    </row>
    <row r="3723" hidden="1" spans="1:14">
      <c r="A3723">
        <v>3234</v>
      </c>
      <c r="B3723" t="s">
        <v>914</v>
      </c>
      <c r="C3723" t="s">
        <v>915</v>
      </c>
      <c r="D3723">
        <v>0</v>
      </c>
      <c r="E3723">
        <v>20.7976</v>
      </c>
      <c r="F3723">
        <v>42.7619</v>
      </c>
      <c r="G3723">
        <v>9141.36</v>
      </c>
      <c r="H3723" s="1">
        <v>39411</v>
      </c>
      <c r="I3723" s="1">
        <v>39416</v>
      </c>
      <c r="J3723" t="s">
        <v>15</v>
      </c>
      <c r="K3723">
        <v>0</v>
      </c>
      <c r="L3723">
        <v>3500</v>
      </c>
      <c r="M3723" t="s">
        <v>16</v>
      </c>
      <c r="N3723">
        <v>1</v>
      </c>
    </row>
    <row r="3724" hidden="1" spans="1:14">
      <c r="A3724">
        <v>2832</v>
      </c>
      <c r="B3724" t="s">
        <v>916</v>
      </c>
      <c r="C3724" t="s">
        <v>917</v>
      </c>
      <c r="D3724" t="s">
        <v>188</v>
      </c>
      <c r="E3724">
        <v>20.7493</v>
      </c>
      <c r="F3724">
        <v>45.2621</v>
      </c>
      <c r="G3724">
        <v>40531.48</v>
      </c>
      <c r="H3724" s="1">
        <v>38811</v>
      </c>
      <c r="I3724" s="1">
        <v>38848</v>
      </c>
      <c r="J3724" t="s">
        <v>15</v>
      </c>
      <c r="K3724">
        <v>0</v>
      </c>
      <c r="L3724">
        <v>1500</v>
      </c>
      <c r="M3724" t="s">
        <v>39</v>
      </c>
      <c r="N3724">
        <v>2</v>
      </c>
    </row>
    <row r="3725" hidden="1" spans="1:14">
      <c r="A3725">
        <v>4025</v>
      </c>
      <c r="B3725" t="s">
        <v>918</v>
      </c>
      <c r="C3725" t="s">
        <v>919</v>
      </c>
      <c r="E3725">
        <v>55.4243</v>
      </c>
      <c r="F3725">
        <v>-4.60943</v>
      </c>
      <c r="G3725">
        <v>451.786</v>
      </c>
      <c r="H3725" s="1">
        <v>41301</v>
      </c>
      <c r="I3725" s="1">
        <v>41306</v>
      </c>
      <c r="J3725" t="s">
        <v>15</v>
      </c>
      <c r="K3725">
        <v>0</v>
      </c>
      <c r="L3725">
        <v>106</v>
      </c>
      <c r="M3725" t="s">
        <v>52</v>
      </c>
      <c r="N3725">
        <v>1.5</v>
      </c>
    </row>
    <row r="3726" hidden="1" spans="1:14">
      <c r="A3726">
        <v>1362</v>
      </c>
      <c r="B3726">
        <v>0</v>
      </c>
      <c r="C3726" t="s">
        <v>920</v>
      </c>
      <c r="D3726">
        <v>0</v>
      </c>
      <c r="E3726">
        <v>131.959</v>
      </c>
      <c r="F3726">
        <v>63.9567</v>
      </c>
      <c r="G3726">
        <v>314770.65</v>
      </c>
      <c r="H3726" s="1">
        <v>35931</v>
      </c>
      <c r="I3726" s="1">
        <v>35952</v>
      </c>
      <c r="J3726" t="s">
        <v>15</v>
      </c>
      <c r="K3726">
        <v>15</v>
      </c>
      <c r="L3726">
        <v>51000</v>
      </c>
      <c r="M3726" t="s">
        <v>48</v>
      </c>
      <c r="N3726">
        <v>2</v>
      </c>
    </row>
    <row r="3727" hidden="1" spans="1:14">
      <c r="A3727">
        <v>2044</v>
      </c>
      <c r="B3727">
        <v>0</v>
      </c>
      <c r="C3727" t="s">
        <v>921</v>
      </c>
      <c r="D3727">
        <v>0</v>
      </c>
      <c r="E3727">
        <v>-11.677</v>
      </c>
      <c r="F3727">
        <v>8.09142</v>
      </c>
      <c r="G3727">
        <v>9152.77</v>
      </c>
      <c r="H3727" s="1">
        <v>37497</v>
      </c>
      <c r="I3727" s="1">
        <v>37500</v>
      </c>
      <c r="J3727" t="s">
        <v>15</v>
      </c>
      <c r="K3727">
        <v>0</v>
      </c>
      <c r="L3727">
        <v>500</v>
      </c>
      <c r="M3727" t="s">
        <v>16</v>
      </c>
      <c r="N3727">
        <v>1</v>
      </c>
    </row>
    <row r="3728" hidden="1" spans="1:14">
      <c r="A3728">
        <v>2385</v>
      </c>
      <c r="B3728">
        <v>0</v>
      </c>
      <c r="C3728" t="s">
        <v>921</v>
      </c>
      <c r="D3728">
        <v>0</v>
      </c>
      <c r="E3728">
        <v>-11.853</v>
      </c>
      <c r="F3728">
        <v>7.4768</v>
      </c>
      <c r="G3728">
        <v>8243.39</v>
      </c>
      <c r="H3728" s="1">
        <v>37936</v>
      </c>
      <c r="I3728" s="1">
        <v>37938</v>
      </c>
      <c r="J3728" t="s">
        <v>15</v>
      </c>
      <c r="K3728">
        <v>0</v>
      </c>
      <c r="L3728">
        <v>200</v>
      </c>
      <c r="M3728" t="s">
        <v>16</v>
      </c>
      <c r="N3728">
        <v>1</v>
      </c>
    </row>
    <row r="3729" hidden="1" spans="1:14">
      <c r="A3729">
        <v>2713</v>
      </c>
      <c r="B3729">
        <v>0</v>
      </c>
      <c r="C3729" t="s">
        <v>921</v>
      </c>
      <c r="D3729">
        <v>0</v>
      </c>
      <c r="E3729">
        <v>-11.6876</v>
      </c>
      <c r="F3729">
        <v>7.41856</v>
      </c>
      <c r="G3729">
        <v>7725.62</v>
      </c>
      <c r="H3729" s="1">
        <v>38578</v>
      </c>
      <c r="I3729" s="1">
        <v>38580</v>
      </c>
      <c r="J3729" t="s">
        <v>15</v>
      </c>
      <c r="K3729">
        <v>20</v>
      </c>
      <c r="L3729">
        <v>15000</v>
      </c>
      <c r="M3729" t="s">
        <v>16</v>
      </c>
      <c r="N3729">
        <v>2</v>
      </c>
    </row>
    <row r="3730" hidden="1" spans="1:14">
      <c r="A3730">
        <v>3524</v>
      </c>
      <c r="B3730" t="s">
        <v>922</v>
      </c>
      <c r="C3730" t="s">
        <v>921</v>
      </c>
      <c r="D3730">
        <v>0</v>
      </c>
      <c r="E3730">
        <v>-12.7337</v>
      </c>
      <c r="F3730">
        <v>8.57029</v>
      </c>
      <c r="G3730">
        <v>11893.28</v>
      </c>
      <c r="H3730" s="1">
        <v>40034</v>
      </c>
      <c r="I3730" s="1">
        <v>40035</v>
      </c>
      <c r="J3730">
        <v>0</v>
      </c>
      <c r="K3730">
        <v>7</v>
      </c>
      <c r="L3730">
        <v>300</v>
      </c>
      <c r="M3730" t="s">
        <v>49</v>
      </c>
      <c r="N3730">
        <v>1</v>
      </c>
    </row>
    <row r="3731" hidden="1" spans="1:14">
      <c r="A3731">
        <v>4506</v>
      </c>
      <c r="B3731" t="s">
        <v>923</v>
      </c>
      <c r="C3731" t="s">
        <v>921</v>
      </c>
      <c r="E3731">
        <v>-12.2501</v>
      </c>
      <c r="F3731">
        <v>8.40278</v>
      </c>
      <c r="G3731">
        <v>26999.44</v>
      </c>
      <c r="H3731" s="1">
        <v>42961</v>
      </c>
      <c r="I3731" s="1">
        <v>42962</v>
      </c>
      <c r="J3731" t="s">
        <v>15</v>
      </c>
      <c r="K3731">
        <v>400</v>
      </c>
      <c r="L3731">
        <v>3000</v>
      </c>
      <c r="M3731" t="s">
        <v>52</v>
      </c>
      <c r="N3731">
        <v>1.5</v>
      </c>
    </row>
    <row r="3732" hidden="1" spans="1:14">
      <c r="A3732">
        <v>3574</v>
      </c>
      <c r="B3732">
        <v>0</v>
      </c>
      <c r="C3732" t="s">
        <v>924</v>
      </c>
      <c r="D3732">
        <v>0</v>
      </c>
      <c r="E3732">
        <v>103.833</v>
      </c>
      <c r="F3732">
        <v>1.4308</v>
      </c>
      <c r="G3732">
        <v>1051.3</v>
      </c>
      <c r="H3732" s="1">
        <v>40136</v>
      </c>
      <c r="I3732" s="1">
        <v>40137</v>
      </c>
      <c r="J3732">
        <v>0</v>
      </c>
      <c r="K3732">
        <v>0</v>
      </c>
      <c r="L3732">
        <v>0</v>
      </c>
      <c r="M3732" t="s">
        <v>52</v>
      </c>
      <c r="N3732">
        <v>1.5</v>
      </c>
    </row>
    <row r="3733" hidden="1" spans="1:14">
      <c r="A3733">
        <v>1420</v>
      </c>
      <c r="B3733">
        <v>0</v>
      </c>
      <c r="C3733" t="s">
        <v>877</v>
      </c>
      <c r="D3733">
        <v>0</v>
      </c>
      <c r="E3733">
        <v>20.8647</v>
      </c>
      <c r="F3733">
        <v>48.8353</v>
      </c>
      <c r="G3733">
        <v>4900.81</v>
      </c>
      <c r="H3733" s="1">
        <v>35996</v>
      </c>
      <c r="I3733" s="1">
        <v>36000</v>
      </c>
      <c r="J3733" t="s">
        <v>15</v>
      </c>
      <c r="K3733">
        <v>47</v>
      </c>
      <c r="L3733">
        <v>3618</v>
      </c>
      <c r="M3733" t="s">
        <v>18</v>
      </c>
      <c r="N3733">
        <v>1</v>
      </c>
    </row>
    <row r="3734" hidden="1" spans="1:14">
      <c r="A3734">
        <v>1994</v>
      </c>
      <c r="B3734">
        <v>0</v>
      </c>
      <c r="C3734" t="s">
        <v>877</v>
      </c>
      <c r="D3734">
        <v>0</v>
      </c>
      <c r="E3734">
        <v>21.2657</v>
      </c>
      <c r="F3734">
        <v>49.059</v>
      </c>
      <c r="G3734">
        <v>2189.04</v>
      </c>
      <c r="H3734" s="1">
        <v>37456</v>
      </c>
      <c r="I3734" s="1">
        <v>37460</v>
      </c>
      <c r="J3734" t="s">
        <v>15</v>
      </c>
      <c r="K3734">
        <v>0</v>
      </c>
      <c r="L3734">
        <v>0</v>
      </c>
      <c r="M3734" t="s">
        <v>16</v>
      </c>
      <c r="N3734">
        <v>1</v>
      </c>
    </row>
    <row r="3735" hidden="1" spans="1:14">
      <c r="A3735">
        <v>2506</v>
      </c>
      <c r="B3735">
        <v>0</v>
      </c>
      <c r="C3735" t="s">
        <v>877</v>
      </c>
      <c r="D3735">
        <v>0</v>
      </c>
      <c r="E3735">
        <v>18.0672</v>
      </c>
      <c r="F3735">
        <v>48.9058</v>
      </c>
      <c r="G3735">
        <v>750.023</v>
      </c>
      <c r="H3735" s="1">
        <v>38157</v>
      </c>
      <c r="I3735" s="1">
        <v>38158</v>
      </c>
      <c r="J3735" t="s">
        <v>15</v>
      </c>
      <c r="K3735">
        <v>0</v>
      </c>
      <c r="L3735">
        <v>0</v>
      </c>
      <c r="M3735" t="s">
        <v>16</v>
      </c>
      <c r="N3735">
        <v>2</v>
      </c>
    </row>
    <row r="3736" hidden="1" spans="1:14">
      <c r="A3736">
        <v>2534</v>
      </c>
      <c r="B3736">
        <v>0</v>
      </c>
      <c r="C3736" t="s">
        <v>877</v>
      </c>
      <c r="D3736" t="s">
        <v>876</v>
      </c>
      <c r="E3736">
        <v>21.158</v>
      </c>
      <c r="F3736">
        <v>48.9664</v>
      </c>
      <c r="G3736">
        <v>16222.47</v>
      </c>
      <c r="H3736" s="1">
        <v>38195</v>
      </c>
      <c r="I3736" s="1">
        <v>38209</v>
      </c>
      <c r="J3736" t="s">
        <v>15</v>
      </c>
      <c r="K3736">
        <v>2</v>
      </c>
      <c r="L3736">
        <v>1175</v>
      </c>
      <c r="M3736" t="s">
        <v>16</v>
      </c>
      <c r="N3736">
        <v>2</v>
      </c>
    </row>
    <row r="3737" hidden="1" spans="1:14">
      <c r="A3737">
        <v>2827</v>
      </c>
      <c r="B3737" t="s">
        <v>925</v>
      </c>
      <c r="C3737" t="s">
        <v>877</v>
      </c>
      <c r="D3737" t="s">
        <v>122</v>
      </c>
      <c r="E3737">
        <v>19.0844</v>
      </c>
      <c r="F3737">
        <v>48.6664</v>
      </c>
      <c r="G3737">
        <v>73291.88</v>
      </c>
      <c r="H3737" s="1">
        <v>38804</v>
      </c>
      <c r="I3737" s="1">
        <v>38846</v>
      </c>
      <c r="J3737" t="s">
        <v>15</v>
      </c>
      <c r="K3737">
        <v>3</v>
      </c>
      <c r="L3737">
        <v>6020</v>
      </c>
      <c r="M3737" t="s">
        <v>39</v>
      </c>
      <c r="N3737">
        <v>2</v>
      </c>
    </row>
    <row r="3738" hidden="1" spans="1:14">
      <c r="A3738">
        <v>4657</v>
      </c>
      <c r="C3738" t="s">
        <v>877</v>
      </c>
      <c r="E3738">
        <v>18.1596</v>
      </c>
      <c r="F3738">
        <v>48.701</v>
      </c>
      <c r="G3738">
        <v>21244.97</v>
      </c>
      <c r="H3738" s="1">
        <v>43299</v>
      </c>
      <c r="I3738" s="1">
        <v>43301</v>
      </c>
      <c r="J3738" t="s">
        <v>56</v>
      </c>
      <c r="K3738">
        <v>0</v>
      </c>
      <c r="L3738">
        <v>300</v>
      </c>
      <c r="M3738" t="s">
        <v>49</v>
      </c>
      <c r="N3738">
        <v>1.5</v>
      </c>
    </row>
    <row r="3739" hidden="1" spans="1:14">
      <c r="A3739">
        <v>3193</v>
      </c>
      <c r="B3739">
        <v>0</v>
      </c>
      <c r="C3739" t="s">
        <v>565</v>
      </c>
      <c r="D3739">
        <v>0</v>
      </c>
      <c r="E3739">
        <v>14.0326</v>
      </c>
      <c r="F3739">
        <v>46.2575</v>
      </c>
      <c r="G3739">
        <v>8410.45</v>
      </c>
      <c r="H3739" s="1">
        <v>39343</v>
      </c>
      <c r="I3739" s="1">
        <v>39345</v>
      </c>
      <c r="J3739" t="s">
        <v>15</v>
      </c>
      <c r="K3739">
        <v>6</v>
      </c>
      <c r="L3739">
        <v>0</v>
      </c>
      <c r="M3739" t="s">
        <v>16</v>
      </c>
      <c r="N3739">
        <v>1</v>
      </c>
    </row>
    <row r="3740" hidden="1" spans="1:14">
      <c r="A3740">
        <v>80</v>
      </c>
      <c r="B3740">
        <v>0</v>
      </c>
      <c r="C3740" t="s">
        <v>404</v>
      </c>
      <c r="D3740">
        <v>0</v>
      </c>
      <c r="E3740">
        <v>160.669</v>
      </c>
      <c r="F3740">
        <v>-9.33748</v>
      </c>
      <c r="G3740">
        <v>28719.44</v>
      </c>
      <c r="H3740" s="1">
        <v>31551</v>
      </c>
      <c r="I3740" s="1">
        <v>31552</v>
      </c>
      <c r="J3740" t="s">
        <v>15</v>
      </c>
      <c r="K3740">
        <v>0</v>
      </c>
      <c r="L3740">
        <v>10000</v>
      </c>
      <c r="M3740" t="s">
        <v>86</v>
      </c>
      <c r="N3740">
        <v>1</v>
      </c>
    </row>
    <row r="3741" hidden="1" spans="1:14">
      <c r="A3741">
        <v>627</v>
      </c>
      <c r="B3741">
        <v>0</v>
      </c>
      <c r="C3741" t="s">
        <v>404</v>
      </c>
      <c r="D3741">
        <v>0</v>
      </c>
      <c r="E3741">
        <v>160.215</v>
      </c>
      <c r="F3741">
        <v>-9.57355</v>
      </c>
      <c r="G3741">
        <v>5773.78</v>
      </c>
      <c r="H3741" s="1">
        <v>33664</v>
      </c>
      <c r="I3741" s="1">
        <v>33665</v>
      </c>
      <c r="J3741" t="s">
        <v>15</v>
      </c>
      <c r="K3741">
        <v>0</v>
      </c>
      <c r="L3741">
        <v>40</v>
      </c>
      <c r="M3741" t="s">
        <v>86</v>
      </c>
      <c r="N3741">
        <v>1</v>
      </c>
    </row>
    <row r="3742" hidden="1" spans="1:14">
      <c r="A3742">
        <v>3111</v>
      </c>
      <c r="B3742">
        <v>0</v>
      </c>
      <c r="C3742" t="s">
        <v>404</v>
      </c>
      <c r="D3742">
        <v>0</v>
      </c>
      <c r="E3742">
        <v>160.487</v>
      </c>
      <c r="F3742">
        <v>-9.55253</v>
      </c>
      <c r="G3742">
        <v>262.576</v>
      </c>
      <c r="H3742" s="1">
        <v>39257</v>
      </c>
      <c r="I3742" s="1">
        <v>39261</v>
      </c>
      <c r="J3742" t="s">
        <v>15</v>
      </c>
      <c r="K3742">
        <v>0</v>
      </c>
      <c r="L3742">
        <v>3000</v>
      </c>
      <c r="M3742" t="s">
        <v>16</v>
      </c>
      <c r="N3742">
        <v>1</v>
      </c>
    </row>
    <row r="3743" hidden="1" spans="1:14">
      <c r="A3743">
        <v>3450</v>
      </c>
      <c r="B3743" t="s">
        <v>926</v>
      </c>
      <c r="C3743" t="s">
        <v>404</v>
      </c>
      <c r="D3743">
        <v>0</v>
      </c>
      <c r="E3743">
        <v>158.657</v>
      </c>
      <c r="F3743">
        <v>-8.14626</v>
      </c>
      <c r="G3743">
        <v>117999.31</v>
      </c>
      <c r="H3743" s="1">
        <v>39853</v>
      </c>
      <c r="I3743" s="1">
        <v>39854</v>
      </c>
      <c r="J3743" t="s">
        <v>15</v>
      </c>
      <c r="K3743">
        <v>0</v>
      </c>
      <c r="L3743">
        <v>1000</v>
      </c>
      <c r="M3743" t="s">
        <v>67</v>
      </c>
      <c r="N3743">
        <v>1.5</v>
      </c>
    </row>
    <row r="3744" hidden="1" spans="1:14">
      <c r="A3744">
        <v>4132</v>
      </c>
      <c r="B3744" t="s">
        <v>927</v>
      </c>
      <c r="C3744" t="s">
        <v>404</v>
      </c>
      <c r="E3744">
        <v>160.342</v>
      </c>
      <c r="F3744">
        <v>-9.67763</v>
      </c>
      <c r="G3744">
        <v>5480.75</v>
      </c>
      <c r="H3744" s="1">
        <v>41730</v>
      </c>
      <c r="I3744" s="1">
        <v>41737</v>
      </c>
      <c r="J3744" t="s">
        <v>15</v>
      </c>
      <c r="K3744">
        <v>23</v>
      </c>
      <c r="L3744">
        <v>10000</v>
      </c>
      <c r="M3744" t="s">
        <v>49</v>
      </c>
      <c r="N3744">
        <v>2</v>
      </c>
    </row>
    <row r="3745" hidden="1" spans="1:14">
      <c r="A3745">
        <v>378</v>
      </c>
      <c r="B3745">
        <v>0</v>
      </c>
      <c r="C3745" t="s">
        <v>395</v>
      </c>
      <c r="D3745">
        <v>0</v>
      </c>
      <c r="E3745">
        <v>44.287</v>
      </c>
      <c r="F3745">
        <v>1.4561</v>
      </c>
      <c r="G3745">
        <v>29030.07</v>
      </c>
      <c r="H3745" s="1">
        <v>32818</v>
      </c>
      <c r="I3745" s="1">
        <v>32826</v>
      </c>
      <c r="J3745" t="s">
        <v>15</v>
      </c>
      <c r="K3745">
        <v>0</v>
      </c>
      <c r="L3745">
        <v>0</v>
      </c>
      <c r="M3745" t="s">
        <v>16</v>
      </c>
      <c r="N3745">
        <v>1</v>
      </c>
    </row>
    <row r="3746" hidden="1" spans="1:14">
      <c r="A3746">
        <v>923</v>
      </c>
      <c r="B3746">
        <v>0</v>
      </c>
      <c r="C3746" t="s">
        <v>395</v>
      </c>
      <c r="D3746">
        <v>0</v>
      </c>
      <c r="E3746">
        <v>49.4749</v>
      </c>
      <c r="F3746">
        <v>10.9856</v>
      </c>
      <c r="G3746">
        <v>16608.05</v>
      </c>
      <c r="H3746" s="1">
        <v>34657</v>
      </c>
      <c r="I3746" s="1">
        <v>34659</v>
      </c>
      <c r="J3746" t="s">
        <v>15</v>
      </c>
      <c r="K3746">
        <v>30</v>
      </c>
      <c r="L3746">
        <v>0</v>
      </c>
      <c r="M3746" t="s">
        <v>16</v>
      </c>
      <c r="N3746">
        <v>1</v>
      </c>
    </row>
    <row r="3747" hidden="1" spans="1:14">
      <c r="A3747">
        <v>916</v>
      </c>
      <c r="B3747">
        <v>0</v>
      </c>
      <c r="C3747" t="s">
        <v>395</v>
      </c>
      <c r="D3747">
        <v>0</v>
      </c>
      <c r="E3747">
        <v>42.5292</v>
      </c>
      <c r="F3747">
        <v>0.748137</v>
      </c>
      <c r="G3747">
        <v>83022.5</v>
      </c>
      <c r="H3747" s="1">
        <v>34642</v>
      </c>
      <c r="I3747" s="1">
        <v>34649</v>
      </c>
      <c r="J3747" t="s">
        <v>15</v>
      </c>
      <c r="K3747">
        <v>100</v>
      </c>
      <c r="L3747">
        <v>0</v>
      </c>
      <c r="M3747" t="s">
        <v>16</v>
      </c>
      <c r="N3747">
        <v>1</v>
      </c>
    </row>
    <row r="3748" hidden="1" spans="1:14">
      <c r="A3748">
        <v>1031</v>
      </c>
      <c r="B3748">
        <v>0</v>
      </c>
      <c r="C3748" t="s">
        <v>395</v>
      </c>
      <c r="D3748">
        <v>0</v>
      </c>
      <c r="E3748">
        <v>45.3359</v>
      </c>
      <c r="F3748">
        <v>2.21007</v>
      </c>
      <c r="G3748">
        <v>6308.13</v>
      </c>
      <c r="H3748" s="1">
        <v>35007</v>
      </c>
      <c r="I3748" s="1">
        <v>35010</v>
      </c>
      <c r="J3748" t="s">
        <v>15</v>
      </c>
      <c r="K3748">
        <v>20</v>
      </c>
      <c r="L3748">
        <v>300</v>
      </c>
      <c r="M3748" t="s">
        <v>16</v>
      </c>
      <c r="N3748">
        <v>1</v>
      </c>
    </row>
    <row r="3749" hidden="1" spans="1:14">
      <c r="A3749">
        <v>1076</v>
      </c>
      <c r="B3749">
        <v>0</v>
      </c>
      <c r="C3749" t="s">
        <v>395</v>
      </c>
      <c r="D3749">
        <v>0</v>
      </c>
      <c r="E3749">
        <v>45.201</v>
      </c>
      <c r="F3749">
        <v>4.53955</v>
      </c>
      <c r="G3749">
        <v>4532.73</v>
      </c>
      <c r="H3749" s="1">
        <v>35229</v>
      </c>
      <c r="I3749" s="1">
        <v>35230</v>
      </c>
      <c r="J3749" t="s">
        <v>15</v>
      </c>
      <c r="K3749">
        <v>3</v>
      </c>
      <c r="L3749">
        <v>400</v>
      </c>
      <c r="M3749" t="s">
        <v>16</v>
      </c>
      <c r="N3749">
        <v>1</v>
      </c>
    </row>
    <row r="3750" hidden="1" spans="1:14">
      <c r="A3750">
        <v>1127</v>
      </c>
      <c r="B3750">
        <v>0</v>
      </c>
      <c r="C3750" t="s">
        <v>395</v>
      </c>
      <c r="D3750">
        <v>0</v>
      </c>
      <c r="E3750">
        <v>45.5183</v>
      </c>
      <c r="F3750">
        <v>3.55799</v>
      </c>
      <c r="G3750">
        <v>64924.17</v>
      </c>
      <c r="H3750" s="1">
        <v>35375</v>
      </c>
      <c r="I3750" s="1">
        <v>35379</v>
      </c>
      <c r="J3750" t="s">
        <v>15</v>
      </c>
      <c r="K3750">
        <v>0</v>
      </c>
      <c r="L3750">
        <v>2000</v>
      </c>
      <c r="M3750" t="s">
        <v>49</v>
      </c>
      <c r="N3750">
        <v>1</v>
      </c>
    </row>
    <row r="3751" hidden="1" spans="1:14">
      <c r="A3751">
        <v>1156</v>
      </c>
      <c r="B3751">
        <v>0</v>
      </c>
      <c r="C3751" t="s">
        <v>395</v>
      </c>
      <c r="D3751">
        <v>0</v>
      </c>
      <c r="E3751">
        <v>46.6188</v>
      </c>
      <c r="F3751">
        <v>3.30559</v>
      </c>
      <c r="G3751">
        <v>27158.42</v>
      </c>
      <c r="H3751" s="1">
        <v>35552</v>
      </c>
      <c r="I3751" s="1">
        <v>35557</v>
      </c>
      <c r="J3751" t="s">
        <v>15</v>
      </c>
      <c r="K3751">
        <v>0</v>
      </c>
      <c r="L3751">
        <v>1740</v>
      </c>
      <c r="M3751" t="s">
        <v>16</v>
      </c>
      <c r="N3751">
        <v>1</v>
      </c>
    </row>
    <row r="3752" hidden="1" spans="1:14">
      <c r="A3752">
        <v>1195</v>
      </c>
      <c r="B3752">
        <v>0</v>
      </c>
      <c r="C3752" t="s">
        <v>395</v>
      </c>
      <c r="D3752" t="s">
        <v>595</v>
      </c>
      <c r="E3752">
        <v>43.7102</v>
      </c>
      <c r="F3752">
        <v>3.64911</v>
      </c>
      <c r="G3752">
        <v>713804.88</v>
      </c>
      <c r="H3752" s="1">
        <v>35722</v>
      </c>
      <c r="I3752" s="1">
        <v>35762</v>
      </c>
      <c r="J3752" t="s">
        <v>15</v>
      </c>
      <c r="K3752">
        <v>2000</v>
      </c>
      <c r="L3752">
        <v>230000</v>
      </c>
      <c r="M3752" t="s">
        <v>16</v>
      </c>
      <c r="N3752">
        <v>2</v>
      </c>
    </row>
    <row r="3753" hidden="1" spans="1:14">
      <c r="A3753">
        <v>1313</v>
      </c>
      <c r="B3753">
        <v>0</v>
      </c>
      <c r="C3753" t="s">
        <v>395</v>
      </c>
      <c r="D3753">
        <v>0</v>
      </c>
      <c r="E3753">
        <v>44.0844</v>
      </c>
      <c r="F3753">
        <v>2.27983</v>
      </c>
      <c r="G3753">
        <v>244738.52</v>
      </c>
      <c r="H3753" s="1">
        <v>35718</v>
      </c>
      <c r="I3753" s="1">
        <v>35804</v>
      </c>
      <c r="J3753" t="s">
        <v>15</v>
      </c>
      <c r="K3753">
        <v>2311</v>
      </c>
      <c r="L3753">
        <v>250000</v>
      </c>
      <c r="M3753" t="s">
        <v>16</v>
      </c>
      <c r="N3753">
        <v>1</v>
      </c>
    </row>
    <row r="3754" hidden="1" spans="1:14">
      <c r="A3754">
        <v>1365</v>
      </c>
      <c r="B3754">
        <v>0</v>
      </c>
      <c r="C3754" t="s">
        <v>395</v>
      </c>
      <c r="D3754">
        <v>0</v>
      </c>
      <c r="E3754">
        <v>41.8261</v>
      </c>
      <c r="F3754">
        <v>0.671164</v>
      </c>
      <c r="G3754">
        <v>100633.14</v>
      </c>
      <c r="H3754" s="1">
        <v>35934</v>
      </c>
      <c r="I3754" s="1">
        <v>35936</v>
      </c>
      <c r="J3754" t="s">
        <v>15</v>
      </c>
      <c r="K3754">
        <v>0</v>
      </c>
      <c r="L3754">
        <v>0</v>
      </c>
      <c r="M3754" t="s">
        <v>16</v>
      </c>
      <c r="N3754">
        <v>1</v>
      </c>
    </row>
    <row r="3755" hidden="1" spans="1:14">
      <c r="A3755">
        <v>1408</v>
      </c>
      <c r="B3755">
        <v>0</v>
      </c>
      <c r="C3755" t="s">
        <v>395</v>
      </c>
      <c r="D3755">
        <v>0</v>
      </c>
      <c r="E3755">
        <v>45.5657</v>
      </c>
      <c r="F3755">
        <v>2.63895</v>
      </c>
      <c r="G3755">
        <v>29465.97</v>
      </c>
      <c r="H3755" s="1">
        <v>35970</v>
      </c>
      <c r="I3755" s="1">
        <v>35971</v>
      </c>
      <c r="J3755" t="s">
        <v>15</v>
      </c>
      <c r="K3755">
        <v>22</v>
      </c>
      <c r="L3755">
        <v>2000</v>
      </c>
      <c r="M3755" t="s">
        <v>16</v>
      </c>
      <c r="N3755">
        <v>1</v>
      </c>
    </row>
    <row r="3756" hidden="1" spans="1:14">
      <c r="A3756">
        <v>1415</v>
      </c>
      <c r="B3756">
        <v>0</v>
      </c>
      <c r="C3756" t="s">
        <v>395</v>
      </c>
      <c r="D3756">
        <v>0</v>
      </c>
      <c r="E3756">
        <v>45.5127</v>
      </c>
      <c r="F3756">
        <v>3.04611</v>
      </c>
      <c r="G3756">
        <v>65726.76</v>
      </c>
      <c r="H3756" s="1">
        <v>35989</v>
      </c>
      <c r="I3756" s="1">
        <v>35993</v>
      </c>
      <c r="J3756" t="s">
        <v>15</v>
      </c>
      <c r="K3756">
        <v>0</v>
      </c>
      <c r="L3756">
        <v>500</v>
      </c>
      <c r="M3756" t="s">
        <v>16</v>
      </c>
      <c r="N3756">
        <v>1</v>
      </c>
    </row>
    <row r="3757" hidden="1" spans="1:14">
      <c r="A3757">
        <v>1472</v>
      </c>
      <c r="B3757">
        <v>0</v>
      </c>
      <c r="C3757" t="s">
        <v>395</v>
      </c>
      <c r="D3757">
        <v>0</v>
      </c>
      <c r="E3757">
        <v>42.9558</v>
      </c>
      <c r="F3757">
        <v>0.917951</v>
      </c>
      <c r="G3757">
        <v>8692.64</v>
      </c>
      <c r="H3757" s="1">
        <v>36117</v>
      </c>
      <c r="I3757" s="1">
        <v>36129</v>
      </c>
      <c r="J3757" t="s">
        <v>15</v>
      </c>
      <c r="K3757">
        <v>0</v>
      </c>
      <c r="L3757">
        <v>300</v>
      </c>
      <c r="M3757" t="s">
        <v>16</v>
      </c>
      <c r="N3757">
        <v>1</v>
      </c>
    </row>
    <row r="3758" hidden="1" spans="1:14">
      <c r="A3758">
        <v>1598</v>
      </c>
      <c r="B3758">
        <v>0</v>
      </c>
      <c r="C3758" t="s">
        <v>395</v>
      </c>
      <c r="D3758">
        <v>0</v>
      </c>
      <c r="E3758">
        <v>42.6386</v>
      </c>
      <c r="F3758">
        <v>0.422961</v>
      </c>
      <c r="G3758">
        <v>46258.96</v>
      </c>
      <c r="H3758" s="1">
        <v>36647</v>
      </c>
      <c r="I3758" s="1">
        <v>36676</v>
      </c>
      <c r="J3758" t="s">
        <v>15</v>
      </c>
      <c r="K3758">
        <v>0</v>
      </c>
      <c r="L3758">
        <v>3500</v>
      </c>
      <c r="M3758" t="s">
        <v>16</v>
      </c>
      <c r="N3758">
        <v>1</v>
      </c>
    </row>
    <row r="3759" hidden="1" spans="1:14">
      <c r="A3759">
        <v>2093</v>
      </c>
      <c r="B3759">
        <v>0</v>
      </c>
      <c r="C3759" t="s">
        <v>395</v>
      </c>
      <c r="D3759">
        <v>0</v>
      </c>
      <c r="E3759">
        <v>42.3967</v>
      </c>
      <c r="F3759">
        <v>1.42576</v>
      </c>
      <c r="G3759">
        <v>65263.03</v>
      </c>
      <c r="H3759" s="1">
        <v>37568</v>
      </c>
      <c r="I3759" s="1">
        <v>37581</v>
      </c>
      <c r="J3759" t="s">
        <v>15</v>
      </c>
      <c r="K3759">
        <v>0</v>
      </c>
      <c r="L3759">
        <v>0</v>
      </c>
      <c r="M3759" t="s">
        <v>16</v>
      </c>
      <c r="N3759">
        <v>1</v>
      </c>
    </row>
    <row r="3760" hidden="1" spans="1:14">
      <c r="A3760">
        <v>2226</v>
      </c>
      <c r="B3760">
        <v>0</v>
      </c>
      <c r="C3760" t="s">
        <v>395</v>
      </c>
      <c r="D3760">
        <v>0</v>
      </c>
      <c r="E3760">
        <v>42.4167</v>
      </c>
      <c r="F3760">
        <v>1.50529</v>
      </c>
      <c r="G3760">
        <v>33795</v>
      </c>
      <c r="H3760" s="1">
        <v>37747</v>
      </c>
      <c r="I3760" s="1">
        <v>37749</v>
      </c>
      <c r="J3760" t="s">
        <v>15</v>
      </c>
      <c r="K3760">
        <v>0</v>
      </c>
      <c r="L3760">
        <v>0</v>
      </c>
      <c r="M3760" t="s">
        <v>16</v>
      </c>
      <c r="N3760">
        <v>1</v>
      </c>
    </row>
    <row r="3761" hidden="1" spans="1:14">
      <c r="A3761">
        <v>2322</v>
      </c>
      <c r="B3761">
        <v>0</v>
      </c>
      <c r="C3761" t="s">
        <v>395</v>
      </c>
      <c r="D3761">
        <v>0</v>
      </c>
      <c r="E3761">
        <v>43.9989</v>
      </c>
      <c r="F3761">
        <v>9.41454</v>
      </c>
      <c r="G3761">
        <v>5503.86</v>
      </c>
      <c r="H3761" s="1">
        <v>37851</v>
      </c>
      <c r="I3761" s="1">
        <v>37853</v>
      </c>
      <c r="J3761" t="s">
        <v>15</v>
      </c>
      <c r="K3761">
        <v>1</v>
      </c>
      <c r="L3761">
        <v>0</v>
      </c>
      <c r="M3761" t="s">
        <v>16</v>
      </c>
      <c r="N3761">
        <v>1</v>
      </c>
    </row>
    <row r="3762" hidden="1" spans="1:14">
      <c r="A3762">
        <v>2578</v>
      </c>
      <c r="B3762">
        <v>0</v>
      </c>
      <c r="C3762" t="s">
        <v>395</v>
      </c>
      <c r="D3762">
        <v>0</v>
      </c>
      <c r="E3762">
        <v>44.9301</v>
      </c>
      <c r="F3762">
        <v>3.03699</v>
      </c>
      <c r="G3762">
        <v>52232.64</v>
      </c>
      <c r="H3762" s="1">
        <v>38286</v>
      </c>
      <c r="I3762" s="1">
        <v>38318</v>
      </c>
      <c r="J3762" t="s">
        <v>15</v>
      </c>
      <c r="K3762">
        <v>0</v>
      </c>
      <c r="L3762">
        <v>1000</v>
      </c>
      <c r="M3762" t="s">
        <v>16</v>
      </c>
      <c r="N3762">
        <v>1</v>
      </c>
    </row>
    <row r="3763" hidden="1" spans="1:14">
      <c r="A3763">
        <v>2944</v>
      </c>
      <c r="B3763">
        <v>0</v>
      </c>
      <c r="C3763" t="s">
        <v>395</v>
      </c>
      <c r="D3763">
        <v>0</v>
      </c>
      <c r="E3763">
        <v>45.445</v>
      </c>
      <c r="F3763">
        <v>2.66511</v>
      </c>
      <c r="G3763">
        <v>3845.15</v>
      </c>
      <c r="H3763" s="1">
        <v>38933</v>
      </c>
      <c r="I3763" s="1">
        <v>38938</v>
      </c>
      <c r="J3763" t="s">
        <v>15</v>
      </c>
      <c r="K3763">
        <v>0</v>
      </c>
      <c r="L3763">
        <v>400</v>
      </c>
      <c r="M3763" t="s">
        <v>16</v>
      </c>
      <c r="N3763">
        <v>1</v>
      </c>
    </row>
    <row r="3764" hidden="1" spans="1:14">
      <c r="A3764">
        <v>2955</v>
      </c>
      <c r="B3764">
        <v>0</v>
      </c>
      <c r="C3764" t="s">
        <v>395</v>
      </c>
      <c r="D3764">
        <v>0</v>
      </c>
      <c r="E3764">
        <v>45.4444</v>
      </c>
      <c r="F3764">
        <v>3.10436</v>
      </c>
      <c r="G3764">
        <v>37381.73</v>
      </c>
      <c r="H3764" s="1">
        <v>38953</v>
      </c>
      <c r="I3764" s="1">
        <v>39000</v>
      </c>
      <c r="J3764" t="s">
        <v>15</v>
      </c>
      <c r="K3764">
        <v>5</v>
      </c>
      <c r="L3764">
        <v>0</v>
      </c>
      <c r="M3764" t="s">
        <v>23</v>
      </c>
      <c r="N3764">
        <v>1</v>
      </c>
    </row>
    <row r="3765" hidden="1" spans="1:14">
      <c r="A3765">
        <v>3183</v>
      </c>
      <c r="B3765">
        <v>0</v>
      </c>
      <c r="C3765" t="s">
        <v>395</v>
      </c>
      <c r="D3765">
        <v>0</v>
      </c>
      <c r="E3765">
        <v>45.4269</v>
      </c>
      <c r="F3765">
        <v>2.97811</v>
      </c>
      <c r="G3765">
        <v>13305.25</v>
      </c>
      <c r="H3765" s="1">
        <v>39326</v>
      </c>
      <c r="I3765" s="1">
        <v>39359</v>
      </c>
      <c r="J3765" t="s">
        <v>15</v>
      </c>
      <c r="K3765">
        <v>4</v>
      </c>
      <c r="L3765">
        <v>8000</v>
      </c>
      <c r="M3765" t="s">
        <v>16</v>
      </c>
      <c r="N3765">
        <v>1</v>
      </c>
    </row>
    <row r="3766" hidden="1" spans="1:14">
      <c r="A3766">
        <v>3223</v>
      </c>
      <c r="B3766">
        <v>0</v>
      </c>
      <c r="C3766" t="s">
        <v>395</v>
      </c>
      <c r="D3766">
        <v>0</v>
      </c>
      <c r="E3766">
        <v>51.0174</v>
      </c>
      <c r="F3766">
        <v>11.8233</v>
      </c>
      <c r="G3766">
        <v>314.839</v>
      </c>
      <c r="H3766" s="1">
        <v>39389</v>
      </c>
      <c r="I3766" s="1">
        <v>39390</v>
      </c>
      <c r="J3766" t="s">
        <v>15</v>
      </c>
      <c r="K3766">
        <v>3</v>
      </c>
      <c r="L3766">
        <v>3000</v>
      </c>
      <c r="M3766" t="s">
        <v>16</v>
      </c>
      <c r="N3766">
        <v>1</v>
      </c>
    </row>
    <row r="3767" hidden="1" spans="1:14">
      <c r="A3767">
        <v>3401</v>
      </c>
      <c r="B3767">
        <v>0</v>
      </c>
      <c r="C3767" t="s">
        <v>395</v>
      </c>
      <c r="D3767">
        <v>0</v>
      </c>
      <c r="E3767">
        <v>43.4984</v>
      </c>
      <c r="F3767">
        <v>1.25298</v>
      </c>
      <c r="G3767">
        <v>111938.61</v>
      </c>
      <c r="H3767" s="1">
        <v>39755</v>
      </c>
      <c r="I3767" s="1">
        <v>39756</v>
      </c>
      <c r="J3767" t="s">
        <v>15</v>
      </c>
      <c r="K3767">
        <v>0</v>
      </c>
      <c r="L3767">
        <v>52000</v>
      </c>
      <c r="M3767" t="s">
        <v>49</v>
      </c>
      <c r="N3767">
        <v>1.5</v>
      </c>
    </row>
    <row r="3768" hidden="1" spans="1:14">
      <c r="A3768">
        <v>3634</v>
      </c>
      <c r="B3768">
        <v>0</v>
      </c>
      <c r="C3768" t="s">
        <v>395</v>
      </c>
      <c r="D3768">
        <v>0</v>
      </c>
      <c r="E3768">
        <v>45.7901</v>
      </c>
      <c r="F3768">
        <v>2.82383</v>
      </c>
      <c r="G3768">
        <v>50278.2</v>
      </c>
      <c r="H3768" s="1">
        <v>40280</v>
      </c>
      <c r="I3768" s="1">
        <v>40281</v>
      </c>
      <c r="J3768">
        <v>0</v>
      </c>
      <c r="K3768">
        <v>0</v>
      </c>
      <c r="L3768">
        <v>200</v>
      </c>
      <c r="M3768" t="s">
        <v>49</v>
      </c>
      <c r="N3768">
        <v>1</v>
      </c>
    </row>
    <row r="3769" hidden="1" spans="1:14">
      <c r="A3769">
        <v>3992</v>
      </c>
      <c r="C3769" t="s">
        <v>395</v>
      </c>
      <c r="E3769">
        <v>44.8967</v>
      </c>
      <c r="F3769">
        <v>4.94456</v>
      </c>
      <c r="G3769">
        <v>13753.99</v>
      </c>
      <c r="H3769" s="1">
        <v>41174</v>
      </c>
      <c r="I3769" s="1">
        <v>41185</v>
      </c>
      <c r="J3769" t="s">
        <v>15</v>
      </c>
      <c r="K3769">
        <v>6</v>
      </c>
      <c r="L3769">
        <v>12200</v>
      </c>
      <c r="M3769" t="s">
        <v>49</v>
      </c>
      <c r="N3769">
        <v>1.5</v>
      </c>
    </row>
    <row r="3770" hidden="1" spans="1:14">
      <c r="A3770">
        <v>4048</v>
      </c>
      <c r="C3770" t="s">
        <v>395</v>
      </c>
      <c r="E3770">
        <v>45.7365</v>
      </c>
      <c r="F3770">
        <v>3.38671</v>
      </c>
      <c r="G3770">
        <v>27293.22</v>
      </c>
      <c r="H3770" s="1">
        <v>41369</v>
      </c>
      <c r="I3770" s="1">
        <v>41393</v>
      </c>
      <c r="J3770" t="s">
        <v>15</v>
      </c>
      <c r="K3770">
        <v>0</v>
      </c>
      <c r="L3770">
        <v>4000</v>
      </c>
      <c r="M3770" t="s">
        <v>49</v>
      </c>
      <c r="N3770">
        <v>1</v>
      </c>
    </row>
    <row r="3771" hidden="1" spans="1:14">
      <c r="A3771">
        <v>4055</v>
      </c>
      <c r="C3771" t="s">
        <v>395</v>
      </c>
      <c r="E3771">
        <v>43.6553</v>
      </c>
      <c r="F3771">
        <v>2.16964</v>
      </c>
      <c r="G3771">
        <v>243476.26</v>
      </c>
      <c r="H3771" s="1">
        <v>41395</v>
      </c>
      <c r="I3771" s="1">
        <v>41410</v>
      </c>
      <c r="J3771" t="s">
        <v>15</v>
      </c>
      <c r="K3771">
        <v>7</v>
      </c>
      <c r="L3771">
        <v>50000</v>
      </c>
      <c r="M3771" t="s">
        <v>49</v>
      </c>
      <c r="N3771">
        <v>2</v>
      </c>
    </row>
    <row r="3772" hidden="1" spans="1:14">
      <c r="A3772">
        <v>4201</v>
      </c>
      <c r="C3772" t="s">
        <v>395</v>
      </c>
      <c r="D3772" t="s">
        <v>394</v>
      </c>
      <c r="E3772">
        <v>45.2538</v>
      </c>
      <c r="F3772">
        <v>4.13428</v>
      </c>
      <c r="G3772">
        <v>42635.81</v>
      </c>
      <c r="H3772" s="1">
        <v>41936</v>
      </c>
      <c r="I3772" s="1">
        <v>41959</v>
      </c>
      <c r="J3772" t="s">
        <v>15</v>
      </c>
      <c r="K3772">
        <v>0</v>
      </c>
      <c r="L3772">
        <v>21000</v>
      </c>
      <c r="M3772" t="s">
        <v>49</v>
      </c>
      <c r="N3772">
        <v>1.5</v>
      </c>
    </row>
    <row r="3773" hidden="1" spans="1:14">
      <c r="A3773">
        <v>4304</v>
      </c>
      <c r="B3773" t="s">
        <v>928</v>
      </c>
      <c r="C3773" t="s">
        <v>395</v>
      </c>
      <c r="D3773" t="s">
        <v>394</v>
      </c>
      <c r="E3773">
        <v>45.4022</v>
      </c>
      <c r="F3773">
        <v>4.70359</v>
      </c>
      <c r="G3773">
        <v>438557.45</v>
      </c>
      <c r="H3773" s="1">
        <v>42292</v>
      </c>
      <c r="I3773" s="1">
        <v>42305</v>
      </c>
      <c r="J3773" t="s">
        <v>15</v>
      </c>
      <c r="K3773">
        <v>0</v>
      </c>
      <c r="L3773">
        <v>0</v>
      </c>
      <c r="M3773" t="s">
        <v>49</v>
      </c>
      <c r="N3773">
        <v>1</v>
      </c>
    </row>
    <row r="3774" hidden="1" spans="1:14">
      <c r="A3774">
        <v>4345</v>
      </c>
      <c r="C3774" t="s">
        <v>395</v>
      </c>
      <c r="E3774">
        <v>45.8476</v>
      </c>
      <c r="F3774">
        <v>9.16597</v>
      </c>
      <c r="G3774">
        <v>97755.61</v>
      </c>
      <c r="H3774" s="1">
        <v>42466</v>
      </c>
      <c r="I3774" s="1">
        <v>42473</v>
      </c>
      <c r="J3774" t="s">
        <v>15</v>
      </c>
      <c r="K3774">
        <v>9</v>
      </c>
      <c r="L3774">
        <v>0</v>
      </c>
      <c r="M3774" t="s">
        <v>52</v>
      </c>
      <c r="N3774">
        <v>1</v>
      </c>
    </row>
    <row r="3775" hidden="1" spans="1:14">
      <c r="A3775">
        <v>4606</v>
      </c>
      <c r="C3775" t="s">
        <v>395</v>
      </c>
      <c r="E3775">
        <v>42.3491</v>
      </c>
      <c r="F3775">
        <v>1.03603</v>
      </c>
      <c r="G3775">
        <v>163422.64</v>
      </c>
      <c r="H3775" s="1">
        <v>43213</v>
      </c>
      <c r="I3775" s="1">
        <v>43222</v>
      </c>
      <c r="J3775" t="s">
        <v>56</v>
      </c>
      <c r="K3775">
        <v>5</v>
      </c>
      <c r="L3775">
        <v>50000</v>
      </c>
      <c r="M3775" t="s">
        <v>49</v>
      </c>
      <c r="N3775">
        <v>1</v>
      </c>
    </row>
    <row r="3776" hidden="1" spans="1:14">
      <c r="A3776">
        <v>4624</v>
      </c>
      <c r="C3776" t="s">
        <v>395</v>
      </c>
      <c r="D3776" t="s">
        <v>929</v>
      </c>
      <c r="E3776">
        <v>46.6394</v>
      </c>
      <c r="F3776">
        <v>10.6552</v>
      </c>
      <c r="G3776">
        <v>355540.32</v>
      </c>
      <c r="H3776" s="1">
        <v>43239</v>
      </c>
      <c r="I3776" s="1">
        <v>43241</v>
      </c>
      <c r="J3776" t="s">
        <v>56</v>
      </c>
      <c r="K3776">
        <v>25</v>
      </c>
      <c r="L3776">
        <v>8000</v>
      </c>
      <c r="M3776" t="s">
        <v>930</v>
      </c>
      <c r="N3776">
        <v>1.5</v>
      </c>
    </row>
    <row r="3777" hidden="1" spans="1:14">
      <c r="A3777">
        <v>4830</v>
      </c>
      <c r="C3777" t="s">
        <v>395</v>
      </c>
      <c r="D3777" t="s">
        <v>394</v>
      </c>
      <c r="E3777">
        <v>42.6557</v>
      </c>
      <c r="F3777">
        <v>1.59494</v>
      </c>
      <c r="G3777">
        <v>271254.58</v>
      </c>
      <c r="H3777" s="1">
        <v>43759</v>
      </c>
      <c r="I3777" s="1">
        <v>43805</v>
      </c>
      <c r="J3777" t="s">
        <v>56</v>
      </c>
      <c r="K3777">
        <v>0</v>
      </c>
      <c r="L3777">
        <v>270000</v>
      </c>
      <c r="M3777" t="s">
        <v>49</v>
      </c>
      <c r="N3777">
        <v>1.5</v>
      </c>
    </row>
    <row r="3778" hidden="1" spans="1:14">
      <c r="A3778">
        <v>4851</v>
      </c>
      <c r="C3778" t="s">
        <v>395</v>
      </c>
      <c r="E3778">
        <v>48.5447</v>
      </c>
      <c r="F3778">
        <v>7.15701</v>
      </c>
      <c r="G3778">
        <v>92385.87</v>
      </c>
      <c r="H3778" s="1">
        <v>43805</v>
      </c>
      <c r="I3778" s="1">
        <v>43809</v>
      </c>
      <c r="J3778" t="s">
        <v>56</v>
      </c>
      <c r="K3778">
        <v>1</v>
      </c>
      <c r="L3778">
        <v>250</v>
      </c>
      <c r="M3778" t="s">
        <v>931</v>
      </c>
      <c r="N3778">
        <v>1.5</v>
      </c>
    </row>
    <row r="3779" hidden="1" spans="1:14">
      <c r="A3779">
        <v>4911</v>
      </c>
      <c r="C3779" t="s">
        <v>395</v>
      </c>
      <c r="D3779" t="s">
        <v>394</v>
      </c>
      <c r="E3779">
        <v>47.0848</v>
      </c>
      <c r="F3779">
        <v>6.14157</v>
      </c>
      <c r="G3779">
        <v>428331.4</v>
      </c>
      <c r="H3779" s="1">
        <v>43941</v>
      </c>
      <c r="I3779" s="1">
        <v>43949</v>
      </c>
      <c r="J3779" t="s">
        <v>56</v>
      </c>
      <c r="K3779">
        <v>10</v>
      </c>
      <c r="L3779">
        <v>81000</v>
      </c>
      <c r="M3779" t="s">
        <v>49</v>
      </c>
      <c r="N3779">
        <v>1.5</v>
      </c>
    </row>
    <row r="3780" hidden="1" spans="1:14">
      <c r="A3780">
        <v>4981</v>
      </c>
      <c r="C3780" t="s">
        <v>395</v>
      </c>
      <c r="E3780">
        <v>43.8681</v>
      </c>
      <c r="F3780">
        <v>2.17635</v>
      </c>
      <c r="G3780">
        <v>244176.26</v>
      </c>
      <c r="H3780" s="1">
        <v>44105</v>
      </c>
      <c r="I3780" s="1">
        <v>44147</v>
      </c>
      <c r="J3780" t="s">
        <v>56</v>
      </c>
      <c r="K3780">
        <v>0</v>
      </c>
      <c r="L3780">
        <v>108000</v>
      </c>
      <c r="M3780" t="s">
        <v>49</v>
      </c>
      <c r="N3780">
        <v>1.5</v>
      </c>
    </row>
    <row r="3781" hidden="1" spans="1:14">
      <c r="A3781">
        <v>4992</v>
      </c>
      <c r="C3781" t="s">
        <v>395</v>
      </c>
      <c r="D3781" t="s">
        <v>394</v>
      </c>
      <c r="E3781">
        <v>46.3425</v>
      </c>
      <c r="F3781">
        <v>8.6952</v>
      </c>
      <c r="G3781">
        <v>416954.67</v>
      </c>
      <c r="H3781" s="1">
        <v>44157</v>
      </c>
      <c r="I3781" s="1">
        <v>44158</v>
      </c>
      <c r="J3781" t="s">
        <v>56</v>
      </c>
      <c r="K3781">
        <v>0</v>
      </c>
      <c r="L3781">
        <v>0</v>
      </c>
      <c r="M3781" t="s">
        <v>932</v>
      </c>
      <c r="N3781">
        <v>1.5</v>
      </c>
    </row>
    <row r="3782" hidden="1" spans="1:14">
      <c r="A3782">
        <v>5065</v>
      </c>
      <c r="C3782" t="s">
        <v>395</v>
      </c>
      <c r="E3782">
        <v>45.2538</v>
      </c>
      <c r="F3782">
        <v>2.54787</v>
      </c>
      <c r="G3782">
        <v>55048.54</v>
      </c>
      <c r="H3782" s="1">
        <v>44323</v>
      </c>
      <c r="I3782" s="1">
        <v>44348</v>
      </c>
      <c r="J3782" t="s">
        <v>56</v>
      </c>
      <c r="K3782">
        <v>9</v>
      </c>
      <c r="L3782">
        <v>100000</v>
      </c>
      <c r="M3782" t="s">
        <v>49</v>
      </c>
      <c r="N3782">
        <v>1.5</v>
      </c>
    </row>
    <row r="3783" hidden="1" spans="1:14">
      <c r="A3783">
        <v>5110</v>
      </c>
      <c r="C3783" t="s">
        <v>395</v>
      </c>
      <c r="E3783">
        <v>45.5507</v>
      </c>
      <c r="F3783">
        <v>4.50621</v>
      </c>
      <c r="G3783">
        <v>66965.12</v>
      </c>
      <c r="H3783" s="1">
        <v>44419</v>
      </c>
      <c r="I3783" s="1">
        <v>44425</v>
      </c>
      <c r="J3783" t="s">
        <v>56</v>
      </c>
      <c r="K3783">
        <v>2</v>
      </c>
      <c r="L3783">
        <v>10000</v>
      </c>
      <c r="M3783" t="s">
        <v>49</v>
      </c>
      <c r="N3783">
        <v>1.5</v>
      </c>
    </row>
    <row r="3784" hidden="1" spans="1:14">
      <c r="A3784">
        <v>743</v>
      </c>
      <c r="B3784">
        <v>0</v>
      </c>
      <c r="C3784" t="s">
        <v>933</v>
      </c>
      <c r="D3784">
        <v>0</v>
      </c>
      <c r="E3784">
        <v>44.6743</v>
      </c>
      <c r="F3784">
        <v>2.58292</v>
      </c>
      <c r="G3784">
        <v>90683.94</v>
      </c>
      <c r="H3784" s="1">
        <v>34118</v>
      </c>
      <c r="I3784" s="1">
        <v>34135</v>
      </c>
      <c r="J3784" t="s">
        <v>15</v>
      </c>
      <c r="K3784">
        <v>0</v>
      </c>
      <c r="L3784">
        <v>0</v>
      </c>
      <c r="M3784" t="s">
        <v>16</v>
      </c>
      <c r="N3784">
        <v>1</v>
      </c>
    </row>
    <row r="3785" hidden="1" spans="1:14">
      <c r="A3785">
        <v>1573</v>
      </c>
      <c r="B3785">
        <v>0</v>
      </c>
      <c r="C3785" t="s">
        <v>933</v>
      </c>
      <c r="D3785">
        <v>0</v>
      </c>
      <c r="E3785">
        <v>43.3182</v>
      </c>
      <c r="F3785">
        <v>0.581347</v>
      </c>
      <c r="G3785">
        <v>422129.92</v>
      </c>
      <c r="H3785" s="1">
        <v>36495</v>
      </c>
      <c r="I3785" s="1">
        <v>36500</v>
      </c>
      <c r="J3785" t="s">
        <v>15</v>
      </c>
      <c r="K3785">
        <v>0</v>
      </c>
      <c r="L3785">
        <v>0</v>
      </c>
      <c r="M3785" t="s">
        <v>16</v>
      </c>
      <c r="N3785">
        <v>1</v>
      </c>
    </row>
    <row r="3786" hidden="1" spans="1:14">
      <c r="A3786">
        <v>1672</v>
      </c>
      <c r="B3786">
        <v>0</v>
      </c>
      <c r="C3786" t="s">
        <v>933</v>
      </c>
      <c r="D3786">
        <v>0</v>
      </c>
      <c r="E3786">
        <v>42.2678</v>
      </c>
      <c r="F3786">
        <v>-0.057876</v>
      </c>
      <c r="G3786">
        <v>51402.68</v>
      </c>
      <c r="H3786" s="1">
        <v>36850</v>
      </c>
      <c r="I3786" s="1">
        <v>36860</v>
      </c>
      <c r="J3786" t="s">
        <v>15</v>
      </c>
      <c r="K3786">
        <v>0</v>
      </c>
      <c r="L3786">
        <v>150000</v>
      </c>
      <c r="M3786" t="s">
        <v>16</v>
      </c>
      <c r="N3786">
        <v>1</v>
      </c>
    </row>
    <row r="3787" hidden="1" spans="1:14">
      <c r="A3787">
        <v>1820</v>
      </c>
      <c r="B3787">
        <v>0</v>
      </c>
      <c r="C3787" t="s">
        <v>933</v>
      </c>
      <c r="D3787">
        <v>0</v>
      </c>
      <c r="E3787">
        <v>42.5089</v>
      </c>
      <c r="F3787">
        <v>0.491533</v>
      </c>
      <c r="G3787">
        <v>3907.32</v>
      </c>
      <c r="H3787" s="1">
        <v>37196</v>
      </c>
      <c r="I3787" s="1">
        <v>37209</v>
      </c>
      <c r="J3787" t="s">
        <v>15</v>
      </c>
      <c r="K3787">
        <v>0</v>
      </c>
      <c r="L3787">
        <v>6000</v>
      </c>
      <c r="M3787" t="s">
        <v>16</v>
      </c>
      <c r="N3787">
        <v>1</v>
      </c>
    </row>
    <row r="3788" hidden="1" spans="1:14">
      <c r="A3788">
        <v>170</v>
      </c>
      <c r="B3788">
        <v>0</v>
      </c>
      <c r="C3788" t="s">
        <v>192</v>
      </c>
      <c r="D3788">
        <v>0</v>
      </c>
      <c r="E3788">
        <v>26.9543</v>
      </c>
      <c r="F3788">
        <v>-22.1508</v>
      </c>
      <c r="G3788">
        <v>388455.26</v>
      </c>
      <c r="H3788" s="1">
        <v>32210</v>
      </c>
      <c r="I3788" s="1">
        <v>32217</v>
      </c>
      <c r="J3788" t="s">
        <v>15</v>
      </c>
      <c r="K3788">
        <v>18</v>
      </c>
      <c r="L3788">
        <v>24000</v>
      </c>
      <c r="M3788" t="s">
        <v>16</v>
      </c>
      <c r="N3788">
        <v>1</v>
      </c>
    </row>
    <row r="3789" hidden="1" spans="1:14">
      <c r="A3789">
        <v>273</v>
      </c>
      <c r="B3789">
        <v>0</v>
      </c>
      <c r="C3789" t="s">
        <v>192</v>
      </c>
      <c r="D3789">
        <v>0</v>
      </c>
      <c r="E3789">
        <v>30.325</v>
      </c>
      <c r="F3789">
        <v>-28.4838</v>
      </c>
      <c r="G3789">
        <v>2093.53</v>
      </c>
      <c r="H3789" s="1">
        <v>32509</v>
      </c>
      <c r="I3789" s="1">
        <v>32510</v>
      </c>
      <c r="J3789" t="s">
        <v>15</v>
      </c>
      <c r="K3789">
        <v>2</v>
      </c>
      <c r="L3789">
        <v>0</v>
      </c>
      <c r="M3789" t="s">
        <v>86</v>
      </c>
      <c r="N3789">
        <v>1</v>
      </c>
    </row>
    <row r="3790" hidden="1" spans="1:14">
      <c r="A3790">
        <v>497</v>
      </c>
      <c r="B3790">
        <v>0</v>
      </c>
      <c r="C3790" t="s">
        <v>192</v>
      </c>
      <c r="D3790">
        <v>0</v>
      </c>
      <c r="E3790">
        <v>25.4471</v>
      </c>
      <c r="F3790">
        <v>-27.7437</v>
      </c>
      <c r="G3790">
        <v>210524.08</v>
      </c>
      <c r="H3790" s="1">
        <v>33312</v>
      </c>
      <c r="I3790" s="1">
        <v>33316</v>
      </c>
      <c r="J3790" t="s">
        <v>15</v>
      </c>
      <c r="K3790">
        <v>0</v>
      </c>
      <c r="L3790">
        <v>0</v>
      </c>
      <c r="M3790" t="s">
        <v>16</v>
      </c>
      <c r="N3790">
        <v>1</v>
      </c>
    </row>
    <row r="3791" hidden="1" spans="1:14">
      <c r="A3791">
        <v>527</v>
      </c>
      <c r="B3791">
        <v>0</v>
      </c>
      <c r="C3791" t="s">
        <v>192</v>
      </c>
      <c r="D3791">
        <v>0</v>
      </c>
      <c r="E3791">
        <v>18.8161</v>
      </c>
      <c r="F3791">
        <v>-33.9306</v>
      </c>
      <c r="G3791">
        <v>5701.98</v>
      </c>
      <c r="H3791" s="1">
        <v>33413</v>
      </c>
      <c r="I3791" s="1">
        <v>33414</v>
      </c>
      <c r="J3791" t="s">
        <v>15</v>
      </c>
      <c r="K3791">
        <v>0</v>
      </c>
      <c r="L3791">
        <v>0</v>
      </c>
      <c r="M3791" t="s">
        <v>16</v>
      </c>
      <c r="N3791">
        <v>1</v>
      </c>
    </row>
    <row r="3792" hidden="1" spans="1:14">
      <c r="A3792">
        <v>854</v>
      </c>
      <c r="B3792">
        <v>0</v>
      </c>
      <c r="C3792" t="s">
        <v>192</v>
      </c>
      <c r="D3792">
        <v>0</v>
      </c>
      <c r="E3792">
        <v>18.8851</v>
      </c>
      <c r="F3792">
        <v>-33.9535</v>
      </c>
      <c r="G3792">
        <v>11393.12</v>
      </c>
      <c r="H3792" s="1">
        <v>34509</v>
      </c>
      <c r="I3792" s="1">
        <v>34513</v>
      </c>
      <c r="J3792" t="s">
        <v>15</v>
      </c>
      <c r="K3792">
        <v>2</v>
      </c>
      <c r="L3792">
        <v>3000</v>
      </c>
      <c r="M3792" t="s">
        <v>16</v>
      </c>
      <c r="N3792">
        <v>2</v>
      </c>
    </row>
    <row r="3793" hidden="1" spans="1:14">
      <c r="A3793">
        <v>929</v>
      </c>
      <c r="B3793">
        <v>0</v>
      </c>
      <c r="C3793" t="s">
        <v>192</v>
      </c>
      <c r="D3793">
        <v>0</v>
      </c>
      <c r="E3793">
        <v>29.6887</v>
      </c>
      <c r="F3793">
        <v>-23.0133</v>
      </c>
      <c r="G3793">
        <v>51452.21</v>
      </c>
      <c r="H3793" s="1">
        <v>34707</v>
      </c>
      <c r="I3793" s="1">
        <v>34708</v>
      </c>
      <c r="J3793" t="s">
        <v>15</v>
      </c>
      <c r="K3793">
        <v>0</v>
      </c>
      <c r="L3793">
        <v>0</v>
      </c>
      <c r="M3793" t="s">
        <v>16</v>
      </c>
      <c r="N3793">
        <v>1</v>
      </c>
    </row>
    <row r="3794" hidden="1" spans="1:14">
      <c r="A3794">
        <v>1039</v>
      </c>
      <c r="B3794">
        <v>0</v>
      </c>
      <c r="C3794" t="s">
        <v>192</v>
      </c>
      <c r="D3794">
        <v>0</v>
      </c>
      <c r="E3794">
        <v>31.0618</v>
      </c>
      <c r="F3794">
        <v>-28.7374</v>
      </c>
      <c r="G3794">
        <v>26828.55</v>
      </c>
      <c r="H3794" s="1">
        <v>35057</v>
      </c>
      <c r="I3794" s="1">
        <v>35060</v>
      </c>
      <c r="J3794" t="s">
        <v>15</v>
      </c>
      <c r="K3794">
        <v>18</v>
      </c>
      <c r="L3794">
        <v>6000</v>
      </c>
      <c r="M3794" t="s">
        <v>16</v>
      </c>
      <c r="N3794">
        <v>1</v>
      </c>
    </row>
    <row r="3795" hidden="1" spans="1:14">
      <c r="A3795">
        <v>1050</v>
      </c>
      <c r="B3795">
        <v>0</v>
      </c>
      <c r="C3795" t="s">
        <v>192</v>
      </c>
      <c r="D3795">
        <v>0</v>
      </c>
      <c r="E3795">
        <v>29.5164</v>
      </c>
      <c r="F3795">
        <v>-28.076</v>
      </c>
      <c r="G3795">
        <v>91482.85</v>
      </c>
      <c r="H3795" s="1">
        <v>35088</v>
      </c>
      <c r="I3795" s="1">
        <v>35091</v>
      </c>
      <c r="J3795" t="s">
        <v>15</v>
      </c>
      <c r="K3795">
        <v>4</v>
      </c>
      <c r="L3795">
        <v>1200</v>
      </c>
      <c r="M3795" t="s">
        <v>16</v>
      </c>
      <c r="N3795">
        <v>1</v>
      </c>
    </row>
    <row r="3796" hidden="1" spans="1:14">
      <c r="A3796">
        <v>1053</v>
      </c>
      <c r="B3796">
        <v>0</v>
      </c>
      <c r="C3796" t="s">
        <v>192</v>
      </c>
      <c r="D3796">
        <v>0</v>
      </c>
      <c r="E3796">
        <v>30.6825</v>
      </c>
      <c r="F3796">
        <v>-23.242</v>
      </c>
      <c r="G3796">
        <v>5035.95</v>
      </c>
      <c r="H3796" s="1">
        <v>35101</v>
      </c>
      <c r="I3796" s="1">
        <v>35105</v>
      </c>
      <c r="J3796" t="s">
        <v>15</v>
      </c>
      <c r="K3796">
        <v>1</v>
      </c>
      <c r="L3796">
        <v>100</v>
      </c>
      <c r="M3796" t="s">
        <v>16</v>
      </c>
      <c r="N3796">
        <v>1</v>
      </c>
    </row>
    <row r="3797" hidden="1" spans="1:14">
      <c r="A3797">
        <v>1057</v>
      </c>
      <c r="B3797">
        <v>0</v>
      </c>
      <c r="C3797" t="s">
        <v>192</v>
      </c>
      <c r="D3797">
        <v>0</v>
      </c>
      <c r="E3797">
        <v>27.664</v>
      </c>
      <c r="F3797">
        <v>-27.7513</v>
      </c>
      <c r="G3797">
        <v>582349.43</v>
      </c>
      <c r="H3797" s="1">
        <v>35104</v>
      </c>
      <c r="I3797" s="1">
        <v>35114</v>
      </c>
      <c r="J3797" t="s">
        <v>15</v>
      </c>
      <c r="K3797">
        <v>66</v>
      </c>
      <c r="L3797">
        <v>3000</v>
      </c>
      <c r="M3797" t="s">
        <v>16</v>
      </c>
      <c r="N3797">
        <v>2</v>
      </c>
    </row>
    <row r="3798" hidden="1" spans="1:14">
      <c r="A3798">
        <v>1230</v>
      </c>
      <c r="B3798">
        <v>0</v>
      </c>
      <c r="C3798" t="s">
        <v>192</v>
      </c>
      <c r="D3798">
        <v>0</v>
      </c>
      <c r="E3798">
        <v>24.7505</v>
      </c>
      <c r="F3798">
        <v>-31.4163</v>
      </c>
      <c r="G3798">
        <v>332604.34</v>
      </c>
      <c r="H3798" s="1">
        <v>35607</v>
      </c>
      <c r="I3798" s="1">
        <v>35616</v>
      </c>
      <c r="J3798" t="s">
        <v>15</v>
      </c>
      <c r="K3798">
        <v>9</v>
      </c>
      <c r="L3798">
        <v>0</v>
      </c>
      <c r="M3798" t="s">
        <v>16</v>
      </c>
      <c r="N3798">
        <v>1</v>
      </c>
    </row>
    <row r="3799" hidden="1" spans="1:14">
      <c r="A3799">
        <v>1310</v>
      </c>
      <c r="B3799">
        <v>0</v>
      </c>
      <c r="C3799" t="s">
        <v>192</v>
      </c>
      <c r="D3799">
        <v>0</v>
      </c>
      <c r="E3799">
        <v>28.6857</v>
      </c>
      <c r="F3799">
        <v>-31.5385</v>
      </c>
      <c r="G3799">
        <v>65214.93</v>
      </c>
      <c r="H3799" s="1">
        <v>35855</v>
      </c>
      <c r="I3799" s="1">
        <v>35858</v>
      </c>
      <c r="J3799" t="s">
        <v>15</v>
      </c>
      <c r="K3799">
        <v>7</v>
      </c>
      <c r="L3799">
        <v>200</v>
      </c>
      <c r="M3799" t="s">
        <v>16</v>
      </c>
      <c r="N3799">
        <v>1</v>
      </c>
    </row>
    <row r="3800" hidden="1" spans="1:14">
      <c r="A3800">
        <v>1343</v>
      </c>
      <c r="B3800">
        <v>0</v>
      </c>
      <c r="C3800" t="s">
        <v>192</v>
      </c>
      <c r="D3800">
        <v>0</v>
      </c>
      <c r="E3800">
        <v>22.0037</v>
      </c>
      <c r="F3800">
        <v>-33.1981</v>
      </c>
      <c r="G3800">
        <v>73478.43</v>
      </c>
      <c r="H3800" s="1">
        <v>35908</v>
      </c>
      <c r="I3800" s="1">
        <v>35909</v>
      </c>
      <c r="J3800" t="s">
        <v>15</v>
      </c>
      <c r="K3800">
        <v>0</v>
      </c>
      <c r="L3800">
        <v>200</v>
      </c>
      <c r="M3800" t="s">
        <v>18</v>
      </c>
      <c r="N3800">
        <v>1</v>
      </c>
    </row>
    <row r="3801" hidden="1" spans="1:14">
      <c r="A3801">
        <v>1488</v>
      </c>
      <c r="B3801">
        <v>0</v>
      </c>
      <c r="C3801" t="s">
        <v>192</v>
      </c>
      <c r="D3801">
        <v>0</v>
      </c>
      <c r="E3801">
        <v>29.8759</v>
      </c>
      <c r="F3801">
        <v>-30.5573</v>
      </c>
      <c r="G3801">
        <v>75253.95</v>
      </c>
      <c r="H3801" s="1">
        <v>36195</v>
      </c>
      <c r="I3801" s="1">
        <v>36198</v>
      </c>
      <c r="J3801" t="s">
        <v>15</v>
      </c>
      <c r="K3801">
        <v>7</v>
      </c>
      <c r="L3801">
        <v>5000</v>
      </c>
      <c r="M3801" t="s">
        <v>16</v>
      </c>
      <c r="N3801">
        <v>1</v>
      </c>
    </row>
    <row r="3802" hidden="1" spans="1:14">
      <c r="A3802">
        <v>1564</v>
      </c>
      <c r="B3802">
        <v>0</v>
      </c>
      <c r="C3802" t="s">
        <v>192</v>
      </c>
      <c r="D3802">
        <v>0</v>
      </c>
      <c r="E3802">
        <v>30.0083</v>
      </c>
      <c r="F3802">
        <v>-29.1447</v>
      </c>
      <c r="G3802">
        <v>93379.73</v>
      </c>
      <c r="H3802" s="1">
        <v>36459</v>
      </c>
      <c r="I3802" s="1">
        <v>36461</v>
      </c>
      <c r="J3802" t="s">
        <v>15</v>
      </c>
      <c r="K3802">
        <v>4</v>
      </c>
      <c r="L3802">
        <v>300</v>
      </c>
      <c r="M3802" t="s">
        <v>18</v>
      </c>
      <c r="N3802">
        <v>1</v>
      </c>
    </row>
    <row r="3803" hidden="1" spans="1:14">
      <c r="A3803">
        <v>1578</v>
      </c>
      <c r="B3803">
        <v>0</v>
      </c>
      <c r="C3803" t="s">
        <v>192</v>
      </c>
      <c r="D3803">
        <v>0</v>
      </c>
      <c r="E3803">
        <v>30.4617</v>
      </c>
      <c r="F3803">
        <v>-29.7176</v>
      </c>
      <c r="G3803">
        <v>182952.54</v>
      </c>
      <c r="H3803" s="1">
        <v>36515</v>
      </c>
      <c r="I3803" s="1">
        <v>36517</v>
      </c>
      <c r="J3803" t="s">
        <v>15</v>
      </c>
      <c r="K3803">
        <v>23</v>
      </c>
      <c r="L3803">
        <v>2000</v>
      </c>
      <c r="M3803" t="s">
        <v>16</v>
      </c>
      <c r="N3803">
        <v>1</v>
      </c>
    </row>
    <row r="3804" hidden="1" spans="1:14">
      <c r="A3804">
        <v>1593</v>
      </c>
      <c r="B3804">
        <v>0</v>
      </c>
      <c r="C3804" t="s">
        <v>192</v>
      </c>
      <c r="D3804">
        <v>0</v>
      </c>
      <c r="E3804">
        <v>25.6467</v>
      </c>
      <c r="F3804">
        <v>-32.7002</v>
      </c>
      <c r="G3804">
        <v>49106.47</v>
      </c>
      <c r="H3804" s="1">
        <v>36594</v>
      </c>
      <c r="I3804" s="1">
        <v>36600</v>
      </c>
      <c r="J3804" t="s">
        <v>15</v>
      </c>
      <c r="K3804">
        <v>14</v>
      </c>
      <c r="L3804">
        <v>0</v>
      </c>
      <c r="M3804" t="s">
        <v>16</v>
      </c>
      <c r="N3804">
        <v>1</v>
      </c>
    </row>
    <row r="3805" hidden="1" spans="1:14">
      <c r="A3805">
        <v>1992</v>
      </c>
      <c r="B3805">
        <v>0</v>
      </c>
      <c r="C3805" t="s">
        <v>192</v>
      </c>
      <c r="D3805">
        <v>0</v>
      </c>
      <c r="E3805">
        <v>27.7078</v>
      </c>
      <c r="F3805">
        <v>-31.2427</v>
      </c>
      <c r="G3805">
        <v>5573.46</v>
      </c>
      <c r="H3805" s="1">
        <v>37456</v>
      </c>
      <c r="I3805" s="1">
        <v>37458</v>
      </c>
      <c r="J3805" t="s">
        <v>15</v>
      </c>
      <c r="K3805">
        <v>8</v>
      </c>
      <c r="L3805">
        <v>0</v>
      </c>
      <c r="M3805" t="s">
        <v>16</v>
      </c>
      <c r="N3805">
        <v>1</v>
      </c>
    </row>
    <row r="3806" hidden="1" spans="1:14">
      <c r="A3806">
        <v>2009</v>
      </c>
      <c r="B3806">
        <v>0</v>
      </c>
      <c r="C3806" t="s">
        <v>192</v>
      </c>
      <c r="D3806">
        <v>0</v>
      </c>
      <c r="E3806">
        <v>18.5798</v>
      </c>
      <c r="F3806">
        <v>-34.0133</v>
      </c>
      <c r="G3806">
        <v>275.312</v>
      </c>
      <c r="H3806" s="1">
        <v>37465</v>
      </c>
      <c r="I3806" s="1">
        <v>37471</v>
      </c>
      <c r="J3806" t="s">
        <v>15</v>
      </c>
      <c r="K3806">
        <v>0</v>
      </c>
      <c r="L3806">
        <v>2300</v>
      </c>
      <c r="M3806" t="s">
        <v>16</v>
      </c>
      <c r="N3806">
        <v>1</v>
      </c>
    </row>
    <row r="3807" hidden="1" spans="1:14">
      <c r="A3807">
        <v>2033</v>
      </c>
      <c r="B3807">
        <v>0</v>
      </c>
      <c r="C3807" t="s">
        <v>192</v>
      </c>
      <c r="D3807">
        <v>0</v>
      </c>
      <c r="E3807">
        <v>27.7123</v>
      </c>
      <c r="F3807">
        <v>-32.8972</v>
      </c>
      <c r="G3807">
        <v>2999.92</v>
      </c>
      <c r="H3807" s="1">
        <v>37484</v>
      </c>
      <c r="I3807" s="1">
        <v>37486</v>
      </c>
      <c r="J3807" t="s">
        <v>15</v>
      </c>
      <c r="K3807">
        <v>16</v>
      </c>
      <c r="L3807">
        <v>2500</v>
      </c>
      <c r="M3807" t="s">
        <v>16</v>
      </c>
      <c r="N3807">
        <v>1</v>
      </c>
    </row>
    <row r="3808" hidden="1" spans="1:14">
      <c r="A3808">
        <v>2109</v>
      </c>
      <c r="B3808">
        <v>0</v>
      </c>
      <c r="C3808" t="s">
        <v>192</v>
      </c>
      <c r="D3808">
        <v>0</v>
      </c>
      <c r="E3808">
        <v>19.9104</v>
      </c>
      <c r="F3808">
        <v>-33.3966</v>
      </c>
      <c r="G3808">
        <v>787.683</v>
      </c>
      <c r="H3808" s="1">
        <v>37611</v>
      </c>
      <c r="I3808" s="1">
        <v>37614</v>
      </c>
      <c r="J3808" t="s">
        <v>15</v>
      </c>
      <c r="K3808">
        <v>0</v>
      </c>
      <c r="L3808">
        <v>50</v>
      </c>
      <c r="M3808" t="s">
        <v>16</v>
      </c>
      <c r="N3808">
        <v>1</v>
      </c>
    </row>
    <row r="3809" hidden="1" spans="1:14">
      <c r="A3809">
        <v>2188</v>
      </c>
      <c r="B3809">
        <v>0</v>
      </c>
      <c r="C3809" t="s">
        <v>192</v>
      </c>
      <c r="D3809">
        <v>0</v>
      </c>
      <c r="E3809">
        <v>20.1148</v>
      </c>
      <c r="F3809">
        <v>-33.7569</v>
      </c>
      <c r="G3809">
        <v>656.473</v>
      </c>
      <c r="H3809" s="1">
        <v>37703</v>
      </c>
      <c r="I3809" s="1">
        <v>37706</v>
      </c>
      <c r="J3809" t="s">
        <v>15</v>
      </c>
      <c r="K3809">
        <v>1</v>
      </c>
      <c r="L3809">
        <v>500</v>
      </c>
      <c r="M3809" t="s">
        <v>16</v>
      </c>
      <c r="N3809">
        <v>1</v>
      </c>
    </row>
    <row r="3810" hidden="1" spans="1:14">
      <c r="A3810">
        <v>2317</v>
      </c>
      <c r="B3810">
        <v>0</v>
      </c>
      <c r="C3810" t="s">
        <v>192</v>
      </c>
      <c r="D3810">
        <v>0</v>
      </c>
      <c r="E3810">
        <v>18.5782</v>
      </c>
      <c r="F3810">
        <v>-33.9746</v>
      </c>
      <c r="G3810">
        <v>317.658</v>
      </c>
      <c r="H3810" s="1">
        <v>37851</v>
      </c>
      <c r="I3810" s="1">
        <v>37854</v>
      </c>
      <c r="J3810" t="s">
        <v>15</v>
      </c>
      <c r="K3810">
        <v>0</v>
      </c>
      <c r="L3810">
        <v>600</v>
      </c>
      <c r="M3810" t="s">
        <v>16</v>
      </c>
      <c r="N3810">
        <v>1</v>
      </c>
    </row>
    <row r="3811" hidden="1" spans="1:14">
      <c r="A3811">
        <v>2384</v>
      </c>
      <c r="B3811">
        <v>0</v>
      </c>
      <c r="C3811" t="s">
        <v>192</v>
      </c>
      <c r="D3811">
        <v>0</v>
      </c>
      <c r="E3811">
        <v>24.7996</v>
      </c>
      <c r="F3811">
        <v>-27.5236</v>
      </c>
      <c r="G3811">
        <v>457.6</v>
      </c>
      <c r="H3811" s="1">
        <v>37938</v>
      </c>
      <c r="I3811" s="1">
        <v>37938</v>
      </c>
      <c r="J3811" t="s">
        <v>15</v>
      </c>
      <c r="K3811">
        <v>4</v>
      </c>
      <c r="L3811">
        <v>0</v>
      </c>
      <c r="M3811" t="s">
        <v>18</v>
      </c>
      <c r="N3811">
        <v>1</v>
      </c>
    </row>
    <row r="3812" hidden="1" spans="1:14">
      <c r="A3812">
        <v>2544</v>
      </c>
      <c r="B3812">
        <v>0</v>
      </c>
      <c r="C3812" t="s">
        <v>192</v>
      </c>
      <c r="D3812">
        <v>0</v>
      </c>
      <c r="E3812">
        <v>18.5736</v>
      </c>
      <c r="F3812">
        <v>-34.0107</v>
      </c>
      <c r="G3812">
        <v>199.004</v>
      </c>
      <c r="H3812" s="1">
        <v>38206</v>
      </c>
      <c r="I3812" s="1">
        <v>38208</v>
      </c>
      <c r="J3812" t="s">
        <v>15</v>
      </c>
      <c r="K3812">
        <v>0</v>
      </c>
      <c r="L3812">
        <v>15000</v>
      </c>
      <c r="M3812" t="s">
        <v>16</v>
      </c>
      <c r="N3812">
        <v>1</v>
      </c>
    </row>
    <row r="3813" hidden="1" spans="1:14">
      <c r="A3813">
        <v>2603</v>
      </c>
      <c r="B3813">
        <v>0</v>
      </c>
      <c r="C3813" t="s">
        <v>192</v>
      </c>
      <c r="D3813">
        <v>0</v>
      </c>
      <c r="E3813">
        <v>21.974</v>
      </c>
      <c r="F3813">
        <v>-33.62</v>
      </c>
      <c r="G3813">
        <v>44767.86</v>
      </c>
      <c r="H3813" s="1">
        <v>38343</v>
      </c>
      <c r="I3813" s="1">
        <v>38345</v>
      </c>
      <c r="J3813" t="s">
        <v>15</v>
      </c>
      <c r="K3813">
        <v>0</v>
      </c>
      <c r="L3813">
        <v>0</v>
      </c>
      <c r="M3813" t="s">
        <v>16</v>
      </c>
      <c r="N3813">
        <v>1</v>
      </c>
    </row>
    <row r="3814" hidden="1" spans="1:14">
      <c r="A3814">
        <v>2825</v>
      </c>
      <c r="B3814">
        <v>0</v>
      </c>
      <c r="C3814" t="s">
        <v>192</v>
      </c>
      <c r="D3814">
        <v>0</v>
      </c>
      <c r="E3814">
        <v>24.8268</v>
      </c>
      <c r="F3814">
        <v>-27.4397</v>
      </c>
      <c r="G3814">
        <v>2497.43</v>
      </c>
      <c r="H3814" s="1">
        <v>38802</v>
      </c>
      <c r="I3814" s="1">
        <v>38806</v>
      </c>
      <c r="J3814" t="s">
        <v>15</v>
      </c>
      <c r="K3814">
        <v>6</v>
      </c>
      <c r="L3814">
        <v>4160</v>
      </c>
      <c r="M3814" t="s">
        <v>16</v>
      </c>
      <c r="N3814">
        <v>1</v>
      </c>
    </row>
    <row r="3815" hidden="1" spans="1:14">
      <c r="A3815">
        <v>2942</v>
      </c>
      <c r="B3815">
        <v>0</v>
      </c>
      <c r="C3815" t="s">
        <v>192</v>
      </c>
      <c r="D3815">
        <v>0</v>
      </c>
      <c r="E3815">
        <v>26.2945</v>
      </c>
      <c r="F3815">
        <v>-33.5378</v>
      </c>
      <c r="G3815">
        <v>21839.56</v>
      </c>
      <c r="H3815" s="1">
        <v>38931</v>
      </c>
      <c r="I3815" s="1">
        <v>38933</v>
      </c>
      <c r="J3815" t="s">
        <v>15</v>
      </c>
      <c r="K3815">
        <v>6</v>
      </c>
      <c r="L3815">
        <v>3000</v>
      </c>
      <c r="M3815" t="s">
        <v>16</v>
      </c>
      <c r="N3815">
        <v>1</v>
      </c>
    </row>
    <row r="3816" hidden="1" spans="1:14">
      <c r="A3816">
        <v>3033</v>
      </c>
      <c r="B3816">
        <v>0</v>
      </c>
      <c r="C3816" t="s">
        <v>192</v>
      </c>
      <c r="D3816">
        <v>0</v>
      </c>
      <c r="E3816">
        <v>28.2594</v>
      </c>
      <c r="F3816">
        <v>-31.8106</v>
      </c>
      <c r="G3816">
        <v>43137</v>
      </c>
      <c r="H3816" s="1">
        <v>39144</v>
      </c>
      <c r="I3816" s="1">
        <v>39146</v>
      </c>
      <c r="J3816" t="s">
        <v>15</v>
      </c>
      <c r="K3816">
        <v>5</v>
      </c>
      <c r="L3816">
        <v>0</v>
      </c>
      <c r="M3816" t="s">
        <v>16</v>
      </c>
      <c r="N3816">
        <v>1</v>
      </c>
    </row>
    <row r="3817" hidden="1" spans="1:14">
      <c r="A3817">
        <v>3098</v>
      </c>
      <c r="B3817">
        <v>0</v>
      </c>
      <c r="C3817" t="s">
        <v>192</v>
      </c>
      <c r="D3817">
        <v>0</v>
      </c>
      <c r="E3817">
        <v>18.5781</v>
      </c>
      <c r="F3817">
        <v>-33.3273</v>
      </c>
      <c r="G3817">
        <v>9088.14</v>
      </c>
      <c r="H3817" s="1">
        <v>39240</v>
      </c>
      <c r="I3817" s="1">
        <v>39249</v>
      </c>
      <c r="J3817" t="s">
        <v>15</v>
      </c>
      <c r="K3817">
        <v>0</v>
      </c>
      <c r="L3817">
        <v>6000</v>
      </c>
      <c r="M3817" t="s">
        <v>16</v>
      </c>
      <c r="N3817">
        <v>1.5</v>
      </c>
    </row>
    <row r="3818" hidden="1" spans="1:14">
      <c r="A3818">
        <v>3144</v>
      </c>
      <c r="B3818">
        <v>0</v>
      </c>
      <c r="C3818" t="s">
        <v>192</v>
      </c>
      <c r="D3818">
        <v>0</v>
      </c>
      <c r="E3818">
        <v>19.5753</v>
      </c>
      <c r="F3818">
        <v>-34.0906</v>
      </c>
      <c r="G3818">
        <v>20096.5</v>
      </c>
      <c r="H3818" s="1">
        <v>39290</v>
      </c>
      <c r="I3818" s="1">
        <v>39296</v>
      </c>
      <c r="J3818" t="s">
        <v>15</v>
      </c>
      <c r="K3818">
        <v>0</v>
      </c>
      <c r="L3818">
        <v>38000</v>
      </c>
      <c r="M3818" t="s">
        <v>16</v>
      </c>
      <c r="N3818">
        <v>1</v>
      </c>
    </row>
    <row r="3819" hidden="1" spans="1:14">
      <c r="A3819">
        <v>3231</v>
      </c>
      <c r="B3819">
        <v>0</v>
      </c>
      <c r="C3819" t="s">
        <v>192</v>
      </c>
      <c r="D3819">
        <v>0</v>
      </c>
      <c r="E3819">
        <v>21.7858</v>
      </c>
      <c r="F3819">
        <v>-34.03</v>
      </c>
      <c r="G3819">
        <v>33387</v>
      </c>
      <c r="H3819" s="1">
        <v>39407</v>
      </c>
      <c r="I3819" s="1">
        <v>39414</v>
      </c>
      <c r="J3819" t="s">
        <v>15</v>
      </c>
      <c r="K3819">
        <v>2</v>
      </c>
      <c r="L3819">
        <v>1500</v>
      </c>
      <c r="M3819" t="s">
        <v>16</v>
      </c>
      <c r="N3819">
        <v>1</v>
      </c>
    </row>
    <row r="3820" hidden="1" spans="1:14">
      <c r="A3820">
        <v>3260</v>
      </c>
      <c r="B3820">
        <v>0</v>
      </c>
      <c r="C3820" t="s">
        <v>192</v>
      </c>
      <c r="D3820">
        <v>0</v>
      </c>
      <c r="E3820">
        <v>30.6784</v>
      </c>
      <c r="F3820">
        <v>-24.1258</v>
      </c>
      <c r="G3820">
        <v>72005.68</v>
      </c>
      <c r="H3820" s="1">
        <v>39471</v>
      </c>
      <c r="I3820" s="1">
        <v>39479</v>
      </c>
      <c r="J3820" t="s">
        <v>15</v>
      </c>
      <c r="K3820">
        <v>1</v>
      </c>
      <c r="L3820">
        <v>1200</v>
      </c>
      <c r="M3820" t="s">
        <v>16</v>
      </c>
      <c r="N3820">
        <v>1</v>
      </c>
    </row>
    <row r="3821" hidden="1" spans="1:14">
      <c r="A3821">
        <v>3323</v>
      </c>
      <c r="B3821" t="s">
        <v>934</v>
      </c>
      <c r="C3821" t="s">
        <v>192</v>
      </c>
      <c r="D3821">
        <v>0</v>
      </c>
      <c r="E3821">
        <v>29.8704</v>
      </c>
      <c r="F3821">
        <v>-30.9129</v>
      </c>
      <c r="G3821">
        <v>47128.08</v>
      </c>
      <c r="H3821" s="1">
        <v>39618</v>
      </c>
      <c r="I3821" s="1">
        <v>39621</v>
      </c>
      <c r="J3821" t="s">
        <v>15</v>
      </c>
      <c r="K3821">
        <v>0</v>
      </c>
      <c r="L3821">
        <v>4000</v>
      </c>
      <c r="M3821" t="s">
        <v>49</v>
      </c>
      <c r="N3821">
        <v>1.5</v>
      </c>
    </row>
    <row r="3822" hidden="1" spans="1:14">
      <c r="A3822">
        <v>3328</v>
      </c>
      <c r="B3822">
        <v>0</v>
      </c>
      <c r="C3822" t="s">
        <v>192</v>
      </c>
      <c r="D3822">
        <v>0</v>
      </c>
      <c r="E3822">
        <v>18.7426</v>
      </c>
      <c r="F3822">
        <v>-33.1298</v>
      </c>
      <c r="G3822">
        <v>21016.71</v>
      </c>
      <c r="H3822" s="1">
        <v>39633</v>
      </c>
      <c r="I3822" s="1">
        <v>39636</v>
      </c>
      <c r="J3822" t="s">
        <v>15</v>
      </c>
      <c r="K3822">
        <v>0</v>
      </c>
      <c r="L3822">
        <v>2000</v>
      </c>
      <c r="M3822" t="s">
        <v>49</v>
      </c>
      <c r="N3822">
        <v>1</v>
      </c>
    </row>
    <row r="3823" hidden="1" spans="1:14">
      <c r="A3823">
        <v>3405</v>
      </c>
      <c r="B3823">
        <v>0</v>
      </c>
      <c r="C3823" t="s">
        <v>192</v>
      </c>
      <c r="D3823">
        <v>0</v>
      </c>
      <c r="E3823">
        <v>20.9035</v>
      </c>
      <c r="F3823">
        <v>-33.0119</v>
      </c>
      <c r="G3823">
        <v>76453.89</v>
      </c>
      <c r="H3823" s="1">
        <v>39764</v>
      </c>
      <c r="I3823" s="1">
        <v>39769</v>
      </c>
      <c r="J3823" t="s">
        <v>15</v>
      </c>
      <c r="K3823">
        <v>0</v>
      </c>
      <c r="L3823">
        <v>100</v>
      </c>
      <c r="M3823" t="s">
        <v>49</v>
      </c>
      <c r="N3823">
        <v>1</v>
      </c>
    </row>
    <row r="3824" hidden="1" spans="1:14">
      <c r="A3824">
        <v>3459</v>
      </c>
      <c r="B3824">
        <v>0</v>
      </c>
      <c r="C3824" t="s">
        <v>192</v>
      </c>
      <c r="D3824">
        <v>0</v>
      </c>
      <c r="E3824">
        <v>30.8028</v>
      </c>
      <c r="F3824">
        <v>-29.4144</v>
      </c>
      <c r="G3824">
        <v>56344.38</v>
      </c>
      <c r="H3824" s="1">
        <v>39867</v>
      </c>
      <c r="I3824" s="1">
        <v>39881</v>
      </c>
      <c r="J3824" t="s">
        <v>15</v>
      </c>
      <c r="K3824">
        <v>1</v>
      </c>
      <c r="L3824">
        <v>20000</v>
      </c>
      <c r="M3824" t="s">
        <v>49</v>
      </c>
      <c r="N3824">
        <v>1.5</v>
      </c>
    </row>
    <row r="3825" hidden="1" spans="1:14">
      <c r="A3825">
        <v>3503</v>
      </c>
      <c r="B3825" t="s">
        <v>935</v>
      </c>
      <c r="C3825" t="s">
        <v>192</v>
      </c>
      <c r="D3825">
        <v>0</v>
      </c>
      <c r="E3825">
        <v>18.9236</v>
      </c>
      <c r="F3825">
        <v>-33.068</v>
      </c>
      <c r="G3825">
        <v>32700.21</v>
      </c>
      <c r="H3825" s="1">
        <v>40006</v>
      </c>
      <c r="I3825" s="1">
        <v>40010</v>
      </c>
      <c r="J3825">
        <v>0</v>
      </c>
      <c r="K3825">
        <v>11</v>
      </c>
      <c r="L3825">
        <v>20000</v>
      </c>
      <c r="M3825" t="s">
        <v>49</v>
      </c>
      <c r="N3825">
        <v>1</v>
      </c>
    </row>
    <row r="3826" hidden="1" spans="1:14">
      <c r="A3826">
        <v>3599</v>
      </c>
      <c r="B3826">
        <v>0</v>
      </c>
      <c r="C3826" t="s">
        <v>192</v>
      </c>
      <c r="D3826">
        <v>0</v>
      </c>
      <c r="E3826">
        <v>28.6962</v>
      </c>
      <c r="F3826">
        <v>-24.746</v>
      </c>
      <c r="G3826">
        <v>87777.03</v>
      </c>
      <c r="H3826" s="1">
        <v>40205</v>
      </c>
      <c r="I3826" s="1">
        <v>40207</v>
      </c>
      <c r="J3826">
        <v>0</v>
      </c>
      <c r="K3826">
        <v>0</v>
      </c>
      <c r="L3826">
        <v>1400</v>
      </c>
      <c r="M3826" t="s">
        <v>49</v>
      </c>
      <c r="N3826">
        <v>1</v>
      </c>
    </row>
    <row r="3827" hidden="1" spans="1:14">
      <c r="A3827">
        <v>3767</v>
      </c>
      <c r="B3827" t="s">
        <v>936</v>
      </c>
      <c r="C3827" t="s">
        <v>192</v>
      </c>
      <c r="D3827" t="s">
        <v>631</v>
      </c>
      <c r="E3827">
        <v>28.407</v>
      </c>
      <c r="F3827">
        <v>-31.0553</v>
      </c>
      <c r="G3827">
        <v>134636.07</v>
      </c>
      <c r="H3827" s="1">
        <v>40544</v>
      </c>
      <c r="I3827" s="1">
        <v>40578</v>
      </c>
      <c r="J3827" t="s">
        <v>15</v>
      </c>
      <c r="K3827">
        <v>50</v>
      </c>
      <c r="L3827">
        <v>300</v>
      </c>
      <c r="M3827" t="s">
        <v>49</v>
      </c>
      <c r="N3827">
        <v>1.5</v>
      </c>
    </row>
    <row r="3828" hidden="1" spans="1:14">
      <c r="A3828">
        <v>3880</v>
      </c>
      <c r="C3828" t="s">
        <v>192</v>
      </c>
      <c r="E3828">
        <v>30.0606</v>
      </c>
      <c r="F3828">
        <v>-29.2084</v>
      </c>
      <c r="G3828">
        <v>15384.57</v>
      </c>
      <c r="H3828" s="1">
        <v>40874</v>
      </c>
      <c r="I3828" s="1">
        <v>40879</v>
      </c>
      <c r="J3828" t="s">
        <v>15</v>
      </c>
      <c r="K3828">
        <v>6</v>
      </c>
      <c r="L3828">
        <v>0</v>
      </c>
      <c r="M3828" t="s">
        <v>52</v>
      </c>
      <c r="N3828">
        <v>1.5</v>
      </c>
    </row>
    <row r="3829" hidden="1" spans="1:14">
      <c r="A3829">
        <v>3999</v>
      </c>
      <c r="C3829" t="s">
        <v>192</v>
      </c>
      <c r="E3829">
        <v>26.5615</v>
      </c>
      <c r="F3829">
        <v>-32.9367</v>
      </c>
      <c r="G3829">
        <v>14489.12</v>
      </c>
      <c r="H3829" s="1">
        <v>41206</v>
      </c>
      <c r="I3829" s="1">
        <v>41211</v>
      </c>
      <c r="J3829" t="s">
        <v>15</v>
      </c>
      <c r="K3829">
        <v>12</v>
      </c>
      <c r="L3829">
        <v>0</v>
      </c>
      <c r="M3829" t="s">
        <v>49</v>
      </c>
      <c r="N3829">
        <v>1.5</v>
      </c>
    </row>
    <row r="3830" hidden="1" spans="1:14">
      <c r="A3830">
        <v>4011</v>
      </c>
      <c r="C3830" t="s">
        <v>192</v>
      </c>
      <c r="E3830">
        <v>30.1336</v>
      </c>
      <c r="F3830">
        <v>-30.568</v>
      </c>
      <c r="G3830">
        <v>21010.51</v>
      </c>
      <c r="H3830" s="1">
        <v>41254</v>
      </c>
      <c r="I3830" s="1">
        <v>41256</v>
      </c>
      <c r="J3830" t="s">
        <v>15</v>
      </c>
      <c r="K3830">
        <v>3</v>
      </c>
      <c r="L3830">
        <v>10</v>
      </c>
      <c r="M3830" t="s">
        <v>49</v>
      </c>
      <c r="N3830">
        <v>1</v>
      </c>
    </row>
    <row r="3831" hidden="1" spans="1:14">
      <c r="A3831">
        <v>4131</v>
      </c>
      <c r="B3831" t="s">
        <v>937</v>
      </c>
      <c r="C3831" t="s">
        <v>192</v>
      </c>
      <c r="D3831" t="s">
        <v>80</v>
      </c>
      <c r="E3831">
        <v>25.6074</v>
      </c>
      <c r="F3831">
        <v>-21.5153</v>
      </c>
      <c r="G3831">
        <v>1037639.19</v>
      </c>
      <c r="H3831" s="1">
        <v>41699</v>
      </c>
      <c r="I3831" s="1">
        <v>41728</v>
      </c>
      <c r="J3831" t="s">
        <v>15</v>
      </c>
      <c r="K3831">
        <v>37</v>
      </c>
      <c r="L3831">
        <v>3528</v>
      </c>
      <c r="M3831" t="s">
        <v>49</v>
      </c>
      <c r="N3831">
        <v>1.5</v>
      </c>
    </row>
    <row r="3832" hidden="1" spans="1:14">
      <c r="A3832">
        <v>4381</v>
      </c>
      <c r="C3832" t="s">
        <v>192</v>
      </c>
      <c r="E3832">
        <v>32.2882</v>
      </c>
      <c r="F3832">
        <v>-27.595</v>
      </c>
      <c r="G3832">
        <v>22841.14</v>
      </c>
      <c r="H3832" s="1">
        <v>42576</v>
      </c>
      <c r="I3832" s="1">
        <v>42585</v>
      </c>
      <c r="J3832" t="s">
        <v>15</v>
      </c>
      <c r="K3832">
        <v>7</v>
      </c>
      <c r="L3832">
        <v>0</v>
      </c>
      <c r="M3832" t="s">
        <v>49</v>
      </c>
      <c r="N3832">
        <v>1</v>
      </c>
    </row>
    <row r="3833" hidden="1" spans="1:14">
      <c r="A3833">
        <v>4446</v>
      </c>
      <c r="B3833" t="s">
        <v>938</v>
      </c>
      <c r="C3833" t="s">
        <v>192</v>
      </c>
      <c r="E3833">
        <v>30.5561</v>
      </c>
      <c r="F3833">
        <v>-27.2717</v>
      </c>
      <c r="G3833">
        <v>226179.81</v>
      </c>
      <c r="H3833" s="1">
        <v>42783</v>
      </c>
      <c r="I3833" s="1">
        <v>42797</v>
      </c>
      <c r="J3833" t="s">
        <v>15</v>
      </c>
      <c r="K3833">
        <v>3</v>
      </c>
      <c r="L3833">
        <v>0</v>
      </c>
      <c r="M3833" t="s">
        <v>939</v>
      </c>
      <c r="N3833">
        <v>1</v>
      </c>
    </row>
    <row r="3834" hidden="1" spans="1:14">
      <c r="A3834">
        <v>4476</v>
      </c>
      <c r="C3834" t="s">
        <v>192</v>
      </c>
      <c r="E3834">
        <v>29.7149</v>
      </c>
      <c r="F3834">
        <v>-28.3624</v>
      </c>
      <c r="G3834">
        <v>213686.92</v>
      </c>
      <c r="H3834" s="1">
        <v>42869</v>
      </c>
      <c r="I3834" s="1">
        <v>42874</v>
      </c>
      <c r="J3834" t="s">
        <v>15</v>
      </c>
      <c r="K3834">
        <v>1</v>
      </c>
      <c r="L3834">
        <v>300</v>
      </c>
      <c r="M3834" t="s">
        <v>52</v>
      </c>
      <c r="N3834">
        <v>1</v>
      </c>
    </row>
    <row r="3835" hidden="1" spans="1:14">
      <c r="A3835">
        <v>4530</v>
      </c>
      <c r="C3835" t="s">
        <v>192</v>
      </c>
      <c r="E3835">
        <v>30.4719</v>
      </c>
      <c r="F3835">
        <v>-29.8996</v>
      </c>
      <c r="G3835">
        <v>13534.74</v>
      </c>
      <c r="H3835" s="1">
        <v>42987</v>
      </c>
      <c r="I3835" s="1">
        <v>42990</v>
      </c>
      <c r="J3835" t="s">
        <v>15</v>
      </c>
      <c r="K3835">
        <v>8</v>
      </c>
      <c r="L3835">
        <v>0</v>
      </c>
      <c r="M3835" t="s">
        <v>52</v>
      </c>
      <c r="N3835">
        <v>1</v>
      </c>
    </row>
    <row r="3836" hidden="1" spans="1:14">
      <c r="A3836">
        <v>4588</v>
      </c>
      <c r="C3836" t="s">
        <v>192</v>
      </c>
      <c r="E3836">
        <v>28.6261</v>
      </c>
      <c r="F3836">
        <v>-25.8323</v>
      </c>
      <c r="G3836">
        <v>57945.45</v>
      </c>
      <c r="H3836" s="1">
        <v>43181</v>
      </c>
      <c r="I3836" s="1">
        <v>43183</v>
      </c>
      <c r="J3836" t="s">
        <v>58</v>
      </c>
      <c r="K3836">
        <v>0</v>
      </c>
      <c r="L3836">
        <v>0</v>
      </c>
      <c r="M3836" t="s">
        <v>52</v>
      </c>
      <c r="N3836">
        <v>1.5</v>
      </c>
    </row>
    <row r="3837" hidden="1" spans="1:14">
      <c r="A3837">
        <v>4732</v>
      </c>
      <c r="C3837" t="s">
        <v>192</v>
      </c>
      <c r="E3837">
        <v>30.0489</v>
      </c>
      <c r="F3837">
        <v>-30.6556</v>
      </c>
      <c r="G3837">
        <v>11617.23</v>
      </c>
      <c r="H3837" s="1">
        <v>43536</v>
      </c>
      <c r="I3837" s="1">
        <v>43539</v>
      </c>
      <c r="J3837" t="s">
        <v>56</v>
      </c>
      <c r="K3837">
        <v>3</v>
      </c>
      <c r="L3837">
        <v>0</v>
      </c>
      <c r="M3837" t="s">
        <v>52</v>
      </c>
      <c r="N3837">
        <v>1</v>
      </c>
    </row>
    <row r="3838" hidden="1" spans="1:14">
      <c r="A3838">
        <v>4741</v>
      </c>
      <c r="C3838" t="s">
        <v>192</v>
      </c>
      <c r="E3838">
        <v>29.2695</v>
      </c>
      <c r="F3838">
        <v>-27.0231</v>
      </c>
      <c r="G3838">
        <v>331714.49</v>
      </c>
      <c r="H3838" s="1">
        <v>43577</v>
      </c>
      <c r="I3838" s="1">
        <v>43578</v>
      </c>
      <c r="J3838" t="s">
        <v>56</v>
      </c>
      <c r="K3838">
        <v>5</v>
      </c>
      <c r="L3838">
        <v>500</v>
      </c>
      <c r="M3838" t="s">
        <v>52</v>
      </c>
      <c r="N3838">
        <v>1.5</v>
      </c>
    </row>
    <row r="3839" hidden="1" spans="1:14">
      <c r="A3839">
        <v>4849</v>
      </c>
      <c r="C3839" t="s">
        <v>192</v>
      </c>
      <c r="E3839">
        <v>28.0818</v>
      </c>
      <c r="F3839">
        <v>-26.6255</v>
      </c>
      <c r="G3839">
        <v>52857.06</v>
      </c>
      <c r="H3839" s="1">
        <v>43807</v>
      </c>
      <c r="I3839" s="1">
        <v>43811</v>
      </c>
      <c r="J3839" t="s">
        <v>56</v>
      </c>
      <c r="K3839">
        <v>1</v>
      </c>
      <c r="L3839">
        <v>300</v>
      </c>
      <c r="M3839" t="s">
        <v>16</v>
      </c>
      <c r="N3839">
        <v>1.5</v>
      </c>
    </row>
    <row r="3840" hidden="1" spans="1:14">
      <c r="A3840">
        <v>4985</v>
      </c>
      <c r="C3840" t="s">
        <v>192</v>
      </c>
      <c r="E3840">
        <v>27.6859</v>
      </c>
      <c r="F3840">
        <v>-27.1213</v>
      </c>
      <c r="G3840">
        <v>147185.46</v>
      </c>
      <c r="H3840" s="1">
        <v>44155</v>
      </c>
      <c r="I3840" s="1">
        <v>44158</v>
      </c>
      <c r="J3840" t="s">
        <v>56</v>
      </c>
      <c r="K3840">
        <v>4</v>
      </c>
      <c r="L3840">
        <v>0</v>
      </c>
      <c r="M3840" t="s">
        <v>52</v>
      </c>
      <c r="N3840">
        <v>1.5</v>
      </c>
    </row>
    <row r="3841" hidden="1" spans="1:14">
      <c r="A3841">
        <v>5024</v>
      </c>
      <c r="C3841" t="s">
        <v>192</v>
      </c>
      <c r="E3841">
        <v>29.121</v>
      </c>
      <c r="F3841">
        <v>-24.0477</v>
      </c>
      <c r="G3841">
        <v>120665.48</v>
      </c>
      <c r="H3841" s="1">
        <v>44241</v>
      </c>
      <c r="I3841" s="1">
        <v>44251</v>
      </c>
      <c r="J3841" t="s">
        <v>56</v>
      </c>
      <c r="K3841">
        <v>30</v>
      </c>
      <c r="L3841">
        <v>0</v>
      </c>
      <c r="M3841" t="s">
        <v>49</v>
      </c>
      <c r="N3841">
        <v>1.5</v>
      </c>
    </row>
    <row r="3842" hidden="1" spans="1:14">
      <c r="A3842">
        <v>5064</v>
      </c>
      <c r="C3842" t="s">
        <v>192</v>
      </c>
      <c r="E3842">
        <v>20.8567</v>
      </c>
      <c r="F3842">
        <v>-33.8857</v>
      </c>
      <c r="G3842">
        <v>40795.73</v>
      </c>
      <c r="H3842" s="1">
        <v>44320</v>
      </c>
      <c r="I3842" s="1">
        <v>44325</v>
      </c>
      <c r="J3842" t="s">
        <v>56</v>
      </c>
      <c r="K3842">
        <v>2</v>
      </c>
      <c r="L3842">
        <v>50</v>
      </c>
      <c r="M3842" t="s">
        <v>49</v>
      </c>
      <c r="N3842">
        <v>1</v>
      </c>
    </row>
    <row r="3843" hidden="1" spans="1:14">
      <c r="A3843">
        <v>151</v>
      </c>
      <c r="B3843">
        <v>0</v>
      </c>
      <c r="C3843" t="s">
        <v>940</v>
      </c>
      <c r="D3843">
        <v>0</v>
      </c>
      <c r="E3843">
        <v>30.7003</v>
      </c>
      <c r="F3843">
        <v>-29.0897</v>
      </c>
      <c r="G3843">
        <v>92666.52</v>
      </c>
      <c r="H3843" s="1">
        <v>32046</v>
      </c>
      <c r="I3843" s="1">
        <v>32052</v>
      </c>
      <c r="J3843" t="s">
        <v>15</v>
      </c>
      <c r="K3843">
        <v>300</v>
      </c>
      <c r="L3843">
        <v>60000</v>
      </c>
      <c r="M3843" t="s">
        <v>16</v>
      </c>
      <c r="N3843">
        <v>1</v>
      </c>
    </row>
    <row r="3844" hidden="1" spans="1:14">
      <c r="A3844">
        <v>168</v>
      </c>
      <c r="B3844">
        <v>0</v>
      </c>
      <c r="C3844" t="s">
        <v>940</v>
      </c>
      <c r="D3844">
        <v>0</v>
      </c>
      <c r="E3844">
        <v>24.3587</v>
      </c>
      <c r="F3844">
        <v>-28.8429</v>
      </c>
      <c r="G3844">
        <v>50999.8</v>
      </c>
      <c r="H3844" s="1">
        <v>32183</v>
      </c>
      <c r="I3844" s="1">
        <v>32204</v>
      </c>
      <c r="J3844" t="s">
        <v>15</v>
      </c>
      <c r="K3844">
        <v>24</v>
      </c>
      <c r="L3844">
        <v>10000</v>
      </c>
      <c r="M3844" t="s">
        <v>16</v>
      </c>
      <c r="N3844">
        <v>1</v>
      </c>
    </row>
    <row r="3845" hidden="1" spans="1:14">
      <c r="A3845">
        <v>790</v>
      </c>
      <c r="B3845">
        <v>0</v>
      </c>
      <c r="C3845" t="s">
        <v>940</v>
      </c>
      <c r="D3845">
        <v>0</v>
      </c>
      <c r="E3845">
        <v>31.8594</v>
      </c>
      <c r="F3845">
        <v>-28.2598</v>
      </c>
      <c r="G3845">
        <v>5895.3</v>
      </c>
      <c r="H3845" s="1">
        <v>34248</v>
      </c>
      <c r="I3845" s="1">
        <v>34250</v>
      </c>
      <c r="J3845" t="s">
        <v>15</v>
      </c>
      <c r="K3845">
        <v>12</v>
      </c>
      <c r="L3845">
        <v>300</v>
      </c>
      <c r="M3845" t="s">
        <v>16</v>
      </c>
      <c r="N3845">
        <v>1</v>
      </c>
    </row>
    <row r="3846" hidden="1" spans="1:14">
      <c r="A3846">
        <v>1670</v>
      </c>
      <c r="B3846">
        <v>0</v>
      </c>
      <c r="C3846" t="s">
        <v>940</v>
      </c>
      <c r="D3846">
        <v>0</v>
      </c>
      <c r="E3846">
        <v>31.9504</v>
      </c>
      <c r="F3846">
        <v>-27.9422</v>
      </c>
      <c r="G3846">
        <v>25654.42</v>
      </c>
      <c r="H3846" s="1">
        <v>36849</v>
      </c>
      <c r="I3846" s="1">
        <v>36853</v>
      </c>
      <c r="J3846" t="s">
        <v>15</v>
      </c>
      <c r="K3846">
        <v>3</v>
      </c>
      <c r="L3846">
        <v>3000</v>
      </c>
      <c r="M3846" t="s">
        <v>18</v>
      </c>
      <c r="N3846">
        <v>1</v>
      </c>
    </row>
    <row r="3847" hidden="1" spans="1:14">
      <c r="A3847">
        <v>1782</v>
      </c>
      <c r="B3847">
        <v>0</v>
      </c>
      <c r="C3847" t="s">
        <v>940</v>
      </c>
      <c r="D3847">
        <v>0</v>
      </c>
      <c r="E3847">
        <v>18.6043</v>
      </c>
      <c r="F3847">
        <v>-33.8547</v>
      </c>
      <c r="G3847">
        <v>1280.11</v>
      </c>
      <c r="H3847" s="1">
        <v>37120</v>
      </c>
      <c r="I3847" s="1">
        <v>37137</v>
      </c>
      <c r="J3847" t="s">
        <v>15</v>
      </c>
      <c r="K3847">
        <v>0</v>
      </c>
      <c r="L3847">
        <v>15000</v>
      </c>
      <c r="M3847" t="s">
        <v>16</v>
      </c>
      <c r="N3847">
        <v>2</v>
      </c>
    </row>
    <row r="3848" hidden="1" spans="1:14">
      <c r="A3848">
        <v>1835</v>
      </c>
      <c r="B3848">
        <v>0</v>
      </c>
      <c r="C3848" t="s">
        <v>940</v>
      </c>
      <c r="D3848">
        <v>0</v>
      </c>
      <c r="E3848">
        <v>30.242</v>
      </c>
      <c r="F3848">
        <v>-26.2199</v>
      </c>
      <c r="G3848">
        <v>1935.25</v>
      </c>
      <c r="H3848" s="1">
        <v>37236</v>
      </c>
      <c r="I3848" s="1">
        <v>37237</v>
      </c>
      <c r="J3848" t="s">
        <v>15</v>
      </c>
      <c r="K3848">
        <v>5</v>
      </c>
      <c r="L3848">
        <v>100</v>
      </c>
      <c r="M3848" t="s">
        <v>16</v>
      </c>
      <c r="N3848">
        <v>1</v>
      </c>
    </row>
    <row r="3849" hidden="1" spans="1:14">
      <c r="A3849">
        <v>1843</v>
      </c>
      <c r="B3849">
        <v>0</v>
      </c>
      <c r="C3849" t="s">
        <v>940</v>
      </c>
      <c r="D3849">
        <v>0</v>
      </c>
      <c r="E3849">
        <v>29.8323</v>
      </c>
      <c r="F3849">
        <v>-28.5644</v>
      </c>
      <c r="G3849">
        <v>752.424</v>
      </c>
      <c r="H3849" s="1">
        <v>37244</v>
      </c>
      <c r="I3849" s="1">
        <v>37247</v>
      </c>
      <c r="J3849" t="s">
        <v>15</v>
      </c>
      <c r="K3849">
        <v>3</v>
      </c>
      <c r="L3849">
        <v>300</v>
      </c>
      <c r="M3849" t="s">
        <v>18</v>
      </c>
      <c r="N3849">
        <v>1</v>
      </c>
    </row>
    <row r="3850" hidden="1" spans="1:14">
      <c r="A3850">
        <v>333</v>
      </c>
      <c r="B3850">
        <v>0</v>
      </c>
      <c r="C3850" t="s">
        <v>571</v>
      </c>
      <c r="D3850">
        <v>0</v>
      </c>
      <c r="E3850">
        <v>127.23</v>
      </c>
      <c r="F3850">
        <v>37.5052</v>
      </c>
      <c r="G3850">
        <v>5881.9</v>
      </c>
      <c r="H3850" s="1">
        <v>32714</v>
      </c>
      <c r="I3850" s="1">
        <v>32718</v>
      </c>
      <c r="J3850" t="s">
        <v>15</v>
      </c>
      <c r="K3850">
        <v>131</v>
      </c>
      <c r="L3850">
        <v>1200000</v>
      </c>
      <c r="M3850" t="s">
        <v>86</v>
      </c>
      <c r="N3850">
        <v>1</v>
      </c>
    </row>
    <row r="3851" hidden="1" spans="1:14">
      <c r="A3851">
        <v>340</v>
      </c>
      <c r="B3851">
        <v>0</v>
      </c>
      <c r="C3851" t="s">
        <v>571</v>
      </c>
      <c r="D3851">
        <v>0</v>
      </c>
      <c r="E3851">
        <v>128.994</v>
      </c>
      <c r="F3851">
        <v>35.2449</v>
      </c>
      <c r="G3851">
        <v>1067.67</v>
      </c>
      <c r="H3851" s="1">
        <v>32717</v>
      </c>
      <c r="I3851" s="1">
        <v>32720</v>
      </c>
      <c r="J3851" t="s">
        <v>15</v>
      </c>
      <c r="K3851">
        <v>21</v>
      </c>
      <c r="L3851">
        <v>40000</v>
      </c>
      <c r="M3851" t="s">
        <v>86</v>
      </c>
      <c r="N3851">
        <v>1</v>
      </c>
    </row>
    <row r="3852" hidden="1" spans="1:14">
      <c r="A3852">
        <v>458</v>
      </c>
      <c r="B3852">
        <v>0</v>
      </c>
      <c r="C3852" t="s">
        <v>571</v>
      </c>
      <c r="D3852">
        <v>0</v>
      </c>
      <c r="E3852">
        <v>127.143</v>
      </c>
      <c r="F3852">
        <v>37.5841</v>
      </c>
      <c r="G3852">
        <v>10436.15</v>
      </c>
      <c r="H3852" s="1">
        <v>33127</v>
      </c>
      <c r="I3852" s="1">
        <v>33130</v>
      </c>
      <c r="J3852" t="s">
        <v>15</v>
      </c>
      <c r="K3852">
        <v>114</v>
      </c>
      <c r="L3852">
        <v>160000</v>
      </c>
      <c r="M3852" t="s">
        <v>16</v>
      </c>
      <c r="N3852">
        <v>2</v>
      </c>
    </row>
    <row r="3853" hidden="1" spans="1:14">
      <c r="A3853">
        <v>515</v>
      </c>
      <c r="B3853">
        <v>0</v>
      </c>
      <c r="C3853" t="s">
        <v>571</v>
      </c>
      <c r="D3853">
        <v>0</v>
      </c>
      <c r="E3853">
        <v>127.408</v>
      </c>
      <c r="F3853">
        <v>36.5907</v>
      </c>
      <c r="G3853">
        <v>15994.5</v>
      </c>
      <c r="H3853" s="1">
        <v>33383</v>
      </c>
      <c r="I3853" s="1">
        <v>33385</v>
      </c>
      <c r="J3853" t="s">
        <v>15</v>
      </c>
      <c r="K3853">
        <v>0</v>
      </c>
      <c r="L3853">
        <v>0</v>
      </c>
      <c r="M3853" t="s">
        <v>16</v>
      </c>
      <c r="N3853">
        <v>1</v>
      </c>
    </row>
    <row r="3854" hidden="1" spans="1:14">
      <c r="A3854">
        <v>546</v>
      </c>
      <c r="B3854">
        <v>0</v>
      </c>
      <c r="C3854" t="s">
        <v>571</v>
      </c>
      <c r="D3854">
        <v>0</v>
      </c>
      <c r="E3854">
        <v>127.561</v>
      </c>
      <c r="F3854">
        <v>37.1727</v>
      </c>
      <c r="G3854">
        <v>21908</v>
      </c>
      <c r="H3854" s="1">
        <v>33441</v>
      </c>
      <c r="I3854" s="1">
        <v>33445</v>
      </c>
      <c r="J3854" t="s">
        <v>15</v>
      </c>
      <c r="K3854">
        <v>54</v>
      </c>
      <c r="L3854">
        <v>3600</v>
      </c>
      <c r="M3854" t="s">
        <v>16</v>
      </c>
      <c r="N3854">
        <v>1</v>
      </c>
    </row>
    <row r="3855" hidden="1" spans="1:14">
      <c r="A3855">
        <v>891</v>
      </c>
      <c r="B3855">
        <v>0</v>
      </c>
      <c r="C3855" t="s">
        <v>571</v>
      </c>
      <c r="D3855">
        <v>0</v>
      </c>
      <c r="E3855">
        <v>127.335</v>
      </c>
      <c r="F3855">
        <v>37.0999</v>
      </c>
      <c r="G3855">
        <v>22406.24</v>
      </c>
      <c r="H3855" s="1">
        <v>34572</v>
      </c>
      <c r="I3855" s="1">
        <v>34576</v>
      </c>
      <c r="J3855" t="s">
        <v>15</v>
      </c>
      <c r="K3855">
        <v>5</v>
      </c>
      <c r="L3855">
        <v>2000</v>
      </c>
      <c r="M3855" t="s">
        <v>16</v>
      </c>
      <c r="N3855">
        <v>1</v>
      </c>
    </row>
    <row r="3856" hidden="1" spans="1:14">
      <c r="A3856">
        <v>984</v>
      </c>
      <c r="B3856">
        <v>0</v>
      </c>
      <c r="C3856" t="s">
        <v>571</v>
      </c>
      <c r="D3856">
        <v>0</v>
      </c>
      <c r="E3856">
        <v>127.674</v>
      </c>
      <c r="F3856">
        <v>37.0506</v>
      </c>
      <c r="G3856">
        <v>33972.01</v>
      </c>
      <c r="H3856" s="1">
        <v>34935</v>
      </c>
      <c r="I3856" s="1">
        <v>34938</v>
      </c>
      <c r="J3856" t="s">
        <v>15</v>
      </c>
      <c r="K3856">
        <v>53</v>
      </c>
      <c r="L3856">
        <v>16000</v>
      </c>
      <c r="M3856" t="s">
        <v>104</v>
      </c>
      <c r="N3856">
        <v>1</v>
      </c>
    </row>
    <row r="3857" hidden="1" spans="1:14">
      <c r="A3857">
        <v>1234</v>
      </c>
      <c r="B3857">
        <v>0</v>
      </c>
      <c r="C3857" t="s">
        <v>571</v>
      </c>
      <c r="D3857">
        <v>0</v>
      </c>
      <c r="E3857">
        <v>127.643</v>
      </c>
      <c r="F3857">
        <v>36.2666</v>
      </c>
      <c r="G3857">
        <v>58700.73</v>
      </c>
      <c r="H3857" s="1">
        <v>35603</v>
      </c>
      <c r="I3857" s="1">
        <v>35607</v>
      </c>
      <c r="J3857" t="s">
        <v>15</v>
      </c>
      <c r="K3857">
        <v>10</v>
      </c>
      <c r="L3857">
        <v>0</v>
      </c>
      <c r="M3857" t="s">
        <v>16</v>
      </c>
      <c r="N3857">
        <v>1</v>
      </c>
    </row>
    <row r="3858" hidden="1" spans="1:14">
      <c r="A3858">
        <v>1263</v>
      </c>
      <c r="B3858">
        <v>0</v>
      </c>
      <c r="C3858" t="s">
        <v>571</v>
      </c>
      <c r="D3858">
        <v>0</v>
      </c>
      <c r="E3858">
        <v>127.852</v>
      </c>
      <c r="F3858">
        <v>36.5943</v>
      </c>
      <c r="G3858">
        <v>11247.23</v>
      </c>
      <c r="H3858" s="1">
        <v>35609</v>
      </c>
      <c r="I3858" s="1">
        <v>35616</v>
      </c>
      <c r="J3858" t="s">
        <v>15</v>
      </c>
      <c r="K3858">
        <v>4</v>
      </c>
      <c r="L3858">
        <v>60</v>
      </c>
      <c r="M3858" t="s">
        <v>16</v>
      </c>
      <c r="N3858">
        <v>1</v>
      </c>
    </row>
    <row r="3859" hidden="1" spans="1:14">
      <c r="A3859">
        <v>1272</v>
      </c>
      <c r="B3859">
        <v>0</v>
      </c>
      <c r="C3859" t="s">
        <v>571</v>
      </c>
      <c r="D3859">
        <v>0</v>
      </c>
      <c r="E3859">
        <v>127.412</v>
      </c>
      <c r="F3859">
        <v>36.0741</v>
      </c>
      <c r="G3859">
        <v>47680.59</v>
      </c>
      <c r="H3859" s="1">
        <v>35640</v>
      </c>
      <c r="I3859" s="1">
        <v>35645</v>
      </c>
      <c r="J3859" t="s">
        <v>15</v>
      </c>
      <c r="K3859">
        <v>12</v>
      </c>
      <c r="L3859">
        <v>115</v>
      </c>
      <c r="M3859" t="s">
        <v>16</v>
      </c>
      <c r="N3859">
        <v>1</v>
      </c>
    </row>
    <row r="3860" hidden="1" spans="1:14">
      <c r="A3860">
        <v>1450</v>
      </c>
      <c r="B3860">
        <v>0</v>
      </c>
      <c r="C3860" t="s">
        <v>571</v>
      </c>
      <c r="D3860">
        <v>0</v>
      </c>
      <c r="E3860">
        <v>127.577</v>
      </c>
      <c r="F3860">
        <v>35.5953</v>
      </c>
      <c r="G3860">
        <v>39190.11</v>
      </c>
      <c r="H3860" s="1">
        <v>36065</v>
      </c>
      <c r="I3860" s="1">
        <v>36069</v>
      </c>
      <c r="J3860" t="s">
        <v>15</v>
      </c>
      <c r="K3860">
        <v>19</v>
      </c>
      <c r="L3860">
        <v>2376</v>
      </c>
      <c r="M3860" t="s">
        <v>86</v>
      </c>
      <c r="N3860">
        <v>1</v>
      </c>
    </row>
    <row r="3861" hidden="1" spans="1:14">
      <c r="A3861">
        <v>1763</v>
      </c>
      <c r="B3861">
        <v>0</v>
      </c>
      <c r="C3861" t="s">
        <v>571</v>
      </c>
      <c r="D3861">
        <v>0</v>
      </c>
      <c r="E3861">
        <v>127.063</v>
      </c>
      <c r="F3861">
        <v>37.4727</v>
      </c>
      <c r="G3861">
        <v>2231.31</v>
      </c>
      <c r="H3861" s="1">
        <v>37101</v>
      </c>
      <c r="I3861" s="1">
        <v>37102</v>
      </c>
      <c r="J3861" t="s">
        <v>15</v>
      </c>
      <c r="K3861">
        <v>3</v>
      </c>
      <c r="L3861">
        <v>12000</v>
      </c>
      <c r="M3861" t="s">
        <v>18</v>
      </c>
      <c r="N3861">
        <v>1</v>
      </c>
    </row>
    <row r="3862" hidden="1" spans="1:14">
      <c r="A3862">
        <v>1976</v>
      </c>
      <c r="B3862">
        <v>0</v>
      </c>
      <c r="C3862" t="s">
        <v>571</v>
      </c>
      <c r="D3862">
        <v>0</v>
      </c>
      <c r="E3862">
        <v>128.436</v>
      </c>
      <c r="F3862">
        <v>35.0369</v>
      </c>
      <c r="G3862">
        <v>9634.8</v>
      </c>
      <c r="H3862" s="1">
        <v>37442</v>
      </c>
      <c r="I3862" s="1">
        <v>37444</v>
      </c>
      <c r="J3862" t="s">
        <v>15</v>
      </c>
      <c r="K3862">
        <v>4</v>
      </c>
      <c r="L3862">
        <v>0</v>
      </c>
      <c r="M3862" t="s">
        <v>16</v>
      </c>
      <c r="N3862">
        <v>1</v>
      </c>
    </row>
    <row r="3863" hidden="1" spans="1:14">
      <c r="A3863">
        <v>2020</v>
      </c>
      <c r="B3863">
        <v>0</v>
      </c>
      <c r="C3863" t="s">
        <v>571</v>
      </c>
      <c r="D3863" t="s">
        <v>759</v>
      </c>
      <c r="E3863">
        <v>125.66</v>
      </c>
      <c r="F3863">
        <v>38.8933</v>
      </c>
      <c r="G3863">
        <v>29669.25</v>
      </c>
      <c r="H3863" s="1">
        <v>37473</v>
      </c>
      <c r="I3863" s="1">
        <v>37479</v>
      </c>
      <c r="J3863" t="s">
        <v>15</v>
      </c>
      <c r="K3863">
        <v>21</v>
      </c>
      <c r="L3863">
        <v>26000</v>
      </c>
      <c r="M3863" t="s">
        <v>16</v>
      </c>
      <c r="N3863">
        <v>1</v>
      </c>
    </row>
    <row r="3864" hidden="1" spans="1:14">
      <c r="A3864">
        <v>2045</v>
      </c>
      <c r="B3864">
        <v>0</v>
      </c>
      <c r="C3864" t="s">
        <v>571</v>
      </c>
      <c r="D3864" t="s">
        <v>759</v>
      </c>
      <c r="E3864">
        <v>128.621</v>
      </c>
      <c r="F3864">
        <v>35.4377</v>
      </c>
      <c r="G3864">
        <v>11999.65</v>
      </c>
      <c r="H3864" s="1">
        <v>37499</v>
      </c>
      <c r="I3864" s="1">
        <v>37502</v>
      </c>
      <c r="J3864" t="s">
        <v>15</v>
      </c>
      <c r="K3864">
        <v>138</v>
      </c>
      <c r="L3864">
        <v>70000</v>
      </c>
      <c r="M3864" t="s">
        <v>16</v>
      </c>
      <c r="N3864">
        <v>1</v>
      </c>
    </row>
    <row r="3865" hidden="1" spans="1:14">
      <c r="A3865">
        <v>2310</v>
      </c>
      <c r="B3865">
        <v>0</v>
      </c>
      <c r="C3865" t="s">
        <v>571</v>
      </c>
      <c r="D3865">
        <v>0</v>
      </c>
      <c r="E3865">
        <v>127.647</v>
      </c>
      <c r="F3865">
        <v>37.8729</v>
      </c>
      <c r="G3865">
        <v>15058.79</v>
      </c>
      <c r="H3865" s="1">
        <v>37839</v>
      </c>
      <c r="I3865" s="1">
        <v>37841</v>
      </c>
      <c r="J3865" t="s">
        <v>15</v>
      </c>
      <c r="K3865">
        <v>0</v>
      </c>
      <c r="L3865">
        <v>6000</v>
      </c>
      <c r="M3865" t="s">
        <v>16</v>
      </c>
      <c r="N3865">
        <v>1</v>
      </c>
    </row>
    <row r="3866" hidden="1" spans="1:14">
      <c r="A3866">
        <v>2326</v>
      </c>
      <c r="B3866">
        <v>0</v>
      </c>
      <c r="C3866" t="s">
        <v>571</v>
      </c>
      <c r="D3866">
        <v>0</v>
      </c>
      <c r="E3866">
        <v>127.024</v>
      </c>
      <c r="F3866">
        <v>37.864</v>
      </c>
      <c r="G3866">
        <v>7788.93</v>
      </c>
      <c r="H3866" s="1">
        <v>37854</v>
      </c>
      <c r="I3866" s="1">
        <v>37858</v>
      </c>
      <c r="J3866" t="s">
        <v>15</v>
      </c>
      <c r="K3866">
        <v>1</v>
      </c>
      <c r="L3866">
        <v>0</v>
      </c>
      <c r="M3866" t="s">
        <v>16</v>
      </c>
      <c r="N3866">
        <v>1</v>
      </c>
    </row>
    <row r="3867" hidden="1" spans="1:14">
      <c r="A3867">
        <v>2348</v>
      </c>
      <c r="B3867">
        <v>0</v>
      </c>
      <c r="C3867" t="s">
        <v>571</v>
      </c>
      <c r="D3867">
        <v>0</v>
      </c>
      <c r="E3867">
        <v>128.019</v>
      </c>
      <c r="F3867">
        <v>35.2349</v>
      </c>
      <c r="G3867">
        <v>21408.02</v>
      </c>
      <c r="H3867" s="1">
        <v>37876</v>
      </c>
      <c r="I3867" s="1">
        <v>37879</v>
      </c>
      <c r="J3867" t="s">
        <v>15</v>
      </c>
      <c r="K3867">
        <v>127</v>
      </c>
      <c r="L3867">
        <v>9000</v>
      </c>
      <c r="M3867" t="s">
        <v>103</v>
      </c>
      <c r="N3867">
        <v>1</v>
      </c>
    </row>
    <row r="3868" hidden="1" spans="1:14">
      <c r="A3868">
        <v>2524</v>
      </c>
      <c r="B3868">
        <v>0</v>
      </c>
      <c r="C3868" t="s">
        <v>571</v>
      </c>
      <c r="D3868" t="s">
        <v>759</v>
      </c>
      <c r="E3868">
        <v>127.262</v>
      </c>
      <c r="F3868">
        <v>36.715</v>
      </c>
      <c r="G3868">
        <v>102889.49</v>
      </c>
      <c r="H3868" s="1">
        <v>38183</v>
      </c>
      <c r="I3868" s="1">
        <v>38193</v>
      </c>
      <c r="J3868" t="s">
        <v>15</v>
      </c>
      <c r="K3868">
        <v>34</v>
      </c>
      <c r="L3868">
        <v>160000</v>
      </c>
      <c r="M3868" t="s">
        <v>23</v>
      </c>
      <c r="N3868">
        <v>1</v>
      </c>
    </row>
    <row r="3869" hidden="1" spans="1:14">
      <c r="A3869">
        <v>2703</v>
      </c>
      <c r="B3869">
        <v>0</v>
      </c>
      <c r="C3869" t="s">
        <v>571</v>
      </c>
      <c r="D3869">
        <v>0</v>
      </c>
      <c r="E3869">
        <v>127.456</v>
      </c>
      <c r="F3869">
        <v>35.6995</v>
      </c>
      <c r="G3869">
        <v>9965.14</v>
      </c>
      <c r="H3869" s="1">
        <v>38566</v>
      </c>
      <c r="I3869" s="1">
        <v>38568</v>
      </c>
      <c r="J3869" t="s">
        <v>15</v>
      </c>
      <c r="K3869">
        <v>11</v>
      </c>
      <c r="L3869">
        <v>1500</v>
      </c>
      <c r="M3869" t="s">
        <v>23</v>
      </c>
      <c r="N3869">
        <v>1</v>
      </c>
    </row>
    <row r="3870" hidden="1" spans="1:14">
      <c r="A3870">
        <v>2922</v>
      </c>
      <c r="B3870" t="s">
        <v>941</v>
      </c>
      <c r="C3870" t="s">
        <v>571</v>
      </c>
      <c r="D3870" t="s">
        <v>759</v>
      </c>
      <c r="E3870">
        <v>127.17</v>
      </c>
      <c r="F3870">
        <v>37.5631</v>
      </c>
      <c r="G3870">
        <v>55624.82</v>
      </c>
      <c r="H3870" s="1">
        <v>38910</v>
      </c>
      <c r="I3870" s="1">
        <v>38918</v>
      </c>
      <c r="J3870" t="s">
        <v>15</v>
      </c>
      <c r="K3870">
        <v>575</v>
      </c>
      <c r="L3870">
        <v>65000</v>
      </c>
      <c r="M3870" t="s">
        <v>23</v>
      </c>
      <c r="N3870">
        <v>1</v>
      </c>
    </row>
    <row r="3871" hidden="1" spans="1:14">
      <c r="A3871">
        <v>3185</v>
      </c>
      <c r="B3871">
        <v>0</v>
      </c>
      <c r="C3871" t="s">
        <v>571</v>
      </c>
      <c r="D3871">
        <v>0</v>
      </c>
      <c r="E3871">
        <v>126.721</v>
      </c>
      <c r="F3871">
        <v>33.3986</v>
      </c>
      <c r="G3871">
        <v>932.667</v>
      </c>
      <c r="H3871" s="1">
        <v>39329</v>
      </c>
      <c r="I3871" s="1">
        <v>39332</v>
      </c>
      <c r="J3871" t="s">
        <v>15</v>
      </c>
      <c r="K3871">
        <v>3</v>
      </c>
      <c r="L3871">
        <v>0</v>
      </c>
      <c r="M3871" t="s">
        <v>16</v>
      </c>
      <c r="N3871">
        <v>1</v>
      </c>
    </row>
    <row r="3872" hidden="1" spans="1:14">
      <c r="A3872">
        <v>3190</v>
      </c>
      <c r="B3872">
        <v>0</v>
      </c>
      <c r="C3872" t="s">
        <v>571</v>
      </c>
      <c r="D3872">
        <v>0</v>
      </c>
      <c r="E3872">
        <v>126.588</v>
      </c>
      <c r="F3872">
        <v>34.7781</v>
      </c>
      <c r="G3872">
        <v>7590.44</v>
      </c>
      <c r="H3872" s="1">
        <v>39341</v>
      </c>
      <c r="I3872" s="1">
        <v>39344</v>
      </c>
      <c r="J3872" t="s">
        <v>15</v>
      </c>
      <c r="K3872">
        <v>13</v>
      </c>
      <c r="L3872">
        <v>0</v>
      </c>
      <c r="M3872" t="s">
        <v>86</v>
      </c>
      <c r="N3872">
        <v>1</v>
      </c>
    </row>
    <row r="3873" hidden="1" spans="1:14">
      <c r="A3873">
        <v>3847</v>
      </c>
      <c r="C3873" t="s">
        <v>571</v>
      </c>
      <c r="D3873" t="s">
        <v>759</v>
      </c>
      <c r="E3873">
        <v>126.872</v>
      </c>
      <c r="F3873">
        <v>37.8507</v>
      </c>
      <c r="G3873">
        <v>17840.77</v>
      </c>
      <c r="H3873" s="1">
        <v>40751</v>
      </c>
      <c r="I3873" s="1">
        <v>40764</v>
      </c>
      <c r="J3873" t="s">
        <v>15</v>
      </c>
      <c r="K3873">
        <v>53</v>
      </c>
      <c r="L3873">
        <v>29000</v>
      </c>
      <c r="M3873" t="s">
        <v>49</v>
      </c>
      <c r="N3873">
        <v>2</v>
      </c>
    </row>
    <row r="3874" hidden="1" spans="1:14">
      <c r="A3874">
        <v>4182</v>
      </c>
      <c r="C3874" t="s">
        <v>571</v>
      </c>
      <c r="D3874" t="s">
        <v>570</v>
      </c>
      <c r="E3874">
        <v>128.392</v>
      </c>
      <c r="F3874">
        <v>36.051</v>
      </c>
      <c r="G3874">
        <v>35508.04</v>
      </c>
      <c r="H3874" s="1">
        <v>41875</v>
      </c>
      <c r="I3874" s="1">
        <v>41886</v>
      </c>
      <c r="J3874" t="s">
        <v>15</v>
      </c>
      <c r="K3874">
        <v>5</v>
      </c>
      <c r="L3874">
        <v>0</v>
      </c>
      <c r="M3874" t="s">
        <v>52</v>
      </c>
      <c r="N3874">
        <v>1.5</v>
      </c>
    </row>
    <row r="3875" hidden="1" spans="1:14">
      <c r="A3875">
        <v>4404</v>
      </c>
      <c r="C3875" t="s">
        <v>571</v>
      </c>
      <c r="D3875" t="s">
        <v>570</v>
      </c>
      <c r="E3875">
        <v>128.528</v>
      </c>
      <c r="F3875">
        <v>35.8029</v>
      </c>
      <c r="G3875">
        <v>25537.31</v>
      </c>
      <c r="H3875" s="1">
        <v>42648</v>
      </c>
      <c r="I3875" s="1">
        <v>42655</v>
      </c>
      <c r="J3875" t="s">
        <v>15</v>
      </c>
      <c r="K3875">
        <v>7</v>
      </c>
      <c r="L3875">
        <v>0</v>
      </c>
      <c r="M3875" t="s">
        <v>942</v>
      </c>
      <c r="N3875">
        <v>1.5</v>
      </c>
    </row>
    <row r="3876" hidden="1" spans="1:14">
      <c r="A3876">
        <v>4811</v>
      </c>
      <c r="C3876" t="s">
        <v>571</v>
      </c>
      <c r="E3876">
        <v>128.565</v>
      </c>
      <c r="F3876">
        <v>36.1376</v>
      </c>
      <c r="G3876">
        <v>28112.69</v>
      </c>
      <c r="H3876" s="1">
        <v>43740</v>
      </c>
      <c r="I3876" s="1">
        <v>43745</v>
      </c>
      <c r="J3876" t="s">
        <v>56</v>
      </c>
      <c r="K3876">
        <v>10</v>
      </c>
      <c r="L3876">
        <v>1500</v>
      </c>
      <c r="M3876" t="s">
        <v>943</v>
      </c>
      <c r="N3876">
        <v>1.5</v>
      </c>
    </row>
    <row r="3877" hidden="1" spans="1:14">
      <c r="A3877">
        <v>4948</v>
      </c>
      <c r="C3877" t="s">
        <v>571</v>
      </c>
      <c r="E3877">
        <v>127.056</v>
      </c>
      <c r="F3877">
        <v>36.3489</v>
      </c>
      <c r="G3877">
        <v>23218.8</v>
      </c>
      <c r="H3877" s="1">
        <v>44041</v>
      </c>
      <c r="I3877" s="1">
        <v>44042</v>
      </c>
      <c r="J3877" t="s">
        <v>56</v>
      </c>
      <c r="K3877">
        <v>2</v>
      </c>
      <c r="L3877">
        <v>0</v>
      </c>
      <c r="M3877" t="s">
        <v>52</v>
      </c>
      <c r="N3877">
        <v>1.5</v>
      </c>
    </row>
    <row r="3878" hidden="1" spans="1:14">
      <c r="A3878">
        <v>5092</v>
      </c>
      <c r="C3878" t="s">
        <v>571</v>
      </c>
      <c r="E3878">
        <v>127.229</v>
      </c>
      <c r="F3878">
        <v>34.9359</v>
      </c>
      <c r="G3878">
        <v>10589.26</v>
      </c>
      <c r="H3878" s="1">
        <v>44382</v>
      </c>
      <c r="I3878" s="1">
        <v>44384</v>
      </c>
      <c r="J3878" t="s">
        <v>56</v>
      </c>
      <c r="K3878">
        <v>2</v>
      </c>
      <c r="L3878">
        <v>190</v>
      </c>
      <c r="M3878" t="s">
        <v>52</v>
      </c>
      <c r="N3878">
        <v>1.5</v>
      </c>
    </row>
    <row r="3879" hidden="1" spans="1:14">
      <c r="A3879">
        <v>206</v>
      </c>
      <c r="B3879">
        <v>0</v>
      </c>
      <c r="C3879" t="s">
        <v>944</v>
      </c>
      <c r="D3879">
        <v>0</v>
      </c>
      <c r="E3879">
        <v>128.562</v>
      </c>
      <c r="F3879">
        <v>36.9815</v>
      </c>
      <c r="G3879">
        <v>3410.01</v>
      </c>
      <c r="H3879" s="1">
        <v>32344</v>
      </c>
      <c r="I3879" s="1">
        <v>32344</v>
      </c>
      <c r="J3879" t="s">
        <v>15</v>
      </c>
      <c r="K3879">
        <v>16</v>
      </c>
      <c r="L3879">
        <v>2640</v>
      </c>
      <c r="M3879" t="s">
        <v>64</v>
      </c>
      <c r="N3879">
        <v>1</v>
      </c>
    </row>
    <row r="3880" hidden="1" spans="1:14">
      <c r="A3880">
        <v>144</v>
      </c>
      <c r="B3880">
        <v>0</v>
      </c>
      <c r="C3880" t="s">
        <v>945</v>
      </c>
      <c r="D3880">
        <v>0</v>
      </c>
      <c r="E3880">
        <v>126.932</v>
      </c>
      <c r="F3880">
        <v>36.4164</v>
      </c>
      <c r="G3880">
        <v>9041.57</v>
      </c>
      <c r="H3880" s="1">
        <v>31979</v>
      </c>
      <c r="I3880" s="1">
        <v>31987</v>
      </c>
      <c r="J3880" t="s">
        <v>15</v>
      </c>
      <c r="K3880">
        <v>330</v>
      </c>
      <c r="L3880">
        <v>35900</v>
      </c>
      <c r="M3880" t="s">
        <v>64</v>
      </c>
      <c r="N3880">
        <v>1</v>
      </c>
    </row>
    <row r="3881" hidden="1" spans="1:14">
      <c r="A3881">
        <v>200</v>
      </c>
      <c r="B3881">
        <v>0</v>
      </c>
      <c r="C3881" t="s">
        <v>945</v>
      </c>
      <c r="D3881">
        <v>0</v>
      </c>
      <c r="E3881">
        <v>127.777</v>
      </c>
      <c r="F3881">
        <v>37.8837</v>
      </c>
      <c r="G3881">
        <v>1801.07</v>
      </c>
      <c r="H3881" s="1">
        <v>32332</v>
      </c>
      <c r="I3881" s="1">
        <v>32338</v>
      </c>
      <c r="J3881" t="s">
        <v>15</v>
      </c>
      <c r="K3881">
        <v>6</v>
      </c>
      <c r="L3881">
        <v>2000</v>
      </c>
      <c r="M3881" t="s">
        <v>16</v>
      </c>
      <c r="N3881">
        <v>1</v>
      </c>
    </row>
    <row r="3882" hidden="1" spans="1:14">
      <c r="A3882">
        <v>771</v>
      </c>
      <c r="B3882">
        <v>0</v>
      </c>
      <c r="C3882" t="s">
        <v>945</v>
      </c>
      <c r="D3882">
        <v>0</v>
      </c>
      <c r="E3882">
        <v>128.072</v>
      </c>
      <c r="F3882">
        <v>35.1448</v>
      </c>
      <c r="G3882">
        <v>11570.2</v>
      </c>
      <c r="H3882" s="1">
        <v>34201</v>
      </c>
      <c r="I3882" s="1">
        <v>34204</v>
      </c>
      <c r="J3882" t="s">
        <v>15</v>
      </c>
      <c r="K3882">
        <v>12</v>
      </c>
      <c r="L3882">
        <v>3000</v>
      </c>
      <c r="M3882" t="s">
        <v>64</v>
      </c>
      <c r="N3882">
        <v>1</v>
      </c>
    </row>
    <row r="3883" hidden="1" spans="1:14">
      <c r="A3883">
        <v>1625</v>
      </c>
      <c r="B3883">
        <v>0</v>
      </c>
      <c r="C3883" t="s">
        <v>945</v>
      </c>
      <c r="D3883">
        <v>0</v>
      </c>
      <c r="E3883">
        <v>127.02</v>
      </c>
      <c r="F3883">
        <v>35.6681</v>
      </c>
      <c r="G3883">
        <v>27589.36</v>
      </c>
      <c r="H3883" s="1">
        <v>36764</v>
      </c>
      <c r="I3883" s="1">
        <v>36767</v>
      </c>
      <c r="J3883" t="s">
        <v>15</v>
      </c>
      <c r="K3883">
        <v>7</v>
      </c>
      <c r="L3883">
        <v>500</v>
      </c>
      <c r="M3883" t="s">
        <v>18</v>
      </c>
      <c r="N3883">
        <v>1</v>
      </c>
    </row>
    <row r="3884" hidden="1" spans="1:14">
      <c r="A3884">
        <v>1752</v>
      </c>
      <c r="B3884">
        <v>0</v>
      </c>
      <c r="C3884" t="s">
        <v>945</v>
      </c>
      <c r="D3884">
        <v>0</v>
      </c>
      <c r="E3884">
        <v>127.063</v>
      </c>
      <c r="F3884">
        <v>37.4727</v>
      </c>
      <c r="G3884">
        <v>2231.31</v>
      </c>
      <c r="H3884" s="1">
        <v>37086</v>
      </c>
      <c r="I3884" s="1">
        <v>37087</v>
      </c>
      <c r="J3884" t="s">
        <v>15</v>
      </c>
      <c r="K3884">
        <v>52</v>
      </c>
      <c r="L3884">
        <v>572</v>
      </c>
      <c r="M3884" t="s">
        <v>18</v>
      </c>
      <c r="N3884">
        <v>1</v>
      </c>
    </row>
    <row r="3885" hidden="1" spans="1:14">
      <c r="A3885">
        <v>3968</v>
      </c>
      <c r="B3885" t="s">
        <v>946</v>
      </c>
      <c r="C3885" t="s">
        <v>947</v>
      </c>
      <c r="D3885" t="s">
        <v>948</v>
      </c>
      <c r="E3885">
        <v>30.2188</v>
      </c>
      <c r="F3885">
        <v>9.69113</v>
      </c>
      <c r="G3885">
        <v>456058.52</v>
      </c>
      <c r="H3885" s="1">
        <v>41122</v>
      </c>
      <c r="I3885" s="1">
        <v>41150</v>
      </c>
      <c r="J3885" t="s">
        <v>15</v>
      </c>
      <c r="K3885">
        <v>32</v>
      </c>
      <c r="L3885">
        <v>154000</v>
      </c>
      <c r="M3885" t="s">
        <v>49</v>
      </c>
      <c r="N3885">
        <v>1.5</v>
      </c>
    </row>
    <row r="3886" hidden="1" spans="1:14">
      <c r="A3886">
        <v>3991</v>
      </c>
      <c r="C3886" t="s">
        <v>947</v>
      </c>
      <c r="D3886" t="s">
        <v>948</v>
      </c>
      <c r="E3886">
        <v>29.586</v>
      </c>
      <c r="F3886">
        <v>9.56942</v>
      </c>
      <c r="G3886">
        <v>138743.9</v>
      </c>
      <c r="H3886" s="1">
        <v>41159</v>
      </c>
      <c r="I3886" s="1">
        <v>41185</v>
      </c>
      <c r="J3886" t="s">
        <v>15</v>
      </c>
      <c r="K3886">
        <v>15</v>
      </c>
      <c r="L3886">
        <v>3000</v>
      </c>
      <c r="M3886" t="s">
        <v>49</v>
      </c>
      <c r="N3886">
        <v>1</v>
      </c>
    </row>
    <row r="3887" hidden="1" spans="1:14">
      <c r="A3887">
        <v>4044</v>
      </c>
      <c r="C3887" t="s">
        <v>947</v>
      </c>
      <c r="E3887">
        <v>31.2168</v>
      </c>
      <c r="F3887">
        <v>6.06426</v>
      </c>
      <c r="G3887">
        <v>215662.54</v>
      </c>
      <c r="H3887" s="1">
        <v>41358</v>
      </c>
      <c r="I3887" s="1">
        <v>41367</v>
      </c>
      <c r="J3887" t="s">
        <v>15</v>
      </c>
      <c r="K3887">
        <v>0</v>
      </c>
      <c r="L3887">
        <v>12000</v>
      </c>
      <c r="M3887" t="s">
        <v>49</v>
      </c>
      <c r="N3887">
        <v>1.5</v>
      </c>
    </row>
    <row r="3888" hidden="1" spans="1:14">
      <c r="A3888">
        <v>4094</v>
      </c>
      <c r="C3888" t="s">
        <v>947</v>
      </c>
      <c r="E3888">
        <v>28.8241</v>
      </c>
      <c r="F3888">
        <v>7.73724</v>
      </c>
      <c r="G3888">
        <v>172574.26</v>
      </c>
      <c r="H3888" s="1">
        <v>41555</v>
      </c>
      <c r="I3888" s="1">
        <v>41561</v>
      </c>
      <c r="J3888" t="s">
        <v>15</v>
      </c>
      <c r="K3888">
        <v>0</v>
      </c>
      <c r="L3888">
        <v>3300</v>
      </c>
      <c r="M3888" t="s">
        <v>49</v>
      </c>
      <c r="N3888">
        <v>1</v>
      </c>
    </row>
    <row r="3889" hidden="1" spans="1:14">
      <c r="A3889">
        <v>4099</v>
      </c>
      <c r="C3889" t="s">
        <v>947</v>
      </c>
      <c r="E3889">
        <v>31.7933</v>
      </c>
      <c r="F3889">
        <v>7.33928</v>
      </c>
      <c r="G3889">
        <v>111000.43</v>
      </c>
      <c r="H3889" s="1">
        <v>41581</v>
      </c>
      <c r="I3889" s="1">
        <v>41597</v>
      </c>
      <c r="J3889" t="s">
        <v>15</v>
      </c>
      <c r="K3889">
        <v>0</v>
      </c>
      <c r="L3889">
        <v>100</v>
      </c>
      <c r="M3889" t="s">
        <v>49</v>
      </c>
      <c r="N3889">
        <v>1</v>
      </c>
    </row>
    <row r="3890" hidden="1" spans="1:14">
      <c r="A3890">
        <v>4164</v>
      </c>
      <c r="C3890" t="s">
        <v>947</v>
      </c>
      <c r="D3890" t="s">
        <v>948</v>
      </c>
      <c r="E3890">
        <v>31.0015</v>
      </c>
      <c r="F3890">
        <v>10.2137</v>
      </c>
      <c r="G3890">
        <v>641087.55</v>
      </c>
      <c r="H3890" s="1">
        <v>41840</v>
      </c>
      <c r="I3890" s="1">
        <v>41890</v>
      </c>
      <c r="J3890" t="s">
        <v>15</v>
      </c>
      <c r="K3890">
        <v>77</v>
      </c>
      <c r="L3890">
        <v>112000</v>
      </c>
      <c r="M3890" t="s">
        <v>49</v>
      </c>
      <c r="N3890">
        <v>1.5</v>
      </c>
    </row>
    <row r="3891" hidden="1" spans="1:14">
      <c r="A3891">
        <v>4186</v>
      </c>
      <c r="C3891" t="s">
        <v>947</v>
      </c>
      <c r="E3891">
        <v>32.9068</v>
      </c>
      <c r="F3891">
        <v>6.94173</v>
      </c>
      <c r="G3891">
        <v>143087.31</v>
      </c>
      <c r="H3891" s="1">
        <v>41903</v>
      </c>
      <c r="I3891" s="1">
        <v>41923</v>
      </c>
      <c r="J3891" t="s">
        <v>15</v>
      </c>
      <c r="K3891">
        <v>7</v>
      </c>
      <c r="L3891">
        <v>3000</v>
      </c>
      <c r="M3891" t="s">
        <v>49</v>
      </c>
      <c r="N3891">
        <v>1</v>
      </c>
    </row>
    <row r="3892" hidden="1" spans="1:14">
      <c r="A3892">
        <v>4196</v>
      </c>
      <c r="C3892" t="s">
        <v>947</v>
      </c>
      <c r="E3892">
        <v>31.1747</v>
      </c>
      <c r="F3892">
        <v>6.69427</v>
      </c>
      <c r="G3892">
        <v>388189.52</v>
      </c>
      <c r="H3892" s="1">
        <v>41927</v>
      </c>
      <c r="I3892" s="1">
        <v>41939</v>
      </c>
      <c r="J3892" t="s">
        <v>15</v>
      </c>
      <c r="K3892">
        <v>4</v>
      </c>
      <c r="L3892">
        <v>140</v>
      </c>
      <c r="M3892" t="s">
        <v>49</v>
      </c>
      <c r="N3892">
        <v>1</v>
      </c>
    </row>
    <row r="3893" hidden="1" spans="1:14">
      <c r="A3893">
        <v>4813</v>
      </c>
      <c r="C3893" t="s">
        <v>947</v>
      </c>
      <c r="E3893">
        <v>30.5066</v>
      </c>
      <c r="F3893">
        <v>6.49722</v>
      </c>
      <c r="G3893">
        <v>323373.63</v>
      </c>
      <c r="H3893" s="1">
        <v>43750</v>
      </c>
      <c r="I3893" s="1">
        <v>43756</v>
      </c>
      <c r="J3893" t="s">
        <v>56</v>
      </c>
      <c r="K3893">
        <v>0</v>
      </c>
      <c r="L3893">
        <v>0</v>
      </c>
      <c r="M3893" t="s">
        <v>49</v>
      </c>
      <c r="N3893">
        <v>1.5</v>
      </c>
    </row>
    <row r="3894" hidden="1" spans="1:14">
      <c r="A3894">
        <v>410</v>
      </c>
      <c r="B3894">
        <v>0</v>
      </c>
      <c r="C3894" t="s">
        <v>949</v>
      </c>
      <c r="D3894">
        <v>0</v>
      </c>
      <c r="E3894">
        <v>58.0278</v>
      </c>
      <c r="F3894">
        <v>53.6812</v>
      </c>
      <c r="G3894">
        <v>71505.23</v>
      </c>
      <c r="H3894" s="1">
        <v>32998</v>
      </c>
      <c r="I3894" s="1">
        <v>33004</v>
      </c>
      <c r="J3894" t="s">
        <v>15</v>
      </c>
      <c r="K3894">
        <v>14</v>
      </c>
      <c r="L3894">
        <v>20000</v>
      </c>
      <c r="M3894" t="s">
        <v>38</v>
      </c>
      <c r="N3894">
        <v>2</v>
      </c>
    </row>
    <row r="3895" hidden="1" spans="1:14">
      <c r="A3895">
        <v>415</v>
      </c>
      <c r="B3895">
        <v>0</v>
      </c>
      <c r="C3895" t="s">
        <v>949</v>
      </c>
      <c r="D3895">
        <v>0</v>
      </c>
      <c r="E3895">
        <v>92.9822</v>
      </c>
      <c r="F3895">
        <v>55.8252</v>
      </c>
      <c r="G3895">
        <v>70244.72</v>
      </c>
      <c r="H3895" s="1">
        <v>33023</v>
      </c>
      <c r="I3895" s="1">
        <v>33023</v>
      </c>
      <c r="J3895" t="s">
        <v>15</v>
      </c>
      <c r="K3895">
        <v>0</v>
      </c>
      <c r="L3895">
        <v>208</v>
      </c>
      <c r="M3895" t="s">
        <v>16</v>
      </c>
      <c r="N3895">
        <v>2</v>
      </c>
    </row>
    <row r="3896" hidden="1" spans="1:14">
      <c r="A3896">
        <v>434</v>
      </c>
      <c r="B3896">
        <v>0</v>
      </c>
      <c r="C3896" t="s">
        <v>949</v>
      </c>
      <c r="D3896">
        <v>0</v>
      </c>
      <c r="E3896">
        <v>114.935</v>
      </c>
      <c r="F3896">
        <v>53.7961</v>
      </c>
      <c r="G3896">
        <v>431627.87</v>
      </c>
      <c r="H3896" s="1">
        <v>33062</v>
      </c>
      <c r="I3896" s="1">
        <v>33064</v>
      </c>
      <c r="J3896" t="s">
        <v>15</v>
      </c>
      <c r="K3896">
        <v>5</v>
      </c>
      <c r="L3896">
        <v>3000</v>
      </c>
      <c r="M3896" t="s">
        <v>16</v>
      </c>
      <c r="N3896">
        <v>2</v>
      </c>
    </row>
    <row r="3897" hidden="1" spans="1:14">
      <c r="A3897">
        <v>442</v>
      </c>
      <c r="B3897">
        <v>0</v>
      </c>
      <c r="C3897" t="s">
        <v>949</v>
      </c>
      <c r="D3897">
        <v>0</v>
      </c>
      <c r="E3897">
        <v>44.4538</v>
      </c>
      <c r="F3897">
        <v>56.0627</v>
      </c>
      <c r="G3897">
        <v>40657.7</v>
      </c>
      <c r="H3897" s="1">
        <v>33085</v>
      </c>
      <c r="I3897" s="1">
        <v>33087</v>
      </c>
      <c r="J3897" t="s">
        <v>15</v>
      </c>
      <c r="K3897">
        <v>0</v>
      </c>
      <c r="L3897">
        <v>0</v>
      </c>
      <c r="M3897" t="s">
        <v>16</v>
      </c>
      <c r="N3897">
        <v>1</v>
      </c>
    </row>
    <row r="3898" hidden="1" spans="1:14">
      <c r="A3898">
        <v>508</v>
      </c>
      <c r="B3898">
        <v>0</v>
      </c>
      <c r="C3898" t="s">
        <v>949</v>
      </c>
      <c r="D3898">
        <v>0</v>
      </c>
      <c r="E3898">
        <v>44.0767</v>
      </c>
      <c r="F3898">
        <v>41.9047</v>
      </c>
      <c r="G3898">
        <v>97554.86</v>
      </c>
      <c r="H3898" s="1">
        <v>33359</v>
      </c>
      <c r="I3898" s="1">
        <v>33366</v>
      </c>
      <c r="J3898" t="s">
        <v>15</v>
      </c>
      <c r="K3898">
        <v>0</v>
      </c>
      <c r="L3898">
        <v>0</v>
      </c>
      <c r="M3898" t="s">
        <v>16</v>
      </c>
      <c r="N3898">
        <v>1</v>
      </c>
    </row>
    <row r="3899" hidden="1" spans="1:14">
      <c r="A3899">
        <v>532</v>
      </c>
      <c r="B3899">
        <v>0</v>
      </c>
      <c r="C3899" t="s">
        <v>949</v>
      </c>
      <c r="D3899">
        <v>0</v>
      </c>
      <c r="E3899">
        <v>28.1424</v>
      </c>
      <c r="F3899">
        <v>47.7853</v>
      </c>
      <c r="G3899">
        <v>14412.82</v>
      </c>
      <c r="H3899" s="1">
        <v>33424</v>
      </c>
      <c r="I3899" s="1">
        <v>33427</v>
      </c>
      <c r="J3899" t="s">
        <v>15</v>
      </c>
      <c r="K3899">
        <v>15</v>
      </c>
      <c r="L3899">
        <v>0</v>
      </c>
      <c r="M3899" t="s">
        <v>16</v>
      </c>
      <c r="N3899">
        <v>1</v>
      </c>
    </row>
    <row r="3900" hidden="1" spans="1:14">
      <c r="A3900">
        <v>534</v>
      </c>
      <c r="B3900">
        <v>0</v>
      </c>
      <c r="C3900" t="s">
        <v>949</v>
      </c>
      <c r="D3900">
        <v>0</v>
      </c>
      <c r="E3900">
        <v>42.0591</v>
      </c>
      <c r="F3900">
        <v>41.7362</v>
      </c>
      <c r="G3900">
        <v>3472.56</v>
      </c>
      <c r="H3900" s="1">
        <v>33428</v>
      </c>
      <c r="I3900" s="1">
        <v>33429</v>
      </c>
      <c r="J3900" t="s">
        <v>15</v>
      </c>
      <c r="K3900">
        <v>2</v>
      </c>
      <c r="L3900">
        <v>0</v>
      </c>
      <c r="M3900" t="s">
        <v>16</v>
      </c>
      <c r="N3900">
        <v>1</v>
      </c>
    </row>
    <row r="3901" hidden="1" spans="1:14">
      <c r="A3901">
        <v>538</v>
      </c>
      <c r="B3901">
        <v>0</v>
      </c>
      <c r="C3901" t="s">
        <v>949</v>
      </c>
      <c r="D3901">
        <v>0</v>
      </c>
      <c r="E3901">
        <v>107.829</v>
      </c>
      <c r="F3901">
        <v>51.744</v>
      </c>
      <c r="G3901">
        <v>61650.79</v>
      </c>
      <c r="H3901" s="1">
        <v>33430</v>
      </c>
      <c r="I3901" s="1">
        <v>33448</v>
      </c>
      <c r="J3901" t="s">
        <v>15</v>
      </c>
      <c r="K3901">
        <v>2</v>
      </c>
      <c r="L3901">
        <v>2000</v>
      </c>
      <c r="M3901" t="s">
        <v>16</v>
      </c>
      <c r="N3901">
        <v>1</v>
      </c>
    </row>
    <row r="3902" hidden="1" spans="1:14">
      <c r="A3902">
        <v>544</v>
      </c>
      <c r="B3902">
        <v>0</v>
      </c>
      <c r="C3902" t="s">
        <v>949</v>
      </c>
      <c r="D3902">
        <v>0</v>
      </c>
      <c r="E3902">
        <v>114.912</v>
      </c>
      <c r="F3902">
        <v>53.8037</v>
      </c>
      <c r="G3902">
        <v>366865.54</v>
      </c>
      <c r="H3902" s="1">
        <v>33437</v>
      </c>
      <c r="I3902" s="1">
        <v>33441</v>
      </c>
      <c r="J3902" t="s">
        <v>15</v>
      </c>
      <c r="K3902">
        <v>0</v>
      </c>
      <c r="L3902">
        <v>0</v>
      </c>
      <c r="M3902" t="s">
        <v>16</v>
      </c>
      <c r="N3902">
        <v>1</v>
      </c>
    </row>
    <row r="3903" hidden="1" spans="1:14">
      <c r="A3903">
        <v>555</v>
      </c>
      <c r="B3903">
        <v>0</v>
      </c>
      <c r="C3903" t="s">
        <v>949</v>
      </c>
      <c r="D3903">
        <v>0</v>
      </c>
      <c r="E3903">
        <v>39.471</v>
      </c>
      <c r="F3903">
        <v>43.9644</v>
      </c>
      <c r="G3903">
        <v>8785.54</v>
      </c>
      <c r="H3903" s="1">
        <v>33452</v>
      </c>
      <c r="I3903" s="1">
        <v>33459</v>
      </c>
      <c r="J3903" t="s">
        <v>15</v>
      </c>
      <c r="K3903">
        <v>46</v>
      </c>
      <c r="L3903">
        <v>0</v>
      </c>
      <c r="M3903" t="s">
        <v>16</v>
      </c>
      <c r="N3903">
        <v>1</v>
      </c>
    </row>
    <row r="3904" hidden="1" spans="1:14">
      <c r="A3904">
        <v>561</v>
      </c>
      <c r="B3904">
        <v>0</v>
      </c>
      <c r="C3904" t="s">
        <v>949</v>
      </c>
      <c r="D3904">
        <v>0</v>
      </c>
      <c r="E3904">
        <v>133.701</v>
      </c>
      <c r="F3904">
        <v>54.5541</v>
      </c>
      <c r="G3904">
        <v>773084.42</v>
      </c>
      <c r="H3904" s="1">
        <v>33458</v>
      </c>
      <c r="I3904" s="1">
        <v>33463</v>
      </c>
      <c r="J3904" t="s">
        <v>15</v>
      </c>
      <c r="K3904">
        <v>0</v>
      </c>
      <c r="L3904">
        <v>0</v>
      </c>
      <c r="M3904" t="s">
        <v>16</v>
      </c>
      <c r="N3904">
        <v>1</v>
      </c>
    </row>
    <row r="3905" hidden="1" spans="1:14">
      <c r="A3905">
        <v>154</v>
      </c>
      <c r="B3905">
        <v>0</v>
      </c>
      <c r="C3905" t="s">
        <v>950</v>
      </c>
      <c r="E3905">
        <v>2.42823</v>
      </c>
      <c r="F3905">
        <v>42.306</v>
      </c>
      <c r="G3905">
        <v>64614.13</v>
      </c>
      <c r="H3905" s="1">
        <v>32054</v>
      </c>
      <c r="I3905" s="1">
        <v>32060</v>
      </c>
      <c r="J3905" t="s">
        <v>15</v>
      </c>
      <c r="K3905">
        <v>12</v>
      </c>
      <c r="L3905">
        <v>0</v>
      </c>
      <c r="M3905" t="s">
        <v>64</v>
      </c>
      <c r="N3905">
        <v>1</v>
      </c>
    </row>
    <row r="3906" hidden="1" spans="1:14">
      <c r="A3906">
        <v>159</v>
      </c>
      <c r="B3906">
        <v>0</v>
      </c>
      <c r="C3906" t="s">
        <v>950</v>
      </c>
      <c r="D3906">
        <v>0</v>
      </c>
      <c r="E3906">
        <v>-0.936047</v>
      </c>
      <c r="F3906">
        <v>38.6938</v>
      </c>
      <c r="G3906">
        <v>37572.82</v>
      </c>
      <c r="H3906" s="1">
        <v>32084</v>
      </c>
      <c r="I3906" s="1">
        <v>32087</v>
      </c>
      <c r="J3906" t="s">
        <v>15</v>
      </c>
      <c r="K3906">
        <v>16</v>
      </c>
      <c r="L3906">
        <v>3000</v>
      </c>
      <c r="M3906" t="s">
        <v>64</v>
      </c>
      <c r="N3906">
        <v>1</v>
      </c>
    </row>
    <row r="3907" hidden="1" spans="1:14">
      <c r="A3907">
        <v>280</v>
      </c>
      <c r="B3907">
        <v>0</v>
      </c>
      <c r="C3907" t="s">
        <v>950</v>
      </c>
      <c r="D3907">
        <v>0</v>
      </c>
      <c r="E3907">
        <v>-0.441303</v>
      </c>
      <c r="F3907">
        <v>39.4927</v>
      </c>
      <c r="G3907">
        <v>6647.77</v>
      </c>
      <c r="H3907" s="1">
        <v>32533</v>
      </c>
      <c r="I3907" s="1">
        <v>32540</v>
      </c>
      <c r="J3907" t="s">
        <v>15</v>
      </c>
      <c r="K3907">
        <v>0</v>
      </c>
      <c r="L3907">
        <v>0</v>
      </c>
      <c r="M3907" t="s">
        <v>16</v>
      </c>
      <c r="N3907">
        <v>1</v>
      </c>
    </row>
    <row r="3908" hidden="1" spans="1:14">
      <c r="A3908">
        <v>1101</v>
      </c>
      <c r="B3908">
        <v>0</v>
      </c>
      <c r="C3908" t="s">
        <v>950</v>
      </c>
      <c r="D3908">
        <v>0</v>
      </c>
      <c r="E3908">
        <v>-0.039184</v>
      </c>
      <c r="F3908">
        <v>42.5324</v>
      </c>
      <c r="G3908">
        <v>3515.87</v>
      </c>
      <c r="H3908" s="1">
        <v>35284</v>
      </c>
      <c r="I3908" s="1">
        <v>35286</v>
      </c>
      <c r="J3908" t="s">
        <v>15</v>
      </c>
      <c r="K3908">
        <v>85</v>
      </c>
      <c r="L3908">
        <v>800</v>
      </c>
      <c r="M3908" t="s">
        <v>49</v>
      </c>
      <c r="N3908">
        <v>1</v>
      </c>
    </row>
    <row r="3909" hidden="1" spans="1:14">
      <c r="A3909">
        <v>1138</v>
      </c>
      <c r="B3909">
        <v>0</v>
      </c>
      <c r="C3909" t="s">
        <v>950</v>
      </c>
      <c r="D3909" t="s">
        <v>425</v>
      </c>
      <c r="E3909">
        <v>-6.49679</v>
      </c>
      <c r="F3909">
        <v>37.7648</v>
      </c>
      <c r="G3909">
        <v>36920.87</v>
      </c>
      <c r="H3909" s="1">
        <v>35421</v>
      </c>
      <c r="I3909" s="1">
        <v>35425</v>
      </c>
      <c r="J3909" t="s">
        <v>15</v>
      </c>
      <c r="K3909">
        <v>3</v>
      </c>
      <c r="L3909">
        <v>1800</v>
      </c>
      <c r="M3909" t="s">
        <v>49</v>
      </c>
      <c r="N3909">
        <v>1</v>
      </c>
    </row>
    <row r="3910" hidden="1" spans="1:14">
      <c r="A3910">
        <v>1189</v>
      </c>
      <c r="B3910">
        <v>0</v>
      </c>
      <c r="C3910" t="s">
        <v>950</v>
      </c>
      <c r="D3910">
        <v>0</v>
      </c>
      <c r="E3910">
        <v>-1.19292</v>
      </c>
      <c r="F3910">
        <v>38.1123</v>
      </c>
      <c r="G3910">
        <v>22494.36</v>
      </c>
      <c r="H3910" s="1">
        <v>35701</v>
      </c>
      <c r="I3910" s="1">
        <v>35704</v>
      </c>
      <c r="J3910" t="s">
        <v>15</v>
      </c>
      <c r="K3910">
        <v>5</v>
      </c>
      <c r="L3910">
        <v>400</v>
      </c>
      <c r="M3910" t="s">
        <v>16</v>
      </c>
      <c r="N3910">
        <v>1</v>
      </c>
    </row>
    <row r="3911" hidden="1" spans="1:14">
      <c r="A3911">
        <v>1199</v>
      </c>
      <c r="B3911">
        <v>0</v>
      </c>
      <c r="C3911" t="s">
        <v>950</v>
      </c>
      <c r="D3911" t="s">
        <v>425</v>
      </c>
      <c r="E3911">
        <v>-7.32497</v>
      </c>
      <c r="F3911">
        <v>38.6249</v>
      </c>
      <c r="G3911">
        <v>71613.68</v>
      </c>
      <c r="H3911" s="1">
        <v>35739</v>
      </c>
      <c r="I3911" s="1">
        <v>35746</v>
      </c>
      <c r="J3911" t="s">
        <v>15</v>
      </c>
      <c r="K3911">
        <v>33</v>
      </c>
      <c r="L3911">
        <v>0</v>
      </c>
      <c r="M3911" t="s">
        <v>16</v>
      </c>
      <c r="N3911">
        <v>2</v>
      </c>
    </row>
    <row r="3912" hidden="1" spans="1:14">
      <c r="A3912">
        <v>1986</v>
      </c>
      <c r="B3912">
        <v>0</v>
      </c>
      <c r="C3912" t="s">
        <v>950</v>
      </c>
      <c r="D3912">
        <v>0</v>
      </c>
      <c r="E3912">
        <v>2.68538</v>
      </c>
      <c r="F3912">
        <v>39.6197</v>
      </c>
      <c r="G3912">
        <v>353.893</v>
      </c>
      <c r="H3912" s="1">
        <v>37450</v>
      </c>
      <c r="I3912" s="1">
        <v>37452</v>
      </c>
      <c r="J3912" t="s">
        <v>15</v>
      </c>
      <c r="K3912">
        <v>0</v>
      </c>
      <c r="L3912">
        <v>0</v>
      </c>
      <c r="M3912" t="s">
        <v>16</v>
      </c>
      <c r="N3912">
        <v>1</v>
      </c>
    </row>
    <row r="3913" hidden="1" spans="1:14">
      <c r="A3913">
        <v>2169</v>
      </c>
      <c r="B3913">
        <v>0</v>
      </c>
      <c r="C3913" t="s">
        <v>950</v>
      </c>
      <c r="D3913" t="s">
        <v>414</v>
      </c>
      <c r="E3913">
        <v>-1.16593</v>
      </c>
      <c r="F3913">
        <v>43.3022</v>
      </c>
      <c r="G3913">
        <v>106247.98</v>
      </c>
      <c r="H3913" s="1">
        <v>37657</v>
      </c>
      <c r="I3913" s="1">
        <v>37665</v>
      </c>
      <c r="J3913" t="s">
        <v>15</v>
      </c>
      <c r="K3913">
        <v>1</v>
      </c>
      <c r="L3913">
        <v>0</v>
      </c>
      <c r="M3913" t="s">
        <v>16</v>
      </c>
      <c r="N3913">
        <v>1</v>
      </c>
    </row>
    <row r="3914" hidden="1" spans="1:14">
      <c r="A3914">
        <v>2179</v>
      </c>
      <c r="B3914">
        <v>0</v>
      </c>
      <c r="C3914" t="s">
        <v>950</v>
      </c>
      <c r="D3914">
        <v>0</v>
      </c>
      <c r="E3914">
        <v>-1.03538</v>
      </c>
      <c r="F3914">
        <v>41.8344</v>
      </c>
      <c r="G3914">
        <v>19395.83</v>
      </c>
      <c r="H3914" s="1">
        <v>37679</v>
      </c>
      <c r="I3914" s="1">
        <v>37690</v>
      </c>
      <c r="J3914" t="s">
        <v>15</v>
      </c>
      <c r="K3914">
        <v>0</v>
      </c>
      <c r="L3914">
        <v>0</v>
      </c>
      <c r="M3914" t="s">
        <v>16</v>
      </c>
      <c r="N3914">
        <v>1</v>
      </c>
    </row>
    <row r="3915" hidden="1" spans="1:14">
      <c r="A3915">
        <v>2386</v>
      </c>
      <c r="B3915">
        <v>0</v>
      </c>
      <c r="C3915" t="s">
        <v>950</v>
      </c>
      <c r="D3915">
        <v>0</v>
      </c>
      <c r="E3915">
        <v>-6.24949</v>
      </c>
      <c r="F3915">
        <v>37.0912</v>
      </c>
      <c r="G3915">
        <v>13377.33</v>
      </c>
      <c r="H3915" s="1">
        <v>37926</v>
      </c>
      <c r="I3915" s="1">
        <v>38004</v>
      </c>
      <c r="J3915" t="s">
        <v>15</v>
      </c>
      <c r="K3915">
        <v>3</v>
      </c>
      <c r="L3915">
        <v>0</v>
      </c>
      <c r="M3915" t="s">
        <v>16</v>
      </c>
      <c r="N3915">
        <v>1</v>
      </c>
    </row>
    <row r="3916" hidden="1" spans="1:14">
      <c r="A3916">
        <v>2561</v>
      </c>
      <c r="B3916">
        <v>0</v>
      </c>
      <c r="C3916" t="s">
        <v>950</v>
      </c>
      <c r="D3916">
        <v>0</v>
      </c>
      <c r="E3916">
        <v>-0.007742</v>
      </c>
      <c r="F3916">
        <v>41.3502</v>
      </c>
      <c r="G3916">
        <v>38945.07</v>
      </c>
      <c r="H3916" s="1">
        <v>38237</v>
      </c>
      <c r="I3916" s="1">
        <v>38238</v>
      </c>
      <c r="J3916" t="s">
        <v>15</v>
      </c>
      <c r="K3916">
        <v>3</v>
      </c>
      <c r="L3916">
        <v>0</v>
      </c>
      <c r="M3916" t="s">
        <v>16</v>
      </c>
      <c r="N3916">
        <v>1</v>
      </c>
    </row>
    <row r="3917" hidden="1" spans="1:14">
      <c r="A3917">
        <v>2751</v>
      </c>
      <c r="B3917">
        <v>0</v>
      </c>
      <c r="C3917" t="s">
        <v>950</v>
      </c>
      <c r="D3917">
        <v>0</v>
      </c>
      <c r="E3917">
        <v>2.69698</v>
      </c>
      <c r="F3917">
        <v>41.8978</v>
      </c>
      <c r="G3917">
        <v>4080.57</v>
      </c>
      <c r="H3917" s="1">
        <v>38638</v>
      </c>
      <c r="I3917" s="1">
        <v>38640</v>
      </c>
      <c r="J3917" t="s">
        <v>15</v>
      </c>
      <c r="K3917">
        <v>4</v>
      </c>
      <c r="L3917">
        <v>0</v>
      </c>
      <c r="M3917" t="s">
        <v>16</v>
      </c>
      <c r="N3917">
        <v>1</v>
      </c>
    </row>
    <row r="3918" hidden="1" spans="1:14">
      <c r="A3918">
        <v>2978</v>
      </c>
      <c r="B3918">
        <v>0</v>
      </c>
      <c r="C3918" t="s">
        <v>950</v>
      </c>
      <c r="D3918" t="s">
        <v>425</v>
      </c>
      <c r="E3918">
        <v>-7.8677</v>
      </c>
      <c r="F3918">
        <v>41.6506</v>
      </c>
      <c r="G3918">
        <v>155288.1</v>
      </c>
      <c r="H3918" s="1">
        <v>39012</v>
      </c>
      <c r="I3918" s="1">
        <v>39029</v>
      </c>
      <c r="J3918" t="s">
        <v>15</v>
      </c>
      <c r="K3918">
        <v>4</v>
      </c>
      <c r="L3918">
        <v>300</v>
      </c>
      <c r="M3918" t="s">
        <v>16</v>
      </c>
      <c r="N3918">
        <v>1</v>
      </c>
    </row>
    <row r="3919" hidden="1" spans="1:14">
      <c r="A3919">
        <v>3047</v>
      </c>
      <c r="B3919">
        <v>0</v>
      </c>
      <c r="C3919" t="s">
        <v>950</v>
      </c>
      <c r="D3919">
        <v>0</v>
      </c>
      <c r="E3919">
        <v>-0.64878</v>
      </c>
      <c r="F3919">
        <v>41.6486</v>
      </c>
      <c r="G3919">
        <v>42036.42</v>
      </c>
      <c r="H3919" s="1">
        <v>39175</v>
      </c>
      <c r="I3919" s="1">
        <v>39180</v>
      </c>
      <c r="J3919" t="s">
        <v>15</v>
      </c>
      <c r="K3919">
        <v>1</v>
      </c>
      <c r="L3919">
        <v>280</v>
      </c>
      <c r="M3919" t="s">
        <v>16</v>
      </c>
      <c r="N3919">
        <v>1</v>
      </c>
    </row>
    <row r="3920" hidden="1" spans="1:14">
      <c r="A3920">
        <v>3082</v>
      </c>
      <c r="B3920">
        <v>0</v>
      </c>
      <c r="C3920" t="s">
        <v>950</v>
      </c>
      <c r="D3920">
        <v>0</v>
      </c>
      <c r="E3920">
        <v>-4.21592</v>
      </c>
      <c r="F3920">
        <v>39.8941</v>
      </c>
      <c r="G3920">
        <v>212702.28</v>
      </c>
      <c r="H3920" s="1">
        <v>39225</v>
      </c>
      <c r="I3920" s="1">
        <v>39228</v>
      </c>
      <c r="J3920" t="s">
        <v>15</v>
      </c>
      <c r="K3920">
        <v>1</v>
      </c>
      <c r="L3920">
        <v>550</v>
      </c>
      <c r="M3920" t="s">
        <v>16</v>
      </c>
      <c r="N3920">
        <v>1</v>
      </c>
    </row>
    <row r="3921" hidden="1" spans="1:14">
      <c r="A3921">
        <v>3204</v>
      </c>
      <c r="B3921">
        <v>0</v>
      </c>
      <c r="C3921" t="s">
        <v>950</v>
      </c>
      <c r="D3921">
        <v>0</v>
      </c>
      <c r="E3921">
        <v>-0.42327</v>
      </c>
      <c r="F3921">
        <v>38.4638</v>
      </c>
      <c r="G3921">
        <v>5461.08</v>
      </c>
      <c r="H3921" s="1">
        <v>39367</v>
      </c>
      <c r="I3921" s="1">
        <v>39373</v>
      </c>
      <c r="J3921" t="s">
        <v>15</v>
      </c>
      <c r="K3921">
        <v>3</v>
      </c>
      <c r="L3921">
        <v>0</v>
      </c>
      <c r="M3921" t="s">
        <v>16</v>
      </c>
      <c r="N3921">
        <v>1</v>
      </c>
    </row>
    <row r="3922" hidden="1" spans="1:14">
      <c r="A3922">
        <v>3546</v>
      </c>
      <c r="B3922">
        <v>0</v>
      </c>
      <c r="C3922" t="s">
        <v>950</v>
      </c>
      <c r="D3922">
        <v>0</v>
      </c>
      <c r="E3922">
        <v>-0.145285</v>
      </c>
      <c r="F3922">
        <v>38.7733</v>
      </c>
      <c r="G3922">
        <v>2459.28</v>
      </c>
      <c r="H3922" s="1">
        <v>40083</v>
      </c>
      <c r="I3922" s="1">
        <v>40084</v>
      </c>
      <c r="J3922">
        <v>0</v>
      </c>
      <c r="K3922">
        <v>0</v>
      </c>
      <c r="L3922">
        <v>0</v>
      </c>
      <c r="M3922" t="s">
        <v>49</v>
      </c>
      <c r="N3922">
        <v>1</v>
      </c>
    </row>
    <row r="3923" hidden="1" spans="1:14">
      <c r="A3923">
        <v>3571</v>
      </c>
      <c r="B3923">
        <v>0</v>
      </c>
      <c r="C3923" t="s">
        <v>950</v>
      </c>
      <c r="D3923">
        <v>0</v>
      </c>
      <c r="E3923">
        <v>-7.51247</v>
      </c>
      <c r="F3923">
        <v>42.5278</v>
      </c>
      <c r="G3923">
        <v>39815.5</v>
      </c>
      <c r="H3923" s="1">
        <v>40132</v>
      </c>
      <c r="I3923" s="1">
        <v>40133</v>
      </c>
      <c r="J3923">
        <v>0</v>
      </c>
      <c r="K3923">
        <v>0</v>
      </c>
      <c r="L3923">
        <v>1793</v>
      </c>
      <c r="M3923" t="s">
        <v>52</v>
      </c>
      <c r="N3923">
        <v>1</v>
      </c>
    </row>
    <row r="3924" hidden="1" spans="1:14">
      <c r="A3924">
        <v>3611</v>
      </c>
      <c r="B3924">
        <v>0</v>
      </c>
      <c r="C3924" t="s">
        <v>950</v>
      </c>
      <c r="D3924">
        <v>0</v>
      </c>
      <c r="E3924">
        <v>-4.04265</v>
      </c>
      <c r="F3924">
        <v>38.9763</v>
      </c>
      <c r="G3924">
        <v>98474.34</v>
      </c>
      <c r="H3924" s="1">
        <v>40232</v>
      </c>
      <c r="I3924" s="1">
        <v>40233</v>
      </c>
      <c r="J3924">
        <v>0</v>
      </c>
      <c r="K3924">
        <v>32</v>
      </c>
      <c r="L3924">
        <v>1200</v>
      </c>
      <c r="M3924" t="s">
        <v>49</v>
      </c>
      <c r="N3924">
        <v>1</v>
      </c>
    </row>
    <row r="3925" hidden="1" spans="1:14">
      <c r="A3925">
        <v>3660</v>
      </c>
      <c r="B3925">
        <v>0</v>
      </c>
      <c r="C3925" t="s">
        <v>950</v>
      </c>
      <c r="D3925">
        <v>0</v>
      </c>
      <c r="E3925">
        <v>-6.21639</v>
      </c>
      <c r="F3925">
        <v>43.3544</v>
      </c>
      <c r="G3925">
        <v>6135.21</v>
      </c>
      <c r="H3925" s="1">
        <v>40340</v>
      </c>
      <c r="I3925" s="1">
        <v>40342</v>
      </c>
      <c r="J3925">
        <v>0</v>
      </c>
      <c r="K3925">
        <v>2</v>
      </c>
      <c r="L3925">
        <v>0</v>
      </c>
      <c r="M3925" t="s">
        <v>52</v>
      </c>
      <c r="N3925">
        <v>1.5</v>
      </c>
    </row>
    <row r="3926" hidden="1" spans="1:14">
      <c r="A3926">
        <v>3758</v>
      </c>
      <c r="B3926">
        <v>0</v>
      </c>
      <c r="C3926" t="s">
        <v>950</v>
      </c>
      <c r="D3926">
        <v>0</v>
      </c>
      <c r="E3926">
        <v>-5.86579</v>
      </c>
      <c r="F3926">
        <v>37.811</v>
      </c>
      <c r="G3926">
        <v>22049.53</v>
      </c>
      <c r="H3926" s="1">
        <v>40518</v>
      </c>
      <c r="I3926" s="1">
        <v>40522</v>
      </c>
      <c r="J3926" t="s">
        <v>15</v>
      </c>
      <c r="K3926">
        <v>0</v>
      </c>
      <c r="L3926">
        <v>30</v>
      </c>
      <c r="M3926" t="s">
        <v>49</v>
      </c>
      <c r="N3926">
        <v>1</v>
      </c>
    </row>
    <row r="3927" hidden="1" spans="1:14">
      <c r="A3927">
        <v>4003</v>
      </c>
      <c r="C3927" t="s">
        <v>950</v>
      </c>
      <c r="E3927">
        <v>-3.62785</v>
      </c>
      <c r="F3927">
        <v>37.0752</v>
      </c>
      <c r="G3927">
        <v>12226.85</v>
      </c>
      <c r="H3927" s="1">
        <v>41226</v>
      </c>
      <c r="I3927" s="1">
        <v>41231</v>
      </c>
      <c r="J3927" t="s">
        <v>15</v>
      </c>
      <c r="K3927">
        <v>0</v>
      </c>
      <c r="L3927">
        <v>120</v>
      </c>
      <c r="M3927" t="s">
        <v>52</v>
      </c>
      <c r="N3927">
        <v>1</v>
      </c>
    </row>
    <row r="3928" hidden="1" spans="1:14">
      <c r="A3928">
        <v>4038</v>
      </c>
      <c r="C3928" t="s">
        <v>950</v>
      </c>
      <c r="E3928">
        <v>-2.94021</v>
      </c>
      <c r="F3928">
        <v>37.8967</v>
      </c>
      <c r="G3928">
        <v>12282.15</v>
      </c>
      <c r="H3928" s="1">
        <v>41346</v>
      </c>
      <c r="I3928" s="1">
        <v>41350</v>
      </c>
      <c r="J3928" t="s">
        <v>15</v>
      </c>
      <c r="K3928">
        <v>0</v>
      </c>
      <c r="L3928">
        <v>200</v>
      </c>
      <c r="M3928" t="s">
        <v>49</v>
      </c>
      <c r="N3928">
        <v>1</v>
      </c>
    </row>
    <row r="3929" hidden="1" spans="1:14">
      <c r="A3929">
        <v>4042</v>
      </c>
      <c r="C3929" t="s">
        <v>950</v>
      </c>
      <c r="E3929">
        <v>-3.81041</v>
      </c>
      <c r="F3929">
        <v>40.2882</v>
      </c>
      <c r="G3929">
        <v>53241.03</v>
      </c>
      <c r="H3929" s="1">
        <v>41364</v>
      </c>
      <c r="I3929" s="1">
        <v>41367</v>
      </c>
      <c r="J3929" t="s">
        <v>15</v>
      </c>
      <c r="K3929">
        <v>2</v>
      </c>
      <c r="L3929">
        <v>300</v>
      </c>
      <c r="M3929" t="s">
        <v>52</v>
      </c>
      <c r="N3929">
        <v>1.5</v>
      </c>
    </row>
    <row r="3930" hidden="1" spans="1:14">
      <c r="A3930">
        <v>4199</v>
      </c>
      <c r="C3930" t="s">
        <v>950</v>
      </c>
      <c r="E3930">
        <v>-16.5329</v>
      </c>
      <c r="F3930">
        <v>28.2782</v>
      </c>
      <c r="G3930">
        <v>7566.97</v>
      </c>
      <c r="H3930" s="1">
        <v>41931</v>
      </c>
      <c r="I3930" s="1">
        <v>41934</v>
      </c>
      <c r="J3930" t="s">
        <v>15</v>
      </c>
      <c r="K3930">
        <v>1</v>
      </c>
      <c r="L3930">
        <v>0</v>
      </c>
      <c r="M3930" t="s">
        <v>52</v>
      </c>
      <c r="N3930">
        <v>1</v>
      </c>
    </row>
    <row r="3931" hidden="1" spans="1:14">
      <c r="A3931">
        <v>4407</v>
      </c>
      <c r="C3931" t="s">
        <v>950</v>
      </c>
      <c r="E3931">
        <v>2.10111</v>
      </c>
      <c r="F3931">
        <v>41.5692</v>
      </c>
      <c r="G3931">
        <v>13988.78</v>
      </c>
      <c r="H3931" s="1">
        <v>42655</v>
      </c>
      <c r="I3931" s="1">
        <v>42659</v>
      </c>
      <c r="J3931" t="s">
        <v>15</v>
      </c>
      <c r="K3931">
        <v>1</v>
      </c>
      <c r="L3931">
        <v>0</v>
      </c>
      <c r="M3931" t="s">
        <v>52</v>
      </c>
      <c r="N3931">
        <v>1</v>
      </c>
    </row>
    <row r="3932" hidden="1" spans="1:14">
      <c r="A3932">
        <v>4419</v>
      </c>
      <c r="C3932" t="s">
        <v>950</v>
      </c>
      <c r="E3932">
        <v>-4.48066</v>
      </c>
      <c r="F3932">
        <v>37.0601</v>
      </c>
      <c r="G3932">
        <v>68802.43</v>
      </c>
      <c r="H3932" s="1">
        <v>42707</v>
      </c>
      <c r="I3932" s="1">
        <v>42711</v>
      </c>
      <c r="J3932" t="s">
        <v>15</v>
      </c>
      <c r="K3932">
        <v>0</v>
      </c>
      <c r="L3932">
        <v>2</v>
      </c>
      <c r="M3932" t="s">
        <v>52</v>
      </c>
      <c r="N3932">
        <v>1.5</v>
      </c>
    </row>
    <row r="3933" hidden="1" spans="1:14">
      <c r="A3933">
        <v>4453</v>
      </c>
      <c r="C3933" t="s">
        <v>950</v>
      </c>
      <c r="E3933">
        <v>-1.33823</v>
      </c>
      <c r="F3933">
        <v>38.0498</v>
      </c>
      <c r="G3933">
        <v>28021.28</v>
      </c>
      <c r="H3933" s="1">
        <v>42807</v>
      </c>
      <c r="I3933" s="1">
        <v>42816</v>
      </c>
      <c r="J3933" t="s">
        <v>15</v>
      </c>
      <c r="K3933">
        <v>0</v>
      </c>
      <c r="L3933">
        <v>0</v>
      </c>
      <c r="M3933" t="s">
        <v>52</v>
      </c>
      <c r="N3933">
        <v>1</v>
      </c>
    </row>
    <row r="3934" hidden="1" spans="1:14">
      <c r="A3934">
        <v>4600</v>
      </c>
      <c r="C3934" t="s">
        <v>950</v>
      </c>
      <c r="E3934">
        <v>-0.967082</v>
      </c>
      <c r="F3934">
        <v>42.1165</v>
      </c>
      <c r="G3934">
        <v>54743.52</v>
      </c>
      <c r="H3934" s="1">
        <v>43202</v>
      </c>
      <c r="I3934" s="1">
        <v>43207</v>
      </c>
      <c r="J3934" t="s">
        <v>56</v>
      </c>
      <c r="K3934">
        <v>1</v>
      </c>
      <c r="L3934">
        <v>0</v>
      </c>
      <c r="M3934" t="s">
        <v>67</v>
      </c>
      <c r="N3934">
        <v>1.5</v>
      </c>
    </row>
    <row r="3935" hidden="1" spans="1:14">
      <c r="A3935">
        <v>4629</v>
      </c>
      <c r="C3935" t="s">
        <v>950</v>
      </c>
      <c r="E3935">
        <v>-0.843705</v>
      </c>
      <c r="F3935">
        <v>39.6857</v>
      </c>
      <c r="G3935">
        <v>48492.05</v>
      </c>
      <c r="H3935" s="1">
        <v>43253</v>
      </c>
      <c r="I3935" s="1">
        <v>43255</v>
      </c>
      <c r="J3935" t="s">
        <v>56</v>
      </c>
      <c r="K3935">
        <v>0</v>
      </c>
      <c r="L3935">
        <v>10</v>
      </c>
      <c r="M3935" t="s">
        <v>49</v>
      </c>
      <c r="N3935">
        <v>1</v>
      </c>
    </row>
    <row r="3936" hidden="1" spans="1:14">
      <c r="A3936">
        <v>4688</v>
      </c>
      <c r="C3936" t="s">
        <v>950</v>
      </c>
      <c r="E3936">
        <v>2.93621</v>
      </c>
      <c r="F3936">
        <v>39.591</v>
      </c>
      <c r="G3936">
        <v>2882.25</v>
      </c>
      <c r="H3936" s="1">
        <v>43382</v>
      </c>
      <c r="I3936" s="1">
        <v>43384</v>
      </c>
      <c r="J3936" t="s">
        <v>56</v>
      </c>
      <c r="K3936">
        <v>5</v>
      </c>
      <c r="L3936">
        <v>200</v>
      </c>
      <c r="M3936" t="s">
        <v>52</v>
      </c>
      <c r="N3936">
        <v>1.5</v>
      </c>
    </row>
    <row r="3937" hidden="1" spans="1:14">
      <c r="A3937">
        <v>4698</v>
      </c>
      <c r="C3937" t="s">
        <v>950</v>
      </c>
      <c r="E3937">
        <v>-1.63516</v>
      </c>
      <c r="F3937">
        <v>38.5458</v>
      </c>
      <c r="G3937">
        <v>86600.48</v>
      </c>
      <c r="H3937" s="1">
        <v>43391</v>
      </c>
      <c r="I3937" s="1">
        <v>43395</v>
      </c>
      <c r="J3937" t="s">
        <v>56</v>
      </c>
      <c r="K3937">
        <v>1</v>
      </c>
      <c r="L3937">
        <v>36</v>
      </c>
      <c r="M3937" t="s">
        <v>52</v>
      </c>
      <c r="N3937">
        <v>1.5</v>
      </c>
    </row>
    <row r="3938" hidden="1" spans="1:14">
      <c r="A3938">
        <v>4721</v>
      </c>
      <c r="C3938" t="s">
        <v>950</v>
      </c>
      <c r="E3938">
        <v>-6.22508</v>
      </c>
      <c r="F3938">
        <v>43.2839</v>
      </c>
      <c r="G3938">
        <v>6802.4</v>
      </c>
      <c r="H3938" s="1">
        <v>43487</v>
      </c>
      <c r="I3938" s="1">
        <v>43490</v>
      </c>
      <c r="J3938" t="s">
        <v>181</v>
      </c>
      <c r="K3938">
        <v>4</v>
      </c>
      <c r="L3938">
        <v>0</v>
      </c>
      <c r="M3938" t="s">
        <v>49</v>
      </c>
      <c r="N3938">
        <v>1</v>
      </c>
    </row>
    <row r="3939" hidden="1" spans="1:14">
      <c r="A3939">
        <v>4742</v>
      </c>
      <c r="C3939" t="s">
        <v>950</v>
      </c>
      <c r="E3939">
        <v>-0.076316</v>
      </c>
      <c r="F3939">
        <v>39.8586</v>
      </c>
      <c r="G3939">
        <v>53290.58</v>
      </c>
      <c r="H3939" s="1">
        <v>43573</v>
      </c>
      <c r="I3939" s="1">
        <v>43578</v>
      </c>
      <c r="J3939" t="s">
        <v>56</v>
      </c>
      <c r="K3939">
        <v>0</v>
      </c>
      <c r="L3939">
        <v>100</v>
      </c>
      <c r="M3939" t="s">
        <v>52</v>
      </c>
      <c r="N3939">
        <v>1.5</v>
      </c>
    </row>
    <row r="3940" hidden="1" spans="1:14">
      <c r="A3940">
        <v>4796</v>
      </c>
      <c r="C3940" t="s">
        <v>950</v>
      </c>
      <c r="E3940">
        <v>-1.0908</v>
      </c>
      <c r="F3940">
        <v>38.0496</v>
      </c>
      <c r="G3940">
        <v>9114.7</v>
      </c>
      <c r="H3940" s="1">
        <v>43720</v>
      </c>
      <c r="I3940" s="1">
        <v>43722</v>
      </c>
      <c r="J3940" t="s">
        <v>56</v>
      </c>
      <c r="K3940">
        <v>3</v>
      </c>
      <c r="L3940">
        <v>300</v>
      </c>
      <c r="M3940" t="s">
        <v>52</v>
      </c>
      <c r="N3940">
        <v>1.5</v>
      </c>
    </row>
    <row r="3941" hidden="1" spans="1:14">
      <c r="A3941">
        <v>4862</v>
      </c>
      <c r="C3941" t="s">
        <v>950</v>
      </c>
      <c r="E3941">
        <v>0.62926</v>
      </c>
      <c r="F3941">
        <v>40.8939</v>
      </c>
      <c r="G3941">
        <v>15420.14</v>
      </c>
      <c r="H3941" s="1">
        <v>43850</v>
      </c>
      <c r="I3941" s="1">
        <v>43857</v>
      </c>
      <c r="J3941" t="s">
        <v>56</v>
      </c>
      <c r="K3941">
        <v>13</v>
      </c>
      <c r="L3941">
        <v>2000</v>
      </c>
      <c r="M3941" t="s">
        <v>951</v>
      </c>
      <c r="N3941">
        <v>2</v>
      </c>
    </row>
    <row r="3942" hidden="1" spans="1:14">
      <c r="A3942">
        <v>4891</v>
      </c>
      <c r="C3942" t="s">
        <v>950</v>
      </c>
      <c r="E3942">
        <v>-0.101059</v>
      </c>
      <c r="F3942">
        <v>40.132</v>
      </c>
      <c r="G3942">
        <v>4269.15</v>
      </c>
      <c r="H3942" s="1">
        <v>43922</v>
      </c>
      <c r="I3942" s="1">
        <v>43923</v>
      </c>
      <c r="J3942" t="s">
        <v>56</v>
      </c>
      <c r="K3942">
        <v>0</v>
      </c>
      <c r="L3942">
        <v>91</v>
      </c>
      <c r="M3942" t="s">
        <v>52</v>
      </c>
      <c r="N3942">
        <v>1.5</v>
      </c>
    </row>
    <row r="3943" hidden="1" spans="1:14">
      <c r="A3943">
        <v>5038</v>
      </c>
      <c r="C3943" t="s">
        <v>950</v>
      </c>
      <c r="E3943">
        <v>-4.28271</v>
      </c>
      <c r="F3943">
        <v>37.2279</v>
      </c>
      <c r="G3943">
        <v>74893.28</v>
      </c>
      <c r="H3943" s="1">
        <v>44260</v>
      </c>
      <c r="I3943" s="1">
        <v>44263</v>
      </c>
      <c r="J3943" t="s">
        <v>56</v>
      </c>
      <c r="K3943">
        <v>0</v>
      </c>
      <c r="L3943">
        <v>55</v>
      </c>
      <c r="M3943" t="s">
        <v>52</v>
      </c>
      <c r="N3943">
        <v>1.5</v>
      </c>
    </row>
    <row r="3944" hidden="1" spans="1:14">
      <c r="A3944">
        <v>5119</v>
      </c>
      <c r="C3944" t="s">
        <v>950</v>
      </c>
      <c r="E3944">
        <v>-5.86629</v>
      </c>
      <c r="F3944">
        <v>36.6638</v>
      </c>
      <c r="G3944">
        <v>9004.19</v>
      </c>
      <c r="H3944" s="1">
        <v>44462</v>
      </c>
      <c r="I3944" s="1">
        <v>44463</v>
      </c>
      <c r="J3944" t="s">
        <v>56</v>
      </c>
      <c r="K3944">
        <v>0</v>
      </c>
      <c r="L3944">
        <v>0</v>
      </c>
      <c r="M3944" t="s">
        <v>52</v>
      </c>
      <c r="N3944">
        <v>1</v>
      </c>
    </row>
    <row r="3945" hidden="1" spans="1:14">
      <c r="A3945">
        <v>207</v>
      </c>
      <c r="B3945">
        <v>0</v>
      </c>
      <c r="C3945" t="s">
        <v>952</v>
      </c>
      <c r="D3945">
        <v>0</v>
      </c>
      <c r="E3945">
        <v>-2.07723</v>
      </c>
      <c r="F3945">
        <v>43.107</v>
      </c>
      <c r="G3945">
        <v>1326.43</v>
      </c>
      <c r="H3945" s="1">
        <v>32343</v>
      </c>
      <c r="I3945" s="1">
        <v>32344</v>
      </c>
      <c r="J3945" t="s">
        <v>15</v>
      </c>
      <c r="K3945">
        <v>9</v>
      </c>
      <c r="L3945">
        <v>0</v>
      </c>
      <c r="M3945" t="s">
        <v>64</v>
      </c>
      <c r="N3945">
        <v>1</v>
      </c>
    </row>
    <row r="3946" hidden="1" spans="1:14">
      <c r="A3946">
        <v>267</v>
      </c>
      <c r="B3946">
        <v>0</v>
      </c>
      <c r="C3946" t="s">
        <v>952</v>
      </c>
      <c r="D3946">
        <v>0</v>
      </c>
      <c r="E3946">
        <v>-0.560405</v>
      </c>
      <c r="F3946">
        <v>39.7108</v>
      </c>
      <c r="G3946">
        <v>2650.68</v>
      </c>
      <c r="H3946" s="1">
        <v>32459</v>
      </c>
      <c r="I3946" s="1">
        <v>32460</v>
      </c>
      <c r="J3946" t="s">
        <v>15</v>
      </c>
      <c r="K3946">
        <v>5</v>
      </c>
      <c r="L3946">
        <v>800</v>
      </c>
      <c r="M3946" t="s">
        <v>16</v>
      </c>
      <c r="N3946">
        <v>1</v>
      </c>
    </row>
    <row r="3947" hidden="1" spans="1:14">
      <c r="A3947">
        <v>1700</v>
      </c>
      <c r="B3947">
        <v>0</v>
      </c>
      <c r="C3947" t="s">
        <v>952</v>
      </c>
      <c r="D3947">
        <v>0</v>
      </c>
      <c r="E3947">
        <v>-4.18651</v>
      </c>
      <c r="F3947">
        <v>42.0216</v>
      </c>
      <c r="G3947">
        <v>23423.92</v>
      </c>
      <c r="H3947" s="1">
        <v>36956</v>
      </c>
      <c r="I3947" s="1">
        <v>36957</v>
      </c>
      <c r="J3947" t="s">
        <v>15</v>
      </c>
      <c r="K3947">
        <v>1</v>
      </c>
      <c r="L3947">
        <v>0</v>
      </c>
      <c r="M3947" t="s">
        <v>16</v>
      </c>
      <c r="N3947">
        <v>2</v>
      </c>
    </row>
    <row r="3948" hidden="1" spans="1:14">
      <c r="A3948">
        <v>338</v>
      </c>
      <c r="B3948">
        <v>0</v>
      </c>
      <c r="C3948" t="s">
        <v>474</v>
      </c>
      <c r="D3948">
        <v>0</v>
      </c>
      <c r="E3948">
        <v>81.3231</v>
      </c>
      <c r="F3948">
        <v>7.71597</v>
      </c>
      <c r="G3948">
        <v>8033.38</v>
      </c>
      <c r="H3948" s="1">
        <v>32716</v>
      </c>
      <c r="I3948" s="1">
        <v>32720</v>
      </c>
      <c r="J3948" t="s">
        <v>15</v>
      </c>
      <c r="K3948">
        <v>160</v>
      </c>
      <c r="L3948">
        <v>0</v>
      </c>
      <c r="M3948" t="s">
        <v>23</v>
      </c>
      <c r="N3948">
        <v>1</v>
      </c>
    </row>
    <row r="3949" hidden="1" spans="1:14">
      <c r="A3949">
        <v>380</v>
      </c>
      <c r="B3949">
        <v>0</v>
      </c>
      <c r="C3949" t="s">
        <v>474</v>
      </c>
      <c r="D3949">
        <v>0</v>
      </c>
      <c r="E3949">
        <v>80.4851</v>
      </c>
      <c r="F3949">
        <v>6.65677</v>
      </c>
      <c r="G3949">
        <v>15519.2</v>
      </c>
      <c r="H3949" s="1">
        <v>32831</v>
      </c>
      <c r="I3949" s="1">
        <v>32848</v>
      </c>
      <c r="J3949" t="s">
        <v>15</v>
      </c>
      <c r="K3949">
        <v>4</v>
      </c>
      <c r="L3949">
        <v>0</v>
      </c>
      <c r="M3949" t="s">
        <v>16</v>
      </c>
      <c r="N3949">
        <v>1</v>
      </c>
    </row>
    <row r="3950" hidden="1" spans="1:14">
      <c r="A3950">
        <v>307</v>
      </c>
      <c r="B3950">
        <v>0</v>
      </c>
      <c r="C3950" t="s">
        <v>474</v>
      </c>
      <c r="D3950">
        <v>0</v>
      </c>
      <c r="E3950">
        <v>80.3513</v>
      </c>
      <c r="F3950">
        <v>7.12449</v>
      </c>
      <c r="G3950">
        <v>2734.99</v>
      </c>
      <c r="H3950" s="1">
        <v>32658</v>
      </c>
      <c r="I3950" s="1">
        <v>32670</v>
      </c>
      <c r="J3950" t="s">
        <v>15</v>
      </c>
      <c r="K3950">
        <v>315</v>
      </c>
      <c r="L3950">
        <v>300000</v>
      </c>
      <c r="M3950" t="s">
        <v>16</v>
      </c>
      <c r="N3950">
        <v>1</v>
      </c>
    </row>
    <row r="3951" hidden="1" spans="1:14">
      <c r="A3951">
        <v>323</v>
      </c>
      <c r="B3951">
        <v>0</v>
      </c>
      <c r="C3951" t="s">
        <v>474</v>
      </c>
      <c r="D3951">
        <v>0</v>
      </c>
      <c r="E3951">
        <v>80.4294</v>
      </c>
      <c r="F3951">
        <v>6.91447</v>
      </c>
      <c r="G3951">
        <v>4308.44</v>
      </c>
      <c r="H3951" s="1">
        <v>32700</v>
      </c>
      <c r="I3951" s="1">
        <v>32705</v>
      </c>
      <c r="J3951" t="s">
        <v>15</v>
      </c>
      <c r="K3951">
        <v>14</v>
      </c>
      <c r="L3951">
        <v>20000</v>
      </c>
      <c r="M3951" t="s">
        <v>16</v>
      </c>
      <c r="N3951">
        <v>1</v>
      </c>
    </row>
    <row r="3952" hidden="1" spans="1:14">
      <c r="A3952">
        <v>385</v>
      </c>
      <c r="B3952">
        <v>0</v>
      </c>
      <c r="C3952" t="s">
        <v>474</v>
      </c>
      <c r="D3952">
        <v>0</v>
      </c>
      <c r="E3952">
        <v>80.8228</v>
      </c>
      <c r="F3952">
        <v>7.60118</v>
      </c>
      <c r="G3952">
        <v>55379.93</v>
      </c>
      <c r="H3952" s="1">
        <v>32876</v>
      </c>
      <c r="I3952" s="1">
        <v>32887</v>
      </c>
      <c r="J3952" t="s">
        <v>15</v>
      </c>
      <c r="K3952">
        <v>33</v>
      </c>
      <c r="L3952">
        <v>150612</v>
      </c>
      <c r="M3952" t="s">
        <v>16</v>
      </c>
      <c r="N3952">
        <v>1</v>
      </c>
    </row>
    <row r="3953" hidden="1" spans="1:14">
      <c r="A3953">
        <v>484</v>
      </c>
      <c r="B3953">
        <v>0</v>
      </c>
      <c r="C3953" t="s">
        <v>474</v>
      </c>
      <c r="D3953">
        <v>0</v>
      </c>
      <c r="E3953">
        <v>81.4966</v>
      </c>
      <c r="F3953">
        <v>7.03456</v>
      </c>
      <c r="G3953">
        <v>9706.02</v>
      </c>
      <c r="H3953" s="1">
        <v>33230</v>
      </c>
      <c r="I3953" s="1">
        <v>33234</v>
      </c>
      <c r="J3953" t="s">
        <v>15</v>
      </c>
      <c r="K3953">
        <v>0</v>
      </c>
      <c r="L3953">
        <v>40000</v>
      </c>
      <c r="M3953" t="s">
        <v>16</v>
      </c>
      <c r="N3953">
        <v>1</v>
      </c>
    </row>
    <row r="3954" hidden="1" spans="1:14">
      <c r="A3954">
        <v>518</v>
      </c>
      <c r="B3954">
        <v>0</v>
      </c>
      <c r="C3954" t="s">
        <v>474</v>
      </c>
      <c r="D3954">
        <v>0</v>
      </c>
      <c r="E3954">
        <v>80.685</v>
      </c>
      <c r="F3954">
        <v>7.30256</v>
      </c>
      <c r="G3954">
        <v>42642.33</v>
      </c>
      <c r="H3954" s="1">
        <v>33391</v>
      </c>
      <c r="I3954" s="1">
        <v>33395</v>
      </c>
      <c r="J3954" t="s">
        <v>15</v>
      </c>
      <c r="K3954">
        <v>31</v>
      </c>
      <c r="L3954">
        <v>191700</v>
      </c>
      <c r="M3954" t="s">
        <v>23</v>
      </c>
      <c r="N3954">
        <v>1</v>
      </c>
    </row>
    <row r="3955" hidden="1" spans="1:14">
      <c r="A3955">
        <v>605</v>
      </c>
      <c r="B3955">
        <v>0</v>
      </c>
      <c r="C3955" t="s">
        <v>474</v>
      </c>
      <c r="D3955">
        <v>0</v>
      </c>
      <c r="E3955">
        <v>81.6191</v>
      </c>
      <c r="F3955">
        <v>7.6433</v>
      </c>
      <c r="G3955">
        <v>1889.72</v>
      </c>
      <c r="H3955" s="1">
        <v>33584</v>
      </c>
      <c r="I3955" s="1">
        <v>33587</v>
      </c>
      <c r="J3955" t="s">
        <v>15</v>
      </c>
      <c r="K3955">
        <v>0</v>
      </c>
      <c r="L3955">
        <v>10000</v>
      </c>
      <c r="M3955" t="s">
        <v>16</v>
      </c>
      <c r="N3955">
        <v>1</v>
      </c>
    </row>
    <row r="3956" hidden="1" spans="1:14">
      <c r="A3956">
        <v>650</v>
      </c>
      <c r="B3956">
        <v>0</v>
      </c>
      <c r="C3956" t="s">
        <v>474</v>
      </c>
      <c r="D3956">
        <v>0</v>
      </c>
      <c r="E3956">
        <v>80.4246</v>
      </c>
      <c r="F3956">
        <v>6.60577</v>
      </c>
      <c r="G3956">
        <v>11670.56</v>
      </c>
      <c r="H3956" s="1">
        <v>33760</v>
      </c>
      <c r="I3956" s="1">
        <v>33763</v>
      </c>
      <c r="J3956" t="s">
        <v>15</v>
      </c>
      <c r="K3956">
        <v>14</v>
      </c>
      <c r="L3956">
        <v>100000</v>
      </c>
      <c r="M3956" t="s">
        <v>23</v>
      </c>
      <c r="N3956">
        <v>2</v>
      </c>
    </row>
    <row r="3957" hidden="1" spans="1:14">
      <c r="A3957">
        <v>809</v>
      </c>
      <c r="B3957">
        <v>0</v>
      </c>
      <c r="C3957" t="s">
        <v>474</v>
      </c>
      <c r="D3957">
        <v>0</v>
      </c>
      <c r="E3957">
        <v>80.7928</v>
      </c>
      <c r="F3957">
        <v>8.56672</v>
      </c>
      <c r="G3957">
        <v>24712.98</v>
      </c>
      <c r="H3957" s="1">
        <v>34318</v>
      </c>
      <c r="I3957" s="1">
        <v>34330</v>
      </c>
      <c r="J3957" t="s">
        <v>15</v>
      </c>
      <c r="K3957">
        <v>0</v>
      </c>
      <c r="L3957">
        <v>500000</v>
      </c>
      <c r="M3957" t="s">
        <v>16</v>
      </c>
      <c r="N3957">
        <v>2</v>
      </c>
    </row>
    <row r="3958" hidden="1" spans="1:14">
      <c r="A3958">
        <v>846</v>
      </c>
      <c r="B3958">
        <v>0</v>
      </c>
      <c r="C3958" t="s">
        <v>474</v>
      </c>
      <c r="D3958">
        <v>0</v>
      </c>
      <c r="E3958">
        <v>80.3366</v>
      </c>
      <c r="F3958">
        <v>6.61343</v>
      </c>
      <c r="G3958">
        <v>3394.93</v>
      </c>
      <c r="H3958" s="1">
        <v>34479</v>
      </c>
      <c r="I3958" s="1">
        <v>34482</v>
      </c>
      <c r="J3958" t="s">
        <v>15</v>
      </c>
      <c r="K3958">
        <v>7</v>
      </c>
      <c r="L3958">
        <v>0</v>
      </c>
      <c r="M3958" t="s">
        <v>23</v>
      </c>
      <c r="N3958">
        <v>1</v>
      </c>
    </row>
    <row r="3959" hidden="1" spans="1:14">
      <c r="A3959">
        <v>951</v>
      </c>
      <c r="B3959">
        <v>0</v>
      </c>
      <c r="C3959" t="s">
        <v>474</v>
      </c>
      <c r="D3959">
        <v>0</v>
      </c>
      <c r="E3959">
        <v>80.1122</v>
      </c>
      <c r="F3959">
        <v>7.89697</v>
      </c>
      <c r="G3959">
        <v>27548.59</v>
      </c>
      <c r="H3959" s="1">
        <v>34826</v>
      </c>
      <c r="I3959" s="1">
        <v>34830</v>
      </c>
      <c r="J3959" t="s">
        <v>15</v>
      </c>
      <c r="K3959">
        <v>1</v>
      </c>
      <c r="L3959">
        <v>40000</v>
      </c>
      <c r="M3959" t="s">
        <v>16</v>
      </c>
      <c r="N3959">
        <v>1</v>
      </c>
    </row>
    <row r="3960" hidden="1" spans="1:14">
      <c r="A3960">
        <v>1020</v>
      </c>
      <c r="B3960">
        <v>0</v>
      </c>
      <c r="C3960" t="s">
        <v>474</v>
      </c>
      <c r="D3960">
        <v>0</v>
      </c>
      <c r="E3960">
        <v>80.5114</v>
      </c>
      <c r="F3960">
        <v>6.83476</v>
      </c>
      <c r="G3960">
        <v>5264.98</v>
      </c>
      <c r="H3960" s="1">
        <v>34981</v>
      </c>
      <c r="I3960" s="1">
        <v>34984</v>
      </c>
      <c r="J3960" t="s">
        <v>15</v>
      </c>
      <c r="K3960">
        <v>6</v>
      </c>
      <c r="L3960">
        <v>1000</v>
      </c>
      <c r="M3960" t="s">
        <v>16</v>
      </c>
      <c r="N3960">
        <v>1</v>
      </c>
    </row>
    <row r="3961" hidden="1" spans="1:14">
      <c r="A3961">
        <v>1184</v>
      </c>
      <c r="B3961">
        <v>0</v>
      </c>
      <c r="C3961" t="s">
        <v>474</v>
      </c>
      <c r="D3961">
        <v>0</v>
      </c>
      <c r="E3961">
        <v>80.2592</v>
      </c>
      <c r="F3961">
        <v>6.90986</v>
      </c>
      <c r="G3961">
        <v>11299.62</v>
      </c>
      <c r="H3961" s="1">
        <v>35686</v>
      </c>
      <c r="I3961" s="1">
        <v>35690</v>
      </c>
      <c r="J3961" t="s">
        <v>15</v>
      </c>
      <c r="K3961">
        <v>10</v>
      </c>
      <c r="L3961">
        <v>5000</v>
      </c>
      <c r="M3961" t="s">
        <v>16</v>
      </c>
      <c r="N3961">
        <v>1</v>
      </c>
    </row>
    <row r="3962" hidden="1" spans="1:14">
      <c r="A3962">
        <v>1417</v>
      </c>
      <c r="B3962">
        <v>0</v>
      </c>
      <c r="C3962" t="s">
        <v>474</v>
      </c>
      <c r="D3962">
        <v>0</v>
      </c>
      <c r="E3962">
        <v>80.2213</v>
      </c>
      <c r="F3962">
        <v>7.38157</v>
      </c>
      <c r="G3962">
        <v>5703.44</v>
      </c>
      <c r="H3962" s="1">
        <v>35993</v>
      </c>
      <c r="I3962" s="1">
        <v>35996</v>
      </c>
      <c r="J3962" t="s">
        <v>15</v>
      </c>
      <c r="K3962">
        <v>1</v>
      </c>
      <c r="L3962">
        <v>12500</v>
      </c>
      <c r="M3962" t="s">
        <v>18</v>
      </c>
      <c r="N3962">
        <v>1</v>
      </c>
    </row>
    <row r="3963" hidden="1" spans="1:14">
      <c r="A3963">
        <v>1480</v>
      </c>
      <c r="B3963">
        <v>0</v>
      </c>
      <c r="C3963" t="s">
        <v>474</v>
      </c>
      <c r="E3963">
        <v>81.3665</v>
      </c>
      <c r="F3963">
        <v>7.95553</v>
      </c>
      <c r="G3963">
        <v>21112.23</v>
      </c>
      <c r="H3963" s="1">
        <v>36149</v>
      </c>
      <c r="I3963" s="1">
        <v>36149</v>
      </c>
      <c r="J3963" t="s">
        <v>15</v>
      </c>
      <c r="K3963">
        <v>0</v>
      </c>
      <c r="L3963">
        <v>0</v>
      </c>
      <c r="M3963">
        <v>0</v>
      </c>
      <c r="N3963">
        <v>1</v>
      </c>
    </row>
    <row r="3964" hidden="1" spans="1:14">
      <c r="A3964">
        <v>1505</v>
      </c>
      <c r="B3964">
        <v>0</v>
      </c>
      <c r="C3964" t="s">
        <v>474</v>
      </c>
      <c r="D3964">
        <v>0</v>
      </c>
      <c r="E3964">
        <v>80.6769</v>
      </c>
      <c r="F3964">
        <v>7.44822</v>
      </c>
      <c r="G3964">
        <v>19024.24</v>
      </c>
      <c r="H3964" s="1">
        <v>36267</v>
      </c>
      <c r="I3964" s="1">
        <v>36272</v>
      </c>
      <c r="J3964" t="s">
        <v>15</v>
      </c>
      <c r="K3964">
        <v>6</v>
      </c>
      <c r="L3964">
        <v>200000</v>
      </c>
      <c r="M3964" t="s">
        <v>16</v>
      </c>
      <c r="N3964">
        <v>1</v>
      </c>
    </row>
    <row r="3965" hidden="1" spans="1:14">
      <c r="A3965">
        <v>1681</v>
      </c>
      <c r="B3965">
        <v>0</v>
      </c>
      <c r="C3965" t="s">
        <v>474</v>
      </c>
      <c r="D3965">
        <v>0</v>
      </c>
      <c r="E3965">
        <v>81.4009</v>
      </c>
      <c r="F3965">
        <v>7.9462</v>
      </c>
      <c r="G3965">
        <v>13726</v>
      </c>
      <c r="H3965" s="1">
        <v>36884</v>
      </c>
      <c r="I3965" s="1">
        <v>36888</v>
      </c>
      <c r="J3965" t="s">
        <v>15</v>
      </c>
      <c r="K3965">
        <v>5</v>
      </c>
      <c r="L3965">
        <v>300000</v>
      </c>
      <c r="M3965" t="s">
        <v>23</v>
      </c>
      <c r="N3965">
        <v>1</v>
      </c>
    </row>
    <row r="3966" hidden="1" spans="1:14">
      <c r="A3966">
        <v>2105</v>
      </c>
      <c r="B3966">
        <v>0</v>
      </c>
      <c r="C3966" t="s">
        <v>474</v>
      </c>
      <c r="D3966">
        <v>0</v>
      </c>
      <c r="E3966">
        <v>80.9935</v>
      </c>
      <c r="F3966">
        <v>8.4736</v>
      </c>
      <c r="G3966">
        <v>14147.74</v>
      </c>
      <c r="H3966" s="1">
        <v>37606</v>
      </c>
      <c r="I3966" s="1">
        <v>37610</v>
      </c>
      <c r="J3966" t="s">
        <v>15</v>
      </c>
      <c r="K3966">
        <v>2</v>
      </c>
      <c r="L3966">
        <v>500000</v>
      </c>
      <c r="M3966" t="s">
        <v>16</v>
      </c>
      <c r="N3966">
        <v>1</v>
      </c>
    </row>
    <row r="3967" hidden="1" spans="1:14">
      <c r="A3967">
        <v>2232</v>
      </c>
      <c r="B3967">
        <v>0</v>
      </c>
      <c r="C3967" t="s">
        <v>474</v>
      </c>
      <c r="D3967">
        <v>0</v>
      </c>
      <c r="E3967">
        <v>80.7878</v>
      </c>
      <c r="F3967">
        <v>6.61932</v>
      </c>
      <c r="G3967">
        <v>13488.03</v>
      </c>
      <c r="H3967" s="1">
        <v>37758</v>
      </c>
      <c r="I3967" s="1">
        <v>37767</v>
      </c>
      <c r="J3967" t="s">
        <v>15</v>
      </c>
      <c r="K3967">
        <v>266</v>
      </c>
      <c r="L3967">
        <v>300000</v>
      </c>
      <c r="M3967" t="s">
        <v>16</v>
      </c>
      <c r="N3967">
        <v>2</v>
      </c>
    </row>
    <row r="3968" hidden="1" spans="1:14">
      <c r="A3968">
        <v>2362</v>
      </c>
      <c r="B3968">
        <v>0</v>
      </c>
      <c r="C3968" t="s">
        <v>474</v>
      </c>
      <c r="D3968">
        <v>0</v>
      </c>
      <c r="E3968">
        <v>80.3531</v>
      </c>
      <c r="F3968">
        <v>6.34987</v>
      </c>
      <c r="G3968">
        <v>5589.93</v>
      </c>
      <c r="H3968" s="1">
        <v>37895</v>
      </c>
      <c r="I3968" s="1">
        <v>37896</v>
      </c>
      <c r="J3968" t="s">
        <v>15</v>
      </c>
      <c r="K3968">
        <v>8</v>
      </c>
      <c r="L3968">
        <v>10000</v>
      </c>
      <c r="M3968" t="s">
        <v>16</v>
      </c>
      <c r="N3968">
        <v>1</v>
      </c>
    </row>
    <row r="3969" hidden="1" spans="1:14">
      <c r="A3969">
        <v>2601</v>
      </c>
      <c r="B3969">
        <v>0</v>
      </c>
      <c r="C3969" t="s">
        <v>474</v>
      </c>
      <c r="D3969">
        <v>0</v>
      </c>
      <c r="E3969">
        <v>81.3147</v>
      </c>
      <c r="F3969">
        <v>7.93818</v>
      </c>
      <c r="G3969">
        <v>23455.77</v>
      </c>
      <c r="H3969" s="1">
        <v>38332</v>
      </c>
      <c r="I3969" s="1">
        <v>38344</v>
      </c>
      <c r="J3969" t="s">
        <v>15</v>
      </c>
      <c r="K3969">
        <v>6</v>
      </c>
      <c r="L3969">
        <v>200000</v>
      </c>
      <c r="M3969" t="s">
        <v>23</v>
      </c>
      <c r="N3969">
        <v>1</v>
      </c>
    </row>
    <row r="3970" hidden="1" spans="1:14">
      <c r="A3970">
        <v>2767</v>
      </c>
      <c r="B3970">
        <v>0</v>
      </c>
      <c r="C3970" t="s">
        <v>474</v>
      </c>
      <c r="D3970">
        <v>0</v>
      </c>
      <c r="E3970">
        <v>79.9473</v>
      </c>
      <c r="F3970">
        <v>7.90959</v>
      </c>
      <c r="G3970">
        <v>30135.72</v>
      </c>
      <c r="H3970" s="1">
        <v>38677</v>
      </c>
      <c r="I3970" s="1">
        <v>38679</v>
      </c>
      <c r="J3970" t="s">
        <v>15</v>
      </c>
      <c r="K3970">
        <v>6</v>
      </c>
      <c r="L3970">
        <v>8000</v>
      </c>
      <c r="M3970" t="s">
        <v>16</v>
      </c>
      <c r="N3970">
        <v>1</v>
      </c>
    </row>
    <row r="3971" hidden="1" spans="1:14">
      <c r="A3971">
        <v>2984</v>
      </c>
      <c r="B3971" t="s">
        <v>953</v>
      </c>
      <c r="C3971" t="s">
        <v>474</v>
      </c>
      <c r="D3971">
        <v>0</v>
      </c>
      <c r="E3971">
        <v>80.0313</v>
      </c>
      <c r="F3971">
        <v>7.32364</v>
      </c>
      <c r="G3971">
        <v>6983.94</v>
      </c>
      <c r="H3971" s="1">
        <v>39016</v>
      </c>
      <c r="I3971" s="1">
        <v>39041</v>
      </c>
      <c r="J3971" t="s">
        <v>15</v>
      </c>
      <c r="K3971">
        <v>52</v>
      </c>
      <c r="L3971">
        <v>88000</v>
      </c>
      <c r="M3971" t="s">
        <v>23</v>
      </c>
      <c r="N3971">
        <v>1</v>
      </c>
    </row>
    <row r="3972" hidden="1" spans="1:14">
      <c r="A3972">
        <v>3004</v>
      </c>
      <c r="B3972" t="s">
        <v>954</v>
      </c>
      <c r="C3972" t="s">
        <v>474</v>
      </c>
      <c r="D3972">
        <v>0</v>
      </c>
      <c r="E3972">
        <v>81.6623</v>
      </c>
      <c r="F3972">
        <v>6.84455</v>
      </c>
      <c r="G3972">
        <v>6833.39</v>
      </c>
      <c r="H3972" s="1">
        <v>39068</v>
      </c>
      <c r="I3972" s="1">
        <v>39071</v>
      </c>
      <c r="J3972" t="s">
        <v>15</v>
      </c>
      <c r="K3972">
        <v>0</v>
      </c>
      <c r="L3972">
        <v>40000</v>
      </c>
      <c r="M3972" t="s">
        <v>16</v>
      </c>
      <c r="N3972">
        <v>1</v>
      </c>
    </row>
    <row r="3973" hidden="1" spans="1:14">
      <c r="A3973">
        <v>3016</v>
      </c>
      <c r="B3973" t="s">
        <v>955</v>
      </c>
      <c r="C3973" t="s">
        <v>474</v>
      </c>
      <c r="D3973">
        <v>0</v>
      </c>
      <c r="E3973">
        <v>80.9466</v>
      </c>
      <c r="F3973">
        <v>6.70613</v>
      </c>
      <c r="G3973">
        <v>10964.12</v>
      </c>
      <c r="H3973" s="1">
        <v>39094</v>
      </c>
      <c r="I3973" s="1">
        <v>39098</v>
      </c>
      <c r="J3973" t="s">
        <v>15</v>
      </c>
      <c r="K3973">
        <v>18</v>
      </c>
      <c r="L3973">
        <v>61281</v>
      </c>
      <c r="M3973" t="s">
        <v>23</v>
      </c>
      <c r="N3973">
        <v>1</v>
      </c>
    </row>
    <row r="3974" hidden="1" spans="1:14">
      <c r="A3974">
        <v>3067</v>
      </c>
      <c r="B3974" t="s">
        <v>956</v>
      </c>
      <c r="C3974" t="s">
        <v>474</v>
      </c>
      <c r="D3974">
        <v>0</v>
      </c>
      <c r="E3974">
        <v>80.0822</v>
      </c>
      <c r="F3974">
        <v>6.49467</v>
      </c>
      <c r="G3974">
        <v>3336.9</v>
      </c>
      <c r="H3974" s="1">
        <v>39204</v>
      </c>
      <c r="I3974" s="1">
        <v>39209</v>
      </c>
      <c r="J3974" t="s">
        <v>15</v>
      </c>
      <c r="K3974">
        <v>16</v>
      </c>
      <c r="L3974">
        <v>125000</v>
      </c>
      <c r="M3974" t="s">
        <v>16</v>
      </c>
      <c r="N3974">
        <v>1</v>
      </c>
    </row>
    <row r="3975" hidden="1" spans="1:14">
      <c r="A3975">
        <v>3243</v>
      </c>
      <c r="B3975" t="s">
        <v>957</v>
      </c>
      <c r="C3975" t="s">
        <v>474</v>
      </c>
      <c r="D3975">
        <v>0</v>
      </c>
      <c r="E3975">
        <v>81.3987</v>
      </c>
      <c r="F3975">
        <v>7.72192</v>
      </c>
      <c r="G3975">
        <v>7953.55</v>
      </c>
      <c r="H3975" s="1">
        <v>39432</v>
      </c>
      <c r="I3975" s="1">
        <v>39448</v>
      </c>
      <c r="J3975" t="s">
        <v>15</v>
      </c>
      <c r="K3975">
        <v>0</v>
      </c>
      <c r="L3975">
        <v>250000</v>
      </c>
      <c r="M3975" t="s">
        <v>23</v>
      </c>
      <c r="N3975">
        <v>1</v>
      </c>
    </row>
    <row r="3976" hidden="1" spans="1:14">
      <c r="A3976">
        <v>3254</v>
      </c>
      <c r="B3976">
        <v>0</v>
      </c>
      <c r="C3976" t="s">
        <v>474</v>
      </c>
      <c r="D3976">
        <v>0</v>
      </c>
      <c r="E3976">
        <v>81.7574</v>
      </c>
      <c r="F3976">
        <v>6.90584</v>
      </c>
      <c r="G3976">
        <v>1917.83</v>
      </c>
      <c r="H3976" s="1">
        <v>39454</v>
      </c>
      <c r="I3976" s="1">
        <v>39463</v>
      </c>
      <c r="J3976" t="s">
        <v>15</v>
      </c>
      <c r="K3976">
        <v>0</v>
      </c>
      <c r="L3976">
        <v>240000</v>
      </c>
      <c r="M3976" t="s">
        <v>16</v>
      </c>
      <c r="N3976">
        <v>1</v>
      </c>
    </row>
    <row r="3977" hidden="1" spans="1:14">
      <c r="A3977">
        <v>3284</v>
      </c>
      <c r="B3977">
        <v>0</v>
      </c>
      <c r="C3977" t="s">
        <v>474</v>
      </c>
      <c r="D3977">
        <v>0</v>
      </c>
      <c r="E3977">
        <v>80.8171</v>
      </c>
      <c r="F3977">
        <v>7.82654</v>
      </c>
      <c r="G3977">
        <v>43223.16</v>
      </c>
      <c r="H3977" s="1">
        <v>39519</v>
      </c>
      <c r="I3977" s="1">
        <v>39538</v>
      </c>
      <c r="J3977" t="s">
        <v>15</v>
      </c>
      <c r="K3977">
        <v>8</v>
      </c>
      <c r="L3977">
        <v>174214</v>
      </c>
      <c r="M3977" t="s">
        <v>23</v>
      </c>
      <c r="N3977">
        <v>1</v>
      </c>
    </row>
    <row r="3978" hidden="1" spans="1:14">
      <c r="A3978">
        <v>3299</v>
      </c>
      <c r="B3978" t="s">
        <v>958</v>
      </c>
      <c r="C3978" t="s">
        <v>474</v>
      </c>
      <c r="D3978">
        <v>0</v>
      </c>
      <c r="E3978">
        <v>80.4178</v>
      </c>
      <c r="F3978">
        <v>6.6853</v>
      </c>
      <c r="G3978">
        <v>4935.68</v>
      </c>
      <c r="H3978" s="1">
        <v>39565</v>
      </c>
      <c r="I3978" s="1">
        <v>39571</v>
      </c>
      <c r="J3978" t="s">
        <v>15</v>
      </c>
      <c r="K3978">
        <v>9</v>
      </c>
      <c r="L3978">
        <v>18000</v>
      </c>
      <c r="M3978" t="s">
        <v>16</v>
      </c>
      <c r="N3978">
        <v>1</v>
      </c>
    </row>
    <row r="3979" hidden="1" spans="1:14">
      <c r="A3979">
        <v>3314</v>
      </c>
      <c r="B3979" t="s">
        <v>959</v>
      </c>
      <c r="C3979" t="s">
        <v>474</v>
      </c>
      <c r="D3979">
        <v>0</v>
      </c>
      <c r="E3979">
        <v>80.7736</v>
      </c>
      <c r="F3979">
        <v>7.17812</v>
      </c>
      <c r="G3979">
        <v>40665.23</v>
      </c>
      <c r="H3979" s="1">
        <v>39597</v>
      </c>
      <c r="I3979" s="1">
        <v>39604</v>
      </c>
      <c r="J3979" t="s">
        <v>15</v>
      </c>
      <c r="K3979">
        <v>23</v>
      </c>
      <c r="L3979">
        <v>400000</v>
      </c>
      <c r="M3979" t="s">
        <v>23</v>
      </c>
      <c r="N3979">
        <v>1.5</v>
      </c>
    </row>
    <row r="3980" hidden="1" spans="1:14">
      <c r="A3980">
        <v>3413</v>
      </c>
      <c r="B3980" t="s">
        <v>960</v>
      </c>
      <c r="C3980" t="s">
        <v>474</v>
      </c>
      <c r="E3980">
        <v>80.7993</v>
      </c>
      <c r="F3980">
        <v>8.57029</v>
      </c>
      <c r="G3980">
        <v>30824.19</v>
      </c>
      <c r="H3980" s="1">
        <v>39774</v>
      </c>
      <c r="I3980" s="1">
        <v>39786</v>
      </c>
      <c r="J3980" t="s">
        <v>15</v>
      </c>
      <c r="K3980">
        <v>61</v>
      </c>
      <c r="L3980">
        <v>171000</v>
      </c>
      <c r="M3980" t="s">
        <v>103</v>
      </c>
      <c r="N3980">
        <v>2</v>
      </c>
    </row>
    <row r="3981" hidden="1" spans="1:14">
      <c r="A3981">
        <v>3528</v>
      </c>
      <c r="B3981" t="s">
        <v>961</v>
      </c>
      <c r="C3981" t="s">
        <v>474</v>
      </c>
      <c r="D3981">
        <v>0</v>
      </c>
      <c r="E3981">
        <v>80.6335</v>
      </c>
      <c r="F3981">
        <v>8.38404</v>
      </c>
      <c r="G3981">
        <v>4744.46</v>
      </c>
      <c r="H3981" s="1">
        <v>40040</v>
      </c>
      <c r="I3981" s="1">
        <v>40041</v>
      </c>
      <c r="J3981">
        <v>0</v>
      </c>
      <c r="K3981">
        <v>0</v>
      </c>
      <c r="L3981">
        <v>0</v>
      </c>
      <c r="M3981" t="s">
        <v>52</v>
      </c>
      <c r="N3981">
        <v>1</v>
      </c>
    </row>
    <row r="3982" hidden="1" spans="1:14">
      <c r="A3982">
        <v>3576</v>
      </c>
      <c r="B3982" t="s">
        <v>962</v>
      </c>
      <c r="C3982" t="s">
        <v>474</v>
      </c>
      <c r="D3982">
        <v>0</v>
      </c>
      <c r="E3982">
        <v>79.9424</v>
      </c>
      <c r="F3982">
        <v>7.07182</v>
      </c>
      <c r="G3982">
        <v>919.901</v>
      </c>
      <c r="H3982" s="1">
        <v>40138</v>
      </c>
      <c r="I3982" s="1">
        <v>40139</v>
      </c>
      <c r="J3982">
        <v>0</v>
      </c>
      <c r="K3982">
        <v>0</v>
      </c>
      <c r="L3982">
        <v>60000</v>
      </c>
      <c r="M3982" t="s">
        <v>52</v>
      </c>
      <c r="N3982">
        <v>1</v>
      </c>
    </row>
    <row r="3983" hidden="1" spans="1:14">
      <c r="A3983">
        <v>3582</v>
      </c>
      <c r="B3983" t="s">
        <v>963</v>
      </c>
      <c r="C3983" t="s">
        <v>474</v>
      </c>
      <c r="D3983">
        <v>0</v>
      </c>
      <c r="E3983">
        <v>81.2742</v>
      </c>
      <c r="F3983">
        <v>8.02347</v>
      </c>
      <c r="G3983">
        <v>15648.61</v>
      </c>
      <c r="H3983" s="1">
        <v>40161</v>
      </c>
      <c r="I3983" s="1">
        <v>40163</v>
      </c>
      <c r="J3983">
        <v>0</v>
      </c>
      <c r="K3983">
        <v>0</v>
      </c>
      <c r="L3983">
        <v>300000</v>
      </c>
      <c r="M3983" t="s">
        <v>52</v>
      </c>
      <c r="N3983">
        <v>1</v>
      </c>
    </row>
    <row r="3984" hidden="1" spans="1:14">
      <c r="A3984">
        <v>3649</v>
      </c>
      <c r="B3984" t="s">
        <v>964</v>
      </c>
      <c r="C3984" t="s">
        <v>474</v>
      </c>
      <c r="D3984">
        <v>0</v>
      </c>
      <c r="E3984">
        <v>80.5904</v>
      </c>
      <c r="F3984">
        <v>6.83965</v>
      </c>
      <c r="G3984">
        <v>19207.85</v>
      </c>
      <c r="H3984" s="1">
        <v>40306</v>
      </c>
      <c r="I3984" s="1">
        <v>40321</v>
      </c>
      <c r="J3984">
        <v>0</v>
      </c>
      <c r="K3984">
        <v>20</v>
      </c>
      <c r="L3984">
        <v>75000</v>
      </c>
      <c r="M3984" t="s">
        <v>49</v>
      </c>
      <c r="N3984">
        <v>1</v>
      </c>
    </row>
    <row r="3985" hidden="1" spans="1:14">
      <c r="A3985">
        <v>3745</v>
      </c>
      <c r="B3985" t="s">
        <v>965</v>
      </c>
      <c r="C3985" t="s">
        <v>474</v>
      </c>
      <c r="D3985">
        <v>0</v>
      </c>
      <c r="E3985">
        <v>80.3046</v>
      </c>
      <c r="F3985">
        <v>7.27459</v>
      </c>
      <c r="G3985">
        <v>11880.4</v>
      </c>
      <c r="H3985" s="1">
        <v>40493</v>
      </c>
      <c r="I3985" s="1">
        <v>40509</v>
      </c>
      <c r="J3985" t="s">
        <v>15</v>
      </c>
      <c r="K3985">
        <v>2</v>
      </c>
      <c r="L3985">
        <v>300000</v>
      </c>
      <c r="M3985" t="s">
        <v>488</v>
      </c>
      <c r="N3985">
        <v>1.5</v>
      </c>
    </row>
    <row r="3986" hidden="1" spans="1:14">
      <c r="A3986">
        <v>3768</v>
      </c>
      <c r="B3986" t="s">
        <v>966</v>
      </c>
      <c r="C3986" t="s">
        <v>474</v>
      </c>
      <c r="E3986">
        <v>81.2522</v>
      </c>
      <c r="F3986">
        <v>7.60326</v>
      </c>
      <c r="G3986">
        <v>22133.29</v>
      </c>
      <c r="H3986" s="1">
        <v>40548</v>
      </c>
      <c r="I3986" s="1">
        <v>40561</v>
      </c>
      <c r="J3986" t="s">
        <v>15</v>
      </c>
      <c r="K3986">
        <v>23</v>
      </c>
      <c r="L3986">
        <v>325000</v>
      </c>
      <c r="M3986" t="s">
        <v>488</v>
      </c>
      <c r="N3986">
        <v>2</v>
      </c>
    </row>
    <row r="3987" hidden="1" spans="1:14">
      <c r="A3987">
        <v>3776</v>
      </c>
      <c r="C3987" t="s">
        <v>474</v>
      </c>
      <c r="E3987">
        <v>80.5342</v>
      </c>
      <c r="F3987">
        <v>8.51316</v>
      </c>
      <c r="G3987">
        <v>19891.49</v>
      </c>
      <c r="H3987" s="1">
        <v>40575</v>
      </c>
      <c r="I3987" s="1">
        <v>40588</v>
      </c>
      <c r="J3987" t="s">
        <v>15</v>
      </c>
      <c r="K3987">
        <v>14</v>
      </c>
      <c r="L3987">
        <v>250000</v>
      </c>
      <c r="M3987" t="s">
        <v>49</v>
      </c>
      <c r="N3987">
        <v>1.5</v>
      </c>
    </row>
    <row r="3988" hidden="1" spans="1:14">
      <c r="A3988">
        <v>3887</v>
      </c>
      <c r="C3988" t="s">
        <v>474</v>
      </c>
      <c r="E3988">
        <v>80.4521</v>
      </c>
      <c r="F3988">
        <v>9.30406</v>
      </c>
      <c r="G3988">
        <v>2560.88</v>
      </c>
      <c r="H3988" s="1">
        <v>40894</v>
      </c>
      <c r="I3988" s="1">
        <v>40899</v>
      </c>
      <c r="J3988" t="s">
        <v>15</v>
      </c>
      <c r="K3988">
        <v>0</v>
      </c>
      <c r="L3988">
        <v>11000</v>
      </c>
      <c r="M3988" t="s">
        <v>49</v>
      </c>
      <c r="N3988">
        <v>1</v>
      </c>
    </row>
    <row r="3989" hidden="1" spans="1:14">
      <c r="A3989">
        <v>4010</v>
      </c>
      <c r="C3989" t="s">
        <v>474</v>
      </c>
      <c r="E3989">
        <v>80.7759</v>
      </c>
      <c r="F3989">
        <v>7.97653</v>
      </c>
      <c r="G3989">
        <v>49084.64</v>
      </c>
      <c r="H3989" s="1">
        <v>41259</v>
      </c>
      <c r="I3989" s="1">
        <v>41261</v>
      </c>
      <c r="J3989" t="s">
        <v>15</v>
      </c>
      <c r="K3989">
        <v>9</v>
      </c>
      <c r="L3989">
        <v>6000</v>
      </c>
      <c r="M3989" t="s">
        <v>49</v>
      </c>
      <c r="N3989">
        <v>1.5</v>
      </c>
    </row>
    <row r="3990" hidden="1" spans="1:14">
      <c r="A3990">
        <v>4018</v>
      </c>
      <c r="C3990" t="s">
        <v>474</v>
      </c>
      <c r="E3990">
        <v>80.9219</v>
      </c>
      <c r="F3990">
        <v>7.59777</v>
      </c>
      <c r="G3990">
        <v>26063.39</v>
      </c>
      <c r="H3990" s="1">
        <v>41282</v>
      </c>
      <c r="I3990" s="1">
        <v>41291</v>
      </c>
      <c r="J3990" t="s">
        <v>15</v>
      </c>
      <c r="K3990">
        <v>52</v>
      </c>
      <c r="L3990">
        <v>56747</v>
      </c>
      <c r="M3990" t="s">
        <v>49</v>
      </c>
      <c r="N3990">
        <v>1.5</v>
      </c>
    </row>
    <row r="3991" hidden="1" spans="1:14">
      <c r="A3991">
        <v>4058</v>
      </c>
      <c r="B3991" t="s">
        <v>967</v>
      </c>
      <c r="C3991" t="s">
        <v>474</v>
      </c>
      <c r="E3991">
        <v>80.5325</v>
      </c>
      <c r="F3991">
        <v>7.13528</v>
      </c>
      <c r="G3991">
        <v>17254.01</v>
      </c>
      <c r="H3991" s="1">
        <v>41407</v>
      </c>
      <c r="I3991" s="1">
        <v>41410</v>
      </c>
      <c r="J3991" t="s">
        <v>15</v>
      </c>
      <c r="K3991">
        <v>7</v>
      </c>
      <c r="L3991">
        <v>115000</v>
      </c>
      <c r="M3991" t="s">
        <v>144</v>
      </c>
      <c r="N3991">
        <v>1</v>
      </c>
    </row>
    <row r="3992" hidden="1" spans="1:14">
      <c r="A3992">
        <v>4145</v>
      </c>
      <c r="B3992" t="s">
        <v>968</v>
      </c>
      <c r="C3992" t="s">
        <v>474</v>
      </c>
      <c r="E3992">
        <v>80.1668</v>
      </c>
      <c r="F3992">
        <v>7.66215</v>
      </c>
      <c r="G3992">
        <v>10337.47</v>
      </c>
      <c r="H3992" s="1">
        <v>41794</v>
      </c>
      <c r="I3992" s="1">
        <v>41800</v>
      </c>
      <c r="J3992" t="s">
        <v>15</v>
      </c>
      <c r="K3992">
        <v>5</v>
      </c>
      <c r="L3992">
        <v>16000</v>
      </c>
      <c r="M3992" t="s">
        <v>969</v>
      </c>
      <c r="N3992">
        <v>1.5</v>
      </c>
    </row>
    <row r="3993" hidden="1" spans="1:14">
      <c r="A3993">
        <v>4215</v>
      </c>
      <c r="C3993" t="s">
        <v>474</v>
      </c>
      <c r="E3993">
        <v>80.9834</v>
      </c>
      <c r="F3993">
        <v>7.90972</v>
      </c>
      <c r="G3993">
        <v>50316.81</v>
      </c>
      <c r="H3993" s="1">
        <v>41993</v>
      </c>
      <c r="I3993" s="1">
        <v>42005</v>
      </c>
      <c r="J3993" t="s">
        <v>15</v>
      </c>
      <c r="K3993">
        <v>39</v>
      </c>
      <c r="L3993">
        <v>1000000</v>
      </c>
      <c r="M3993" t="s">
        <v>54</v>
      </c>
      <c r="N3993">
        <v>1.5</v>
      </c>
    </row>
    <row r="3994" hidden="1" spans="1:14">
      <c r="A3994">
        <v>4474</v>
      </c>
      <c r="C3994" t="s">
        <v>474</v>
      </c>
      <c r="E3994">
        <v>80.8349</v>
      </c>
      <c r="F3994">
        <v>7.6124</v>
      </c>
      <c r="G3994">
        <v>42725.96</v>
      </c>
      <c r="H3994" s="1">
        <v>42878</v>
      </c>
      <c r="I3994" s="1">
        <v>42900</v>
      </c>
      <c r="J3994" t="s">
        <v>15</v>
      </c>
      <c r="K3994">
        <v>0</v>
      </c>
      <c r="L3994">
        <v>212</v>
      </c>
      <c r="M3994" t="s">
        <v>429</v>
      </c>
      <c r="N3994">
        <v>1.5</v>
      </c>
    </row>
    <row r="3995" hidden="1" spans="1:14">
      <c r="A3995">
        <v>4539</v>
      </c>
      <c r="C3995" t="s">
        <v>474</v>
      </c>
      <c r="E3995">
        <v>80.637</v>
      </c>
      <c r="F3995">
        <v>8.60428</v>
      </c>
      <c r="G3995">
        <v>22923.3</v>
      </c>
      <c r="H3995" s="1">
        <v>43042</v>
      </c>
      <c r="I3995" s="1">
        <v>43052</v>
      </c>
      <c r="J3995" t="s">
        <v>15</v>
      </c>
      <c r="K3995">
        <v>0</v>
      </c>
      <c r="L3995">
        <v>1700</v>
      </c>
      <c r="M3995" t="s">
        <v>49</v>
      </c>
      <c r="N3995">
        <v>1</v>
      </c>
    </row>
    <row r="3996" hidden="1" spans="1:14">
      <c r="A3996">
        <v>4550</v>
      </c>
      <c r="B3996" t="s">
        <v>970</v>
      </c>
      <c r="C3996" t="s">
        <v>474</v>
      </c>
      <c r="E3996">
        <v>80.7359</v>
      </c>
      <c r="F3996">
        <v>7.76105</v>
      </c>
      <c r="G3996">
        <v>52052.79</v>
      </c>
      <c r="H3996" s="1">
        <v>43068</v>
      </c>
      <c r="I3996" s="1">
        <v>43073</v>
      </c>
      <c r="J3996" t="s">
        <v>15</v>
      </c>
      <c r="K3996">
        <v>13</v>
      </c>
      <c r="L3996">
        <v>5000</v>
      </c>
      <c r="M3996" t="s">
        <v>971</v>
      </c>
      <c r="N3996">
        <v>1.5</v>
      </c>
    </row>
    <row r="3997" hidden="1" spans="1:14">
      <c r="A3997">
        <v>4611</v>
      </c>
      <c r="C3997" t="s">
        <v>474</v>
      </c>
      <c r="E3997">
        <v>80.5133</v>
      </c>
      <c r="F3997">
        <v>6.86863</v>
      </c>
      <c r="G3997">
        <v>19207.5</v>
      </c>
      <c r="H3997" s="1">
        <v>43232</v>
      </c>
      <c r="I3997" s="1">
        <v>43234</v>
      </c>
      <c r="J3997" t="s">
        <v>56</v>
      </c>
      <c r="K3997">
        <v>0</v>
      </c>
      <c r="L3997">
        <v>0</v>
      </c>
      <c r="M3997" t="s">
        <v>52</v>
      </c>
      <c r="N3997">
        <v>1</v>
      </c>
    </row>
    <row r="3998" hidden="1" spans="1:14">
      <c r="A3998">
        <v>4619</v>
      </c>
      <c r="C3998" t="s">
        <v>474</v>
      </c>
      <c r="E3998">
        <v>80.8349</v>
      </c>
      <c r="F3998">
        <v>7.73591</v>
      </c>
      <c r="G3998">
        <v>41088.17</v>
      </c>
      <c r="H3998" s="1">
        <v>43240</v>
      </c>
      <c r="I3998" s="1">
        <v>43242</v>
      </c>
      <c r="J3998" t="s">
        <v>15</v>
      </c>
      <c r="K3998">
        <v>8</v>
      </c>
      <c r="L3998">
        <v>0</v>
      </c>
      <c r="M3998" t="s">
        <v>54</v>
      </c>
      <c r="N3998">
        <v>1</v>
      </c>
    </row>
    <row r="3999" hidden="1" spans="1:14">
      <c r="A3999">
        <v>4689</v>
      </c>
      <c r="C3999" t="s">
        <v>474</v>
      </c>
      <c r="E3999">
        <v>80.637</v>
      </c>
      <c r="F3999">
        <v>6.80639</v>
      </c>
      <c r="G3999">
        <v>29246.23</v>
      </c>
      <c r="H3999" s="1">
        <v>43375</v>
      </c>
      <c r="I3999" s="1">
        <v>43377</v>
      </c>
      <c r="J3999" t="s">
        <v>56</v>
      </c>
      <c r="K3999">
        <v>9</v>
      </c>
      <c r="L3999">
        <v>5000</v>
      </c>
      <c r="M3999" t="s">
        <v>52</v>
      </c>
      <c r="N3999">
        <v>1.5</v>
      </c>
    </row>
    <row r="4000" hidden="1" spans="1:14">
      <c r="A4000">
        <v>4714</v>
      </c>
      <c r="C4000" t="s">
        <v>474</v>
      </c>
      <c r="E4000">
        <v>80.8597</v>
      </c>
      <c r="F4000">
        <v>7.71145</v>
      </c>
      <c r="G4000">
        <v>49073.87</v>
      </c>
      <c r="H4000" s="1">
        <v>43456</v>
      </c>
      <c r="I4000" s="1">
        <v>43460</v>
      </c>
      <c r="J4000" t="s">
        <v>56</v>
      </c>
      <c r="K4000">
        <v>2</v>
      </c>
      <c r="L4000">
        <v>11000</v>
      </c>
      <c r="M4000" t="s">
        <v>49</v>
      </c>
      <c r="N4000">
        <v>1.5</v>
      </c>
    </row>
    <row r="4001" hidden="1" spans="1:14">
      <c r="A4001">
        <v>4861</v>
      </c>
      <c r="C4001" t="s">
        <v>474</v>
      </c>
      <c r="E4001">
        <v>80.8349</v>
      </c>
      <c r="F4001">
        <v>7.92226</v>
      </c>
      <c r="G4001">
        <v>44781.54</v>
      </c>
      <c r="H4001" s="1">
        <v>43819</v>
      </c>
      <c r="I4001" s="1">
        <v>43826</v>
      </c>
      <c r="J4001" t="s">
        <v>56</v>
      </c>
      <c r="K4001">
        <v>1</v>
      </c>
      <c r="L4001">
        <v>15500</v>
      </c>
      <c r="M4001" t="s">
        <v>49</v>
      </c>
      <c r="N4001">
        <v>1.5</v>
      </c>
    </row>
    <row r="4002" hidden="1" spans="1:14">
      <c r="A4002">
        <v>4914</v>
      </c>
      <c r="C4002" t="s">
        <v>474</v>
      </c>
      <c r="E4002">
        <v>80.8597</v>
      </c>
      <c r="F4002">
        <v>7.83549</v>
      </c>
      <c r="G4002">
        <v>46625.9</v>
      </c>
      <c r="H4002" s="1">
        <v>43968</v>
      </c>
      <c r="I4002" s="1">
        <v>43971</v>
      </c>
      <c r="J4002" t="s">
        <v>56</v>
      </c>
      <c r="K4002">
        <v>2</v>
      </c>
      <c r="L4002">
        <v>1100</v>
      </c>
      <c r="M4002" t="s">
        <v>517</v>
      </c>
      <c r="N4002">
        <v>1.5</v>
      </c>
    </row>
    <row r="4003" hidden="1" spans="1:14">
      <c r="A4003">
        <v>183</v>
      </c>
      <c r="B4003">
        <v>0</v>
      </c>
      <c r="C4003" t="s">
        <v>972</v>
      </c>
      <c r="D4003">
        <v>0</v>
      </c>
      <c r="E4003">
        <v>80.4188</v>
      </c>
      <c r="F4003">
        <v>6.5639</v>
      </c>
      <c r="G4003">
        <v>7183.6</v>
      </c>
      <c r="H4003" s="1">
        <v>32295</v>
      </c>
      <c r="I4003" s="1">
        <v>32303</v>
      </c>
      <c r="J4003" t="s">
        <v>15</v>
      </c>
      <c r="K4003">
        <v>3</v>
      </c>
      <c r="L4003">
        <v>110000</v>
      </c>
      <c r="M4003" t="s">
        <v>16</v>
      </c>
      <c r="N4003">
        <v>1</v>
      </c>
    </row>
    <row r="4004" hidden="1" spans="1:14">
      <c r="A4004">
        <v>744</v>
      </c>
      <c r="B4004">
        <v>0</v>
      </c>
      <c r="C4004" t="s">
        <v>972</v>
      </c>
      <c r="D4004">
        <v>0</v>
      </c>
      <c r="E4004">
        <v>80.3212</v>
      </c>
      <c r="F4004">
        <v>6.78433</v>
      </c>
      <c r="G4004">
        <v>13958.06</v>
      </c>
      <c r="H4004" s="1">
        <v>34117</v>
      </c>
      <c r="I4004" s="1">
        <v>34127</v>
      </c>
      <c r="J4004" t="s">
        <v>15</v>
      </c>
      <c r="K4004">
        <v>8</v>
      </c>
      <c r="L4004">
        <v>100000</v>
      </c>
      <c r="M4004" t="s">
        <v>23</v>
      </c>
      <c r="N4004">
        <v>1</v>
      </c>
    </row>
    <row r="4005" hidden="1" spans="1:14">
      <c r="A4005">
        <v>1669</v>
      </c>
      <c r="B4005">
        <v>0</v>
      </c>
      <c r="C4005" t="s">
        <v>972</v>
      </c>
      <c r="D4005">
        <v>0</v>
      </c>
      <c r="E4005">
        <v>81.3113</v>
      </c>
      <c r="F4005">
        <v>7.60689</v>
      </c>
      <c r="G4005">
        <v>7611.54</v>
      </c>
      <c r="H4005" s="1">
        <v>36848</v>
      </c>
      <c r="I4005" s="1">
        <v>36852</v>
      </c>
      <c r="J4005" t="s">
        <v>15</v>
      </c>
      <c r="K4005">
        <v>3</v>
      </c>
      <c r="L4005">
        <v>300000</v>
      </c>
      <c r="M4005" t="s">
        <v>23</v>
      </c>
      <c r="N4005">
        <v>1</v>
      </c>
    </row>
    <row r="4006" hidden="1" spans="1:14">
      <c r="A4006">
        <v>34</v>
      </c>
      <c r="B4006">
        <v>0</v>
      </c>
      <c r="C4006" t="s">
        <v>948</v>
      </c>
      <c r="D4006">
        <v>0</v>
      </c>
      <c r="E4006">
        <v>24.9139</v>
      </c>
      <c r="F4006">
        <v>13.489</v>
      </c>
      <c r="G4006">
        <v>63577.12</v>
      </c>
      <c r="H4006" s="1">
        <v>31247</v>
      </c>
      <c r="I4006" s="1">
        <v>31250</v>
      </c>
      <c r="J4006" t="s">
        <v>15</v>
      </c>
      <c r="K4006">
        <v>0</v>
      </c>
      <c r="L4006">
        <v>0</v>
      </c>
      <c r="M4006" t="s">
        <v>16</v>
      </c>
      <c r="N4006">
        <v>1</v>
      </c>
    </row>
    <row r="4007" hidden="1" spans="1:14">
      <c r="A4007">
        <v>217</v>
      </c>
      <c r="B4007">
        <v>0</v>
      </c>
      <c r="C4007" t="s">
        <v>948</v>
      </c>
      <c r="E4007">
        <v>34.1974</v>
      </c>
      <c r="F4007">
        <v>15.0782</v>
      </c>
      <c r="G4007">
        <v>354132.25</v>
      </c>
      <c r="H4007" s="1">
        <v>32360</v>
      </c>
      <c r="I4007" s="1">
        <v>32396</v>
      </c>
      <c r="J4007" t="s">
        <v>15</v>
      </c>
      <c r="K4007">
        <v>91</v>
      </c>
      <c r="L4007">
        <v>2000000</v>
      </c>
      <c r="M4007" t="s">
        <v>16</v>
      </c>
      <c r="N4007">
        <v>2</v>
      </c>
    </row>
    <row r="4008" hidden="1" spans="1:14">
      <c r="A4008">
        <v>568</v>
      </c>
      <c r="B4008">
        <v>0</v>
      </c>
      <c r="C4008" t="s">
        <v>948</v>
      </c>
      <c r="D4008">
        <v>0</v>
      </c>
      <c r="E4008">
        <v>33.8431</v>
      </c>
      <c r="F4008">
        <v>13.344</v>
      </c>
      <c r="G4008">
        <v>104587.97</v>
      </c>
      <c r="H4008" s="1">
        <v>33462</v>
      </c>
      <c r="I4008" s="1">
        <v>33463</v>
      </c>
      <c r="J4008" t="s">
        <v>15</v>
      </c>
      <c r="K4008">
        <v>3</v>
      </c>
      <c r="L4008">
        <v>18000</v>
      </c>
      <c r="M4008" t="s">
        <v>16</v>
      </c>
      <c r="N4008">
        <v>1</v>
      </c>
    </row>
    <row r="4009" hidden="1" spans="1:14">
      <c r="A4009">
        <v>683</v>
      </c>
      <c r="B4009">
        <v>0</v>
      </c>
      <c r="C4009" t="s">
        <v>948</v>
      </c>
      <c r="D4009">
        <v>0</v>
      </c>
      <c r="E4009">
        <v>34.1325</v>
      </c>
      <c r="F4009">
        <v>17.4541</v>
      </c>
      <c r="G4009">
        <v>741567.54</v>
      </c>
      <c r="H4009" s="1">
        <v>33839</v>
      </c>
      <c r="I4009" s="1">
        <v>33847</v>
      </c>
      <c r="J4009" t="s">
        <v>15</v>
      </c>
      <c r="K4009">
        <v>4</v>
      </c>
      <c r="L4009">
        <v>1600</v>
      </c>
      <c r="M4009" t="s">
        <v>16</v>
      </c>
      <c r="N4009">
        <v>1</v>
      </c>
    </row>
    <row r="4010" hidden="1" spans="1:14">
      <c r="A4010">
        <v>877</v>
      </c>
      <c r="B4010">
        <v>0</v>
      </c>
      <c r="C4010" t="s">
        <v>948</v>
      </c>
      <c r="D4010">
        <v>0</v>
      </c>
      <c r="E4010">
        <v>30.026</v>
      </c>
      <c r="F4010">
        <v>15.5645</v>
      </c>
      <c r="G4010">
        <v>1094009.75</v>
      </c>
      <c r="H4010" s="1">
        <v>34550</v>
      </c>
      <c r="I4010" s="1">
        <v>34563</v>
      </c>
      <c r="J4010" t="s">
        <v>15</v>
      </c>
      <c r="K4010">
        <v>8</v>
      </c>
      <c r="L4010">
        <v>2000</v>
      </c>
      <c r="M4010" t="s">
        <v>16</v>
      </c>
      <c r="N4010">
        <v>2</v>
      </c>
    </row>
    <row r="4011" hidden="1" spans="1:14">
      <c r="A4011">
        <v>1107</v>
      </c>
      <c r="B4011">
        <v>0</v>
      </c>
      <c r="C4011" t="s">
        <v>948</v>
      </c>
      <c r="D4011">
        <v>0</v>
      </c>
      <c r="E4011">
        <v>33.0459</v>
      </c>
      <c r="F4011">
        <v>16.3551</v>
      </c>
      <c r="G4011">
        <v>107541.26</v>
      </c>
      <c r="H4011" s="1">
        <v>35310</v>
      </c>
      <c r="I4011" s="1">
        <v>35314</v>
      </c>
      <c r="J4011" t="s">
        <v>15</v>
      </c>
      <c r="K4011">
        <v>17</v>
      </c>
      <c r="L4011">
        <v>4000</v>
      </c>
      <c r="M4011" t="s">
        <v>49</v>
      </c>
      <c r="N4011">
        <v>1</v>
      </c>
    </row>
    <row r="4012" hidden="1" spans="1:14">
      <c r="A4012">
        <v>1111</v>
      </c>
      <c r="B4012">
        <v>0</v>
      </c>
      <c r="C4012" t="s">
        <v>948</v>
      </c>
      <c r="D4012">
        <v>0</v>
      </c>
      <c r="E4012">
        <v>32.5514</v>
      </c>
      <c r="F4012">
        <v>15.6171</v>
      </c>
      <c r="G4012">
        <v>10691.5</v>
      </c>
      <c r="H4012" s="1">
        <v>35318</v>
      </c>
      <c r="I4012" s="1">
        <v>35323</v>
      </c>
      <c r="J4012" t="s">
        <v>15</v>
      </c>
      <c r="K4012">
        <v>0</v>
      </c>
      <c r="L4012">
        <v>800</v>
      </c>
      <c r="M4012" t="s">
        <v>49</v>
      </c>
      <c r="N4012">
        <v>1</v>
      </c>
    </row>
    <row r="4013" hidden="1" spans="1:14">
      <c r="A4013">
        <v>1126</v>
      </c>
      <c r="B4013">
        <v>0</v>
      </c>
      <c r="C4013" t="s">
        <v>948</v>
      </c>
      <c r="D4013">
        <v>0</v>
      </c>
      <c r="E4013">
        <v>28.8983</v>
      </c>
      <c r="F4013">
        <v>7.04878</v>
      </c>
      <c r="G4013">
        <v>69798.15</v>
      </c>
      <c r="H4013" s="1">
        <v>35360</v>
      </c>
      <c r="I4013" s="1">
        <v>35364</v>
      </c>
      <c r="J4013" t="s">
        <v>15</v>
      </c>
      <c r="K4013">
        <v>102</v>
      </c>
      <c r="L4013">
        <v>8000</v>
      </c>
      <c r="M4013" t="s">
        <v>49</v>
      </c>
      <c r="N4013">
        <v>1</v>
      </c>
    </row>
    <row r="4014" hidden="1" spans="1:14">
      <c r="A4014">
        <v>1175</v>
      </c>
      <c r="B4014">
        <v>0</v>
      </c>
      <c r="C4014" t="s">
        <v>948</v>
      </c>
      <c r="D4014">
        <v>0</v>
      </c>
      <c r="E4014">
        <v>29.6279</v>
      </c>
      <c r="F4014">
        <v>18.3168</v>
      </c>
      <c r="G4014">
        <v>659807.43</v>
      </c>
      <c r="H4014" s="1">
        <v>35660</v>
      </c>
      <c r="I4014" s="1">
        <v>35662</v>
      </c>
      <c r="J4014" t="s">
        <v>15</v>
      </c>
      <c r="K4014">
        <v>0</v>
      </c>
      <c r="L4014">
        <v>5200</v>
      </c>
      <c r="M4014" t="s">
        <v>16</v>
      </c>
      <c r="N4014">
        <v>1</v>
      </c>
    </row>
    <row r="4015" hidden="1" spans="1:14">
      <c r="A4015">
        <v>1249</v>
      </c>
      <c r="B4015">
        <v>0</v>
      </c>
      <c r="C4015" t="s">
        <v>948</v>
      </c>
      <c r="D4015">
        <v>0</v>
      </c>
      <c r="E4015">
        <v>23.7585</v>
      </c>
      <c r="F4015">
        <v>12.7493</v>
      </c>
      <c r="G4015">
        <v>199029.73</v>
      </c>
      <c r="H4015" s="1">
        <v>35636</v>
      </c>
      <c r="I4015" s="1">
        <v>35641</v>
      </c>
      <c r="J4015" t="s">
        <v>15</v>
      </c>
      <c r="K4015">
        <v>5</v>
      </c>
      <c r="L4015">
        <v>3000</v>
      </c>
      <c r="M4015" t="s">
        <v>16</v>
      </c>
      <c r="N4015">
        <v>1</v>
      </c>
    </row>
    <row r="4016" hidden="1" spans="1:14">
      <c r="A4016">
        <v>1282</v>
      </c>
      <c r="B4016">
        <v>0</v>
      </c>
      <c r="C4016" t="s">
        <v>948</v>
      </c>
      <c r="D4016">
        <v>0</v>
      </c>
      <c r="E4016">
        <v>32.5751</v>
      </c>
      <c r="F4016">
        <v>16.276</v>
      </c>
      <c r="G4016">
        <v>20687.2</v>
      </c>
      <c r="H4016" s="1">
        <v>35710</v>
      </c>
      <c r="I4016" s="1">
        <v>35712</v>
      </c>
      <c r="J4016" t="s">
        <v>15</v>
      </c>
      <c r="K4016">
        <v>1</v>
      </c>
      <c r="L4016">
        <v>300</v>
      </c>
      <c r="M4016" t="s">
        <v>16</v>
      </c>
      <c r="N4016">
        <v>1</v>
      </c>
    </row>
    <row r="4017" hidden="1" spans="1:14">
      <c r="A4017">
        <v>1435</v>
      </c>
      <c r="B4017">
        <v>0</v>
      </c>
      <c r="C4017" t="s">
        <v>948</v>
      </c>
      <c r="D4017">
        <v>0</v>
      </c>
      <c r="E4017">
        <v>34.2833</v>
      </c>
      <c r="F4017">
        <v>17.1112</v>
      </c>
      <c r="G4017">
        <v>326113.13</v>
      </c>
      <c r="H4017" s="1">
        <v>36035</v>
      </c>
      <c r="I4017" s="1">
        <v>36048</v>
      </c>
      <c r="J4017" t="s">
        <v>15</v>
      </c>
      <c r="K4017">
        <v>25</v>
      </c>
      <c r="L4017">
        <v>816000</v>
      </c>
      <c r="M4017" t="s">
        <v>16</v>
      </c>
      <c r="N4017">
        <v>2</v>
      </c>
    </row>
    <row r="4018" hidden="1" spans="1:14">
      <c r="A4018">
        <v>1534</v>
      </c>
      <c r="B4018">
        <v>0</v>
      </c>
      <c r="C4018" t="s">
        <v>948</v>
      </c>
      <c r="D4018">
        <v>0</v>
      </c>
      <c r="E4018">
        <v>32.4508</v>
      </c>
      <c r="F4018">
        <v>15.5737</v>
      </c>
      <c r="G4018">
        <v>167131.59</v>
      </c>
      <c r="H4018" s="1">
        <v>36373</v>
      </c>
      <c r="I4018" s="1">
        <v>36413</v>
      </c>
      <c r="J4018" t="s">
        <v>15</v>
      </c>
      <c r="K4018">
        <v>40</v>
      </c>
      <c r="L4018">
        <v>80000</v>
      </c>
      <c r="M4018" t="s">
        <v>16</v>
      </c>
      <c r="N4018">
        <v>1</v>
      </c>
    </row>
    <row r="4019" hidden="1" spans="1:14">
      <c r="A4019">
        <v>1772</v>
      </c>
      <c r="B4019">
        <v>0</v>
      </c>
      <c r="C4019" t="s">
        <v>948</v>
      </c>
      <c r="D4019" t="s">
        <v>394</v>
      </c>
      <c r="E4019">
        <v>34.4277</v>
      </c>
      <c r="F4019">
        <v>14.9967</v>
      </c>
      <c r="G4019">
        <v>557928.11</v>
      </c>
      <c r="H4019" s="1">
        <v>37109</v>
      </c>
      <c r="I4019" s="1">
        <v>37147</v>
      </c>
      <c r="J4019" t="s">
        <v>15</v>
      </c>
      <c r="K4019">
        <v>5</v>
      </c>
      <c r="L4019">
        <v>45000</v>
      </c>
      <c r="M4019" t="s">
        <v>16</v>
      </c>
      <c r="N4019">
        <v>1</v>
      </c>
    </row>
    <row r="4020" hidden="1" spans="1:14">
      <c r="A4020">
        <v>2307</v>
      </c>
      <c r="B4020">
        <v>0</v>
      </c>
      <c r="C4020" t="s">
        <v>948</v>
      </c>
      <c r="D4020">
        <v>0</v>
      </c>
      <c r="E4020">
        <v>34.0017</v>
      </c>
      <c r="F4020">
        <v>13.8844</v>
      </c>
      <c r="G4020">
        <v>118350.1</v>
      </c>
      <c r="H4020" s="1">
        <v>37836</v>
      </c>
      <c r="I4020" s="1">
        <v>37858</v>
      </c>
      <c r="J4020" t="s">
        <v>15</v>
      </c>
      <c r="K4020">
        <v>9</v>
      </c>
      <c r="L4020">
        <v>13000</v>
      </c>
      <c r="M4020" t="s">
        <v>16</v>
      </c>
      <c r="N4020">
        <v>1</v>
      </c>
    </row>
    <row r="4021" hidden="1" spans="1:14">
      <c r="A4021">
        <v>2704</v>
      </c>
      <c r="B4021">
        <v>0</v>
      </c>
      <c r="C4021" t="s">
        <v>948</v>
      </c>
      <c r="D4021">
        <v>0</v>
      </c>
      <c r="E4021">
        <v>24.7367</v>
      </c>
      <c r="F4021">
        <v>13.0351</v>
      </c>
      <c r="G4021">
        <v>163360.92</v>
      </c>
      <c r="H4021" s="1">
        <v>38567</v>
      </c>
      <c r="I4021" s="1">
        <v>38583</v>
      </c>
      <c r="J4021" t="s">
        <v>15</v>
      </c>
      <c r="K4021">
        <v>8</v>
      </c>
      <c r="L4021">
        <v>8000</v>
      </c>
      <c r="M4021" t="s">
        <v>16</v>
      </c>
      <c r="N4021">
        <v>1</v>
      </c>
    </row>
    <row r="4022" hidden="1" spans="1:14">
      <c r="A4022">
        <v>2738</v>
      </c>
      <c r="B4022">
        <v>0</v>
      </c>
      <c r="C4022" t="s">
        <v>948</v>
      </c>
      <c r="D4022">
        <v>0</v>
      </c>
      <c r="E4022">
        <v>37.373</v>
      </c>
      <c r="F4022">
        <v>18.9643</v>
      </c>
      <c r="G4022">
        <v>40658.76</v>
      </c>
      <c r="H4022" s="1">
        <v>38593</v>
      </c>
      <c r="I4022" s="1">
        <v>38601</v>
      </c>
      <c r="J4022" t="s">
        <v>15</v>
      </c>
      <c r="K4022">
        <v>5</v>
      </c>
      <c r="L4022">
        <v>9000</v>
      </c>
      <c r="M4022" t="s">
        <v>16</v>
      </c>
      <c r="N4022">
        <v>1</v>
      </c>
    </row>
    <row r="4023" hidden="1" spans="1:14">
      <c r="A4023">
        <v>2950</v>
      </c>
      <c r="B4023" t="s">
        <v>973</v>
      </c>
      <c r="C4023" t="s">
        <v>948</v>
      </c>
      <c r="D4023" t="s">
        <v>394</v>
      </c>
      <c r="E4023">
        <v>34.7638</v>
      </c>
      <c r="F4023">
        <v>13.2129</v>
      </c>
      <c r="G4023">
        <v>1485582.82</v>
      </c>
      <c r="H4023" s="1">
        <v>38942</v>
      </c>
      <c r="I4023" s="1">
        <v>38986</v>
      </c>
      <c r="J4023" t="s">
        <v>15</v>
      </c>
      <c r="K4023">
        <v>40</v>
      </c>
      <c r="L4023">
        <v>150000</v>
      </c>
      <c r="M4023" t="s">
        <v>16</v>
      </c>
      <c r="N4023">
        <v>1</v>
      </c>
    </row>
    <row r="4024" hidden="1" spans="1:14">
      <c r="A4024">
        <v>3123</v>
      </c>
      <c r="B4024" t="s">
        <v>974</v>
      </c>
      <c r="C4024" t="s">
        <v>948</v>
      </c>
      <c r="D4024">
        <v>0</v>
      </c>
      <c r="E4024">
        <v>33.7714</v>
      </c>
      <c r="F4024">
        <v>12.9072</v>
      </c>
      <c r="G4024">
        <v>1590906.98</v>
      </c>
      <c r="H4024" s="1">
        <v>39266</v>
      </c>
      <c r="I4024" s="1">
        <v>39363</v>
      </c>
      <c r="J4024" t="s">
        <v>15</v>
      </c>
      <c r="K4024">
        <v>150</v>
      </c>
      <c r="L4024">
        <v>200000</v>
      </c>
      <c r="M4024" t="s">
        <v>16</v>
      </c>
      <c r="N4024">
        <v>1</v>
      </c>
    </row>
    <row r="4025" hidden="1" spans="1:14">
      <c r="A4025">
        <v>3351</v>
      </c>
      <c r="B4025" t="s">
        <v>975</v>
      </c>
      <c r="C4025" t="s">
        <v>948</v>
      </c>
      <c r="D4025">
        <v>0</v>
      </c>
      <c r="E4025">
        <v>30.7576</v>
      </c>
      <c r="F4025">
        <v>6.61129</v>
      </c>
      <c r="G4025">
        <v>155555.33</v>
      </c>
      <c r="H4025" s="1">
        <v>39667</v>
      </c>
      <c r="I4025" s="1">
        <v>39668</v>
      </c>
      <c r="J4025" t="s">
        <v>15</v>
      </c>
      <c r="K4025">
        <v>0</v>
      </c>
      <c r="L4025">
        <v>0</v>
      </c>
      <c r="M4025" t="s">
        <v>64</v>
      </c>
      <c r="N4025">
        <v>1</v>
      </c>
    </row>
    <row r="4026" hidden="1" spans="1:14">
      <c r="A4026">
        <v>3390</v>
      </c>
      <c r="B4026" t="s">
        <v>976</v>
      </c>
      <c r="C4026" t="s">
        <v>948</v>
      </c>
      <c r="D4026">
        <v>0</v>
      </c>
      <c r="E4026">
        <v>29.6649</v>
      </c>
      <c r="F4026">
        <v>9.24385</v>
      </c>
      <c r="G4026">
        <v>81576.03</v>
      </c>
      <c r="H4026" s="1">
        <v>39724</v>
      </c>
      <c r="I4026" s="1">
        <v>39727</v>
      </c>
      <c r="J4026" t="s">
        <v>15</v>
      </c>
      <c r="K4026">
        <v>17</v>
      </c>
      <c r="L4026">
        <v>3000</v>
      </c>
      <c r="M4026" t="s">
        <v>49</v>
      </c>
      <c r="N4026">
        <v>1</v>
      </c>
    </row>
    <row r="4027" hidden="1" spans="1:14">
      <c r="A4027">
        <v>3533</v>
      </c>
      <c r="B4027" t="s">
        <v>977</v>
      </c>
      <c r="C4027" t="s">
        <v>948</v>
      </c>
      <c r="D4027">
        <v>0</v>
      </c>
      <c r="E4027">
        <v>32.604</v>
      </c>
      <c r="F4027">
        <v>15.9846</v>
      </c>
      <c r="G4027">
        <v>59848.91</v>
      </c>
      <c r="H4027" s="1">
        <v>40041</v>
      </c>
      <c r="I4027" s="1">
        <v>40047</v>
      </c>
      <c r="J4027">
        <v>0</v>
      </c>
      <c r="K4027">
        <v>5</v>
      </c>
      <c r="L4027">
        <v>80000</v>
      </c>
      <c r="M4027" t="s">
        <v>49</v>
      </c>
      <c r="N4027">
        <v>1</v>
      </c>
    </row>
    <row r="4028" hidden="1" spans="1:14">
      <c r="A4028">
        <v>3683</v>
      </c>
      <c r="B4028">
        <v>0</v>
      </c>
      <c r="C4028" t="s">
        <v>948</v>
      </c>
      <c r="D4028">
        <v>0</v>
      </c>
      <c r="E4028">
        <v>36.6717</v>
      </c>
      <c r="F4028">
        <v>18.7493</v>
      </c>
      <c r="G4028">
        <v>100438.85</v>
      </c>
      <c r="H4028" s="1">
        <v>40369</v>
      </c>
      <c r="I4028" s="1">
        <v>40401</v>
      </c>
      <c r="J4028">
        <v>0</v>
      </c>
      <c r="K4028">
        <v>33</v>
      </c>
      <c r="L4028">
        <v>10000</v>
      </c>
      <c r="M4028" t="s">
        <v>49</v>
      </c>
      <c r="N4028">
        <v>1.5</v>
      </c>
    </row>
    <row r="4029" hidden="1" spans="1:14">
      <c r="A4029">
        <v>3706</v>
      </c>
      <c r="B4029">
        <v>0</v>
      </c>
      <c r="C4029" t="s">
        <v>948</v>
      </c>
      <c r="D4029">
        <v>0</v>
      </c>
      <c r="E4029">
        <v>29.115</v>
      </c>
      <c r="F4029">
        <v>9.855</v>
      </c>
      <c r="G4029">
        <v>58589.17</v>
      </c>
      <c r="H4029" s="1">
        <v>40391</v>
      </c>
      <c r="I4029" s="1">
        <v>40441</v>
      </c>
      <c r="J4029" t="s">
        <v>15</v>
      </c>
      <c r="K4029">
        <v>0</v>
      </c>
      <c r="L4029">
        <v>57135</v>
      </c>
      <c r="M4029" t="s">
        <v>52</v>
      </c>
      <c r="N4029">
        <v>1.5</v>
      </c>
    </row>
    <row r="4030" hidden="1" spans="1:14">
      <c r="A4030">
        <v>3865</v>
      </c>
      <c r="C4030" t="s">
        <v>948</v>
      </c>
      <c r="E4030">
        <v>25.5621</v>
      </c>
      <c r="F4030">
        <v>13.0931</v>
      </c>
      <c r="G4030">
        <v>21720.21</v>
      </c>
      <c r="H4030" s="1">
        <v>40783</v>
      </c>
      <c r="I4030" s="1">
        <v>40794</v>
      </c>
      <c r="J4030" t="s">
        <v>15</v>
      </c>
      <c r="K4030">
        <v>0</v>
      </c>
      <c r="L4030">
        <v>1000</v>
      </c>
      <c r="M4030" t="s">
        <v>49</v>
      </c>
      <c r="N4030">
        <v>1</v>
      </c>
    </row>
    <row r="4031" hidden="1" spans="1:14">
      <c r="A4031">
        <v>3961</v>
      </c>
      <c r="C4031" t="s">
        <v>948</v>
      </c>
      <c r="E4031">
        <v>22.6608</v>
      </c>
      <c r="F4031">
        <v>13.6223</v>
      </c>
      <c r="G4031">
        <v>89290.09</v>
      </c>
      <c r="H4031" s="1">
        <v>41125</v>
      </c>
      <c r="I4031" s="1">
        <v>41127</v>
      </c>
      <c r="J4031" t="s">
        <v>15</v>
      </c>
      <c r="K4031">
        <v>5</v>
      </c>
      <c r="L4031">
        <v>800</v>
      </c>
      <c r="M4031" t="s">
        <v>52</v>
      </c>
      <c r="N4031">
        <v>1.5</v>
      </c>
    </row>
    <row r="4032" hidden="1" spans="1:14">
      <c r="A4032">
        <v>4077</v>
      </c>
      <c r="C4032" t="s">
        <v>948</v>
      </c>
      <c r="E4032">
        <v>28.9896</v>
      </c>
      <c r="F4032">
        <v>13.6883</v>
      </c>
      <c r="G4032">
        <v>1004638.92</v>
      </c>
      <c r="H4032" s="1">
        <v>41487</v>
      </c>
      <c r="I4032" s="1">
        <v>41507</v>
      </c>
      <c r="J4032" t="s">
        <v>15</v>
      </c>
      <c r="K4032">
        <v>11</v>
      </c>
      <c r="L4032">
        <v>100000</v>
      </c>
      <c r="M4032" t="s">
        <v>49</v>
      </c>
      <c r="N4032">
        <v>1.5</v>
      </c>
    </row>
    <row r="4033" hidden="1" spans="1:14">
      <c r="A4033">
        <v>4158</v>
      </c>
      <c r="C4033" t="s">
        <v>948</v>
      </c>
      <c r="E4033">
        <v>33.08</v>
      </c>
      <c r="F4033">
        <v>13.3883</v>
      </c>
      <c r="G4033">
        <v>137141.28</v>
      </c>
      <c r="H4033" s="1">
        <v>41827</v>
      </c>
      <c r="I4033" s="1">
        <v>41834</v>
      </c>
      <c r="J4033" t="s">
        <v>15</v>
      </c>
      <c r="K4033">
        <v>0</v>
      </c>
      <c r="L4033">
        <v>42400</v>
      </c>
      <c r="M4033" t="s">
        <v>49</v>
      </c>
      <c r="N4033">
        <v>1.5</v>
      </c>
    </row>
    <row r="4034" hidden="1" spans="1:14">
      <c r="A4034">
        <v>4369</v>
      </c>
      <c r="C4034" t="s">
        <v>948</v>
      </c>
      <c r="E4034">
        <v>34.2429</v>
      </c>
      <c r="F4034">
        <v>12.5198</v>
      </c>
      <c r="G4034">
        <v>39617.88</v>
      </c>
      <c r="H4034" s="1">
        <v>42551</v>
      </c>
      <c r="I4034" s="1">
        <v>42557</v>
      </c>
      <c r="J4034" t="s">
        <v>15</v>
      </c>
      <c r="K4034">
        <v>0</v>
      </c>
      <c r="L4034">
        <v>4000</v>
      </c>
      <c r="M4034" t="s">
        <v>52</v>
      </c>
      <c r="N4034">
        <v>1</v>
      </c>
    </row>
    <row r="4035" hidden="1" spans="1:14">
      <c r="A4035">
        <v>4374</v>
      </c>
      <c r="B4035" t="s">
        <v>978</v>
      </c>
      <c r="C4035" t="s">
        <v>948</v>
      </c>
      <c r="E4035">
        <v>29.5664</v>
      </c>
      <c r="F4035">
        <v>12.0017</v>
      </c>
      <c r="G4035">
        <v>541381.54</v>
      </c>
      <c r="H4035" s="1">
        <v>42562</v>
      </c>
      <c r="I4035" s="1">
        <v>42608</v>
      </c>
      <c r="J4035" t="s">
        <v>15</v>
      </c>
      <c r="K4035">
        <v>114</v>
      </c>
      <c r="L4035">
        <v>100000</v>
      </c>
      <c r="M4035" t="s">
        <v>49</v>
      </c>
      <c r="N4035">
        <v>1</v>
      </c>
    </row>
    <row r="4036" hidden="1" spans="1:14">
      <c r="A4036">
        <v>4511</v>
      </c>
      <c r="C4036" t="s">
        <v>948</v>
      </c>
      <c r="D4036" t="s">
        <v>947</v>
      </c>
      <c r="E4036">
        <v>29.6159</v>
      </c>
      <c r="F4036">
        <v>9.42341</v>
      </c>
      <c r="G4036">
        <v>986533.98</v>
      </c>
      <c r="H4036" s="1">
        <v>42969</v>
      </c>
      <c r="I4036" s="1">
        <v>42973</v>
      </c>
      <c r="J4036" t="s">
        <v>15</v>
      </c>
      <c r="K4036">
        <v>0</v>
      </c>
      <c r="L4036">
        <v>0</v>
      </c>
      <c r="M4036" t="s">
        <v>49</v>
      </c>
      <c r="N4036">
        <v>1</v>
      </c>
    </row>
    <row r="4037" hidden="1" spans="1:14">
      <c r="A4037">
        <v>4639</v>
      </c>
      <c r="C4037" t="s">
        <v>948</v>
      </c>
      <c r="E4037">
        <v>27.3642</v>
      </c>
      <c r="F4037">
        <v>10.7634</v>
      </c>
      <c r="G4037">
        <v>210194.29</v>
      </c>
      <c r="H4037" s="1">
        <v>43269</v>
      </c>
      <c r="I4037" s="1">
        <v>43278</v>
      </c>
      <c r="J4037" t="s">
        <v>56</v>
      </c>
      <c r="K4037">
        <v>0</v>
      </c>
      <c r="L4037">
        <v>2500</v>
      </c>
      <c r="M4037" t="s">
        <v>52</v>
      </c>
      <c r="N4037">
        <v>1</v>
      </c>
    </row>
    <row r="4038" hidden="1" spans="1:14">
      <c r="A4038">
        <v>4668</v>
      </c>
      <c r="C4038" t="s">
        <v>948</v>
      </c>
      <c r="E4038">
        <v>31.9418</v>
      </c>
      <c r="F4038">
        <v>13.487</v>
      </c>
      <c r="G4038">
        <v>629241.72</v>
      </c>
      <c r="H4038" s="1">
        <v>43313</v>
      </c>
      <c r="I4038" s="1">
        <v>43347</v>
      </c>
      <c r="J4038" t="s">
        <v>56</v>
      </c>
      <c r="K4038">
        <v>23</v>
      </c>
      <c r="L4038">
        <v>4500</v>
      </c>
      <c r="M4038" t="s">
        <v>49</v>
      </c>
      <c r="N4038">
        <v>1.5</v>
      </c>
    </row>
    <row r="4039" hidden="1" spans="1:14">
      <c r="A4039">
        <v>4702</v>
      </c>
      <c r="C4039" t="s">
        <v>948</v>
      </c>
      <c r="E4039">
        <v>36.6183</v>
      </c>
      <c r="F4039">
        <v>19.9066</v>
      </c>
      <c r="G4039">
        <v>74505.16</v>
      </c>
      <c r="H4039" s="1">
        <v>43405</v>
      </c>
      <c r="I4039" s="1">
        <v>43411</v>
      </c>
      <c r="J4039" t="s">
        <v>56</v>
      </c>
      <c r="K4039">
        <v>4</v>
      </c>
      <c r="L4039">
        <v>300</v>
      </c>
      <c r="M4039" t="s">
        <v>49</v>
      </c>
      <c r="N4039">
        <v>1</v>
      </c>
    </row>
    <row r="4040" hidden="1" spans="1:14">
      <c r="A4040">
        <v>4786</v>
      </c>
      <c r="C4040" t="s">
        <v>948</v>
      </c>
      <c r="E4040">
        <v>33.9212</v>
      </c>
      <c r="F4040">
        <v>14.8262</v>
      </c>
      <c r="G4040">
        <v>228503.64</v>
      </c>
      <c r="H4040" s="1">
        <v>43684</v>
      </c>
      <c r="I4040" s="1">
        <v>43706</v>
      </c>
      <c r="J4040" t="s">
        <v>56</v>
      </c>
      <c r="K4040">
        <v>54</v>
      </c>
      <c r="L4040">
        <v>100000</v>
      </c>
      <c r="M4040" t="s">
        <v>49</v>
      </c>
      <c r="N4040">
        <v>1.5</v>
      </c>
    </row>
    <row r="4041" hidden="1" spans="1:14">
      <c r="A4041">
        <v>4807</v>
      </c>
      <c r="C4041" t="s">
        <v>948</v>
      </c>
      <c r="E4041">
        <v>25.36</v>
      </c>
      <c r="F4041">
        <v>14.086</v>
      </c>
      <c r="G4041">
        <v>148559.72</v>
      </c>
      <c r="H4041" s="1">
        <v>43742</v>
      </c>
      <c r="I4041" s="1">
        <v>43745</v>
      </c>
      <c r="J4041" t="s">
        <v>56</v>
      </c>
      <c r="K4041">
        <v>0</v>
      </c>
      <c r="L4041">
        <v>1600</v>
      </c>
      <c r="M4041" t="s">
        <v>52</v>
      </c>
      <c r="N4041">
        <v>1</v>
      </c>
    </row>
    <row r="4042" hidden="1" spans="1:14">
      <c r="A4042">
        <v>4958</v>
      </c>
      <c r="C4042" t="s">
        <v>948</v>
      </c>
      <c r="D4042" t="s">
        <v>947</v>
      </c>
      <c r="E4042">
        <v>31.0757</v>
      </c>
      <c r="F4042">
        <v>10.3029</v>
      </c>
      <c r="G4042">
        <v>885004.46</v>
      </c>
      <c r="H4042" s="1">
        <v>44040</v>
      </c>
      <c r="I4042" s="1">
        <v>44070</v>
      </c>
      <c r="J4042" t="s">
        <v>56</v>
      </c>
      <c r="K4042">
        <v>0</v>
      </c>
      <c r="L4042">
        <v>200000</v>
      </c>
      <c r="M4042" t="s">
        <v>49</v>
      </c>
      <c r="N4042">
        <v>2</v>
      </c>
    </row>
    <row r="4043" hidden="1" spans="1:14">
      <c r="A4043">
        <v>5116</v>
      </c>
      <c r="C4043" t="s">
        <v>948</v>
      </c>
      <c r="E4043">
        <v>30.0118</v>
      </c>
      <c r="F4043">
        <v>12.1503</v>
      </c>
      <c r="G4043">
        <v>734281.01</v>
      </c>
      <c r="H4043" s="1">
        <v>44409</v>
      </c>
      <c r="I4043" s="1">
        <v>44461</v>
      </c>
      <c r="J4043" t="s">
        <v>56</v>
      </c>
      <c r="K4043">
        <v>0</v>
      </c>
      <c r="L4043">
        <v>60000</v>
      </c>
      <c r="M4043" t="s">
        <v>49</v>
      </c>
      <c r="N4043">
        <v>1.5</v>
      </c>
    </row>
    <row r="4044" hidden="1" spans="1:14">
      <c r="A4044">
        <v>2298</v>
      </c>
      <c r="B4044">
        <v>0</v>
      </c>
      <c r="C4044" t="s">
        <v>979</v>
      </c>
      <c r="D4044">
        <v>0</v>
      </c>
      <c r="E4044">
        <v>36.4589</v>
      </c>
      <c r="F4044">
        <v>15.3828</v>
      </c>
      <c r="G4044">
        <v>95753.23</v>
      </c>
      <c r="H4044" s="1">
        <v>37830</v>
      </c>
      <c r="I4044" s="1">
        <v>37854</v>
      </c>
      <c r="J4044" t="s">
        <v>15</v>
      </c>
      <c r="K4044">
        <v>20</v>
      </c>
      <c r="L4044">
        <v>325000</v>
      </c>
      <c r="M4044" t="s">
        <v>16</v>
      </c>
      <c r="N4044">
        <v>2</v>
      </c>
    </row>
    <row r="4045" hidden="1" spans="1:14">
      <c r="A4045">
        <v>769</v>
      </c>
      <c r="B4045">
        <v>0</v>
      </c>
      <c r="C4045" t="s">
        <v>980</v>
      </c>
      <c r="D4045">
        <v>0</v>
      </c>
      <c r="E4045">
        <v>31.8434</v>
      </c>
      <c r="F4045">
        <v>12.4132</v>
      </c>
      <c r="G4045">
        <v>30815.18</v>
      </c>
      <c r="H4045" s="1">
        <v>34199</v>
      </c>
      <c r="I4045" s="1">
        <v>34204</v>
      </c>
      <c r="J4045" t="s">
        <v>15</v>
      </c>
      <c r="K4045">
        <v>6</v>
      </c>
      <c r="L4045">
        <v>300</v>
      </c>
      <c r="M4045" t="s">
        <v>64</v>
      </c>
      <c r="N4045">
        <v>1</v>
      </c>
    </row>
    <row r="4046" hidden="1" spans="1:14">
      <c r="A4046">
        <v>2858</v>
      </c>
      <c r="B4046" t="s">
        <v>981</v>
      </c>
      <c r="C4046" t="s">
        <v>454</v>
      </c>
      <c r="D4046">
        <v>0</v>
      </c>
      <c r="E4046">
        <v>-56.4844</v>
      </c>
      <c r="F4046">
        <v>3.41728</v>
      </c>
      <c r="G4046">
        <v>62043.81</v>
      </c>
      <c r="H4046" s="1">
        <v>38844</v>
      </c>
      <c r="I4046" s="1">
        <v>38866</v>
      </c>
      <c r="J4046" t="s">
        <v>15</v>
      </c>
      <c r="K4046">
        <v>3</v>
      </c>
      <c r="L4046">
        <v>22000</v>
      </c>
      <c r="M4046" t="s">
        <v>16</v>
      </c>
      <c r="N4046">
        <v>2</v>
      </c>
    </row>
    <row r="4047" hidden="1" spans="1:14">
      <c r="A4047">
        <v>3324</v>
      </c>
      <c r="B4047" t="s">
        <v>982</v>
      </c>
      <c r="C4047" t="s">
        <v>454</v>
      </c>
      <c r="D4047">
        <v>0</v>
      </c>
      <c r="E4047">
        <v>-55.676</v>
      </c>
      <c r="F4047">
        <v>2.96378</v>
      </c>
      <c r="G4047">
        <v>62356.11</v>
      </c>
      <c r="H4047" s="1">
        <v>39600</v>
      </c>
      <c r="I4047" s="1">
        <v>39624</v>
      </c>
      <c r="J4047" t="s">
        <v>15</v>
      </c>
      <c r="K4047">
        <v>0</v>
      </c>
      <c r="L4047">
        <v>6500</v>
      </c>
      <c r="M4047" t="s">
        <v>49</v>
      </c>
      <c r="N4047">
        <v>1</v>
      </c>
    </row>
    <row r="4048" hidden="1" spans="1:14">
      <c r="A4048">
        <v>52</v>
      </c>
      <c r="B4048">
        <v>0</v>
      </c>
      <c r="C4048" t="s">
        <v>983</v>
      </c>
      <c r="D4048">
        <v>0</v>
      </c>
      <c r="E4048">
        <v>15.9425</v>
      </c>
      <c r="F4048">
        <v>63.1724</v>
      </c>
      <c r="G4048">
        <v>51410.52</v>
      </c>
      <c r="H4048" s="1">
        <v>31302</v>
      </c>
      <c r="I4048" s="1">
        <v>31305</v>
      </c>
      <c r="J4048" t="s">
        <v>15</v>
      </c>
      <c r="K4048">
        <v>0</v>
      </c>
      <c r="L4048">
        <v>0</v>
      </c>
      <c r="M4048" t="s">
        <v>16</v>
      </c>
      <c r="N4048">
        <v>1</v>
      </c>
    </row>
    <row r="4049" hidden="1" spans="1:14">
      <c r="A4049">
        <v>1159</v>
      </c>
      <c r="B4049">
        <v>0</v>
      </c>
      <c r="C4049" t="s">
        <v>983</v>
      </c>
      <c r="D4049">
        <v>0</v>
      </c>
      <c r="E4049">
        <v>21.4825</v>
      </c>
      <c r="F4049">
        <v>65.547</v>
      </c>
      <c r="G4049">
        <v>4247.58</v>
      </c>
      <c r="H4049" s="1">
        <v>35638</v>
      </c>
      <c r="I4049" s="1">
        <v>35640</v>
      </c>
      <c r="J4049" t="s">
        <v>15</v>
      </c>
      <c r="K4049">
        <v>0</v>
      </c>
      <c r="L4049">
        <v>20</v>
      </c>
      <c r="M4049" t="s">
        <v>16</v>
      </c>
      <c r="N4049">
        <v>1</v>
      </c>
    </row>
    <row r="4050" hidden="1" spans="1:14">
      <c r="A4050">
        <v>1507</v>
      </c>
      <c r="B4050">
        <v>0</v>
      </c>
      <c r="C4050" t="s">
        <v>984</v>
      </c>
      <c r="D4050" t="s">
        <v>350</v>
      </c>
      <c r="E4050">
        <v>8.09713</v>
      </c>
      <c r="F4050">
        <v>48.9515</v>
      </c>
      <c r="G4050">
        <v>79469.33</v>
      </c>
      <c r="H4050" s="1">
        <v>36292</v>
      </c>
      <c r="I4050" s="1">
        <v>36297</v>
      </c>
      <c r="J4050" t="s">
        <v>15</v>
      </c>
      <c r="K4050">
        <v>2</v>
      </c>
      <c r="L4050">
        <v>0</v>
      </c>
      <c r="M4050" t="s">
        <v>16</v>
      </c>
      <c r="N4050">
        <v>2</v>
      </c>
    </row>
    <row r="4051" hidden="1" spans="1:14">
      <c r="A4051">
        <v>2716</v>
      </c>
      <c r="B4051">
        <v>0</v>
      </c>
      <c r="C4051" t="s">
        <v>984</v>
      </c>
      <c r="D4051" t="s">
        <v>121</v>
      </c>
      <c r="E4051">
        <v>9.57806</v>
      </c>
      <c r="F4051">
        <v>47.4865</v>
      </c>
      <c r="G4051">
        <v>44952.69</v>
      </c>
      <c r="H4051" s="1">
        <v>38585</v>
      </c>
      <c r="I4051" s="1">
        <v>38590</v>
      </c>
      <c r="J4051" t="s">
        <v>15</v>
      </c>
      <c r="K4051">
        <v>12</v>
      </c>
      <c r="L4051">
        <v>2500</v>
      </c>
      <c r="M4051" t="s">
        <v>16</v>
      </c>
      <c r="N4051">
        <v>2</v>
      </c>
    </row>
    <row r="4052" hidden="1" spans="1:14">
      <c r="A4052">
        <v>2933</v>
      </c>
      <c r="B4052">
        <v>0</v>
      </c>
      <c r="C4052" t="s">
        <v>984</v>
      </c>
      <c r="D4052">
        <v>0</v>
      </c>
      <c r="E4052">
        <v>7.39142</v>
      </c>
      <c r="F4052">
        <v>46.0415</v>
      </c>
      <c r="G4052">
        <v>363.573</v>
      </c>
      <c r="H4052" s="1">
        <v>38924</v>
      </c>
      <c r="I4052" s="1">
        <v>38925</v>
      </c>
      <c r="J4052" t="s">
        <v>15</v>
      </c>
      <c r="K4052">
        <v>0</v>
      </c>
      <c r="L4052">
        <v>3000</v>
      </c>
      <c r="M4052" t="s">
        <v>16</v>
      </c>
      <c r="N4052">
        <v>1</v>
      </c>
    </row>
    <row r="4053" hidden="1" spans="1:14">
      <c r="A4053">
        <v>3096</v>
      </c>
      <c r="B4053">
        <v>0</v>
      </c>
      <c r="C4053" t="s">
        <v>984</v>
      </c>
      <c r="D4053">
        <v>0</v>
      </c>
      <c r="E4053">
        <v>7.72656</v>
      </c>
      <c r="F4053">
        <v>47.0599</v>
      </c>
      <c r="G4053">
        <v>913.758</v>
      </c>
      <c r="H4053" s="1">
        <v>39242</v>
      </c>
      <c r="I4053" s="1">
        <v>39242</v>
      </c>
      <c r="J4053" t="s">
        <v>15</v>
      </c>
      <c r="K4053">
        <v>3</v>
      </c>
      <c r="L4053">
        <v>0</v>
      </c>
      <c r="M4053" t="s">
        <v>18</v>
      </c>
      <c r="N4053">
        <v>1</v>
      </c>
    </row>
    <row r="4054" hidden="1" spans="1:14">
      <c r="A4054">
        <v>4761</v>
      </c>
      <c r="C4054" t="s">
        <v>984</v>
      </c>
      <c r="E4054">
        <v>7.12404</v>
      </c>
      <c r="F4054">
        <v>46.5497</v>
      </c>
      <c r="G4054">
        <v>5258.68</v>
      </c>
      <c r="H4054" s="1">
        <v>43637</v>
      </c>
      <c r="I4054" s="1">
        <v>43640</v>
      </c>
      <c r="J4054" t="s">
        <v>56</v>
      </c>
      <c r="K4054">
        <v>0</v>
      </c>
      <c r="L4054">
        <v>0</v>
      </c>
      <c r="M4054" t="s">
        <v>52</v>
      </c>
      <c r="N4054">
        <v>1</v>
      </c>
    </row>
    <row r="4055" hidden="1" spans="1:14">
      <c r="A4055">
        <v>1288</v>
      </c>
      <c r="B4055">
        <v>0</v>
      </c>
      <c r="C4055" t="s">
        <v>561</v>
      </c>
      <c r="D4055">
        <v>0</v>
      </c>
      <c r="E4055">
        <v>38.3799</v>
      </c>
      <c r="F4055">
        <v>34.5539</v>
      </c>
      <c r="G4055">
        <v>138439.98</v>
      </c>
      <c r="H4055" s="1">
        <v>35735</v>
      </c>
      <c r="I4055" s="1">
        <v>35742</v>
      </c>
      <c r="J4055" t="s">
        <v>15</v>
      </c>
      <c r="K4055">
        <v>7</v>
      </c>
      <c r="L4055">
        <v>0</v>
      </c>
      <c r="M4055" t="s">
        <v>16</v>
      </c>
      <c r="N4055">
        <v>1</v>
      </c>
    </row>
    <row r="4056" hidden="1" spans="1:14">
      <c r="A4056">
        <v>1850</v>
      </c>
      <c r="B4056">
        <v>0</v>
      </c>
      <c r="C4056" t="s">
        <v>561</v>
      </c>
      <c r="D4056">
        <v>0</v>
      </c>
      <c r="E4056">
        <v>36.0191</v>
      </c>
      <c r="F4056">
        <v>35.5887</v>
      </c>
      <c r="G4056">
        <v>289.427</v>
      </c>
      <c r="H4056" s="1">
        <v>37252</v>
      </c>
      <c r="I4056" s="1">
        <v>37253</v>
      </c>
      <c r="J4056" t="s">
        <v>15</v>
      </c>
      <c r="K4056">
        <v>3</v>
      </c>
      <c r="L4056">
        <v>0</v>
      </c>
      <c r="M4056" t="s">
        <v>16</v>
      </c>
      <c r="N4056">
        <v>2</v>
      </c>
    </row>
    <row r="4057" hidden="1" spans="1:14">
      <c r="A4057">
        <v>1938</v>
      </c>
      <c r="B4057">
        <v>0</v>
      </c>
      <c r="C4057" t="s">
        <v>561</v>
      </c>
      <c r="D4057">
        <v>0</v>
      </c>
      <c r="E4057">
        <v>36.33</v>
      </c>
      <c r="F4057">
        <v>35.6527</v>
      </c>
      <c r="G4057">
        <v>180.881</v>
      </c>
      <c r="H4057" s="1">
        <v>37411</v>
      </c>
      <c r="I4057" s="1">
        <v>37413</v>
      </c>
      <c r="J4057" t="s">
        <v>15</v>
      </c>
      <c r="K4057">
        <v>22</v>
      </c>
      <c r="L4057">
        <v>8000</v>
      </c>
      <c r="M4057" t="s">
        <v>25</v>
      </c>
      <c r="N4057">
        <v>1</v>
      </c>
    </row>
    <row r="4058" hidden="1" spans="1:14">
      <c r="A4058">
        <v>3064</v>
      </c>
      <c r="B4058">
        <v>0</v>
      </c>
      <c r="C4058" t="s">
        <v>561</v>
      </c>
      <c r="D4058">
        <v>0</v>
      </c>
      <c r="E4058">
        <v>38.3904</v>
      </c>
      <c r="F4058">
        <v>34.5237</v>
      </c>
      <c r="G4058">
        <v>1918.98</v>
      </c>
      <c r="H4058" s="1">
        <v>39201</v>
      </c>
      <c r="I4058" s="1">
        <v>39203</v>
      </c>
      <c r="J4058" t="s">
        <v>15</v>
      </c>
      <c r="K4058">
        <v>3</v>
      </c>
      <c r="L4058">
        <v>0</v>
      </c>
      <c r="M4058" t="s">
        <v>16</v>
      </c>
      <c r="N4058">
        <v>1</v>
      </c>
    </row>
    <row r="4059" hidden="1" spans="1:14">
      <c r="A4059">
        <v>3804</v>
      </c>
      <c r="C4059" t="s">
        <v>561</v>
      </c>
      <c r="E4059">
        <v>41.5757</v>
      </c>
      <c r="F4059">
        <v>36.8808</v>
      </c>
      <c r="G4059">
        <v>7088.55</v>
      </c>
      <c r="H4059" s="1">
        <v>40656</v>
      </c>
      <c r="I4059" s="1">
        <v>40658</v>
      </c>
      <c r="J4059" t="s">
        <v>15</v>
      </c>
      <c r="K4059">
        <v>5</v>
      </c>
      <c r="L4059">
        <v>0</v>
      </c>
      <c r="M4059" t="s">
        <v>49</v>
      </c>
      <c r="N4059">
        <v>1</v>
      </c>
    </row>
    <row r="4060" hidden="1" spans="1:14">
      <c r="A4060">
        <v>157</v>
      </c>
      <c r="B4060">
        <v>0</v>
      </c>
      <c r="C4060" t="s">
        <v>274</v>
      </c>
      <c r="D4060">
        <v>0</v>
      </c>
      <c r="E4060">
        <v>121.527</v>
      </c>
      <c r="F4060">
        <v>25.0202</v>
      </c>
      <c r="G4060">
        <v>3705.48</v>
      </c>
      <c r="H4060" s="1">
        <v>32074</v>
      </c>
      <c r="I4060" s="1">
        <v>32076</v>
      </c>
      <c r="J4060" t="s">
        <v>15</v>
      </c>
      <c r="K4060">
        <v>49</v>
      </c>
      <c r="L4060">
        <v>0</v>
      </c>
      <c r="M4060" t="s">
        <v>86</v>
      </c>
      <c r="N4060">
        <v>2</v>
      </c>
    </row>
    <row r="4061" hidden="1" spans="1:14">
      <c r="A4061">
        <v>381</v>
      </c>
      <c r="B4061">
        <v>0</v>
      </c>
      <c r="C4061" t="s">
        <v>274</v>
      </c>
      <c r="D4061">
        <v>0</v>
      </c>
      <c r="E4061">
        <v>121.52</v>
      </c>
      <c r="F4061">
        <v>24.9855</v>
      </c>
      <c r="G4061">
        <v>1557.46</v>
      </c>
      <c r="H4061" s="1">
        <v>32858</v>
      </c>
      <c r="I4061" s="1">
        <v>32860</v>
      </c>
      <c r="J4061" t="s">
        <v>15</v>
      </c>
      <c r="K4061">
        <v>0</v>
      </c>
      <c r="L4061">
        <v>0</v>
      </c>
      <c r="M4061" t="s">
        <v>16</v>
      </c>
      <c r="N4061">
        <v>1</v>
      </c>
    </row>
    <row r="4062" hidden="1" spans="1:14">
      <c r="A4062">
        <v>337</v>
      </c>
      <c r="B4062">
        <v>0</v>
      </c>
      <c r="C4062" t="s">
        <v>274</v>
      </c>
      <c r="D4062">
        <v>0</v>
      </c>
      <c r="E4062">
        <v>120.513</v>
      </c>
      <c r="F4062">
        <v>23.8905</v>
      </c>
      <c r="G4062">
        <v>15551.63</v>
      </c>
      <c r="H4062" s="1">
        <v>32715</v>
      </c>
      <c r="I4062" s="1">
        <v>32719</v>
      </c>
      <c r="J4062" t="s">
        <v>15</v>
      </c>
      <c r="K4062">
        <v>16</v>
      </c>
      <c r="L4062">
        <v>152</v>
      </c>
      <c r="M4062" t="s">
        <v>16</v>
      </c>
      <c r="N4062">
        <v>1</v>
      </c>
    </row>
    <row r="4063" hidden="1" spans="1:14">
      <c r="A4063">
        <v>365</v>
      </c>
      <c r="B4063">
        <v>0</v>
      </c>
      <c r="C4063" t="s">
        <v>274</v>
      </c>
      <c r="D4063">
        <v>0</v>
      </c>
      <c r="E4063">
        <v>120.657</v>
      </c>
      <c r="F4063">
        <v>23.1441</v>
      </c>
      <c r="G4063">
        <v>17494.32</v>
      </c>
      <c r="H4063" s="1">
        <v>32763</v>
      </c>
      <c r="I4063" s="1">
        <v>32768</v>
      </c>
      <c r="J4063" t="s">
        <v>15</v>
      </c>
      <c r="K4063">
        <v>11</v>
      </c>
      <c r="L4063">
        <v>100</v>
      </c>
      <c r="M4063" t="s">
        <v>86</v>
      </c>
      <c r="N4063">
        <v>1</v>
      </c>
    </row>
    <row r="4064" hidden="1" spans="1:14">
      <c r="A4064">
        <v>872</v>
      </c>
      <c r="B4064">
        <v>0</v>
      </c>
      <c r="C4064" t="s">
        <v>274</v>
      </c>
      <c r="D4064">
        <v>0</v>
      </c>
      <c r="E4064">
        <v>120.915</v>
      </c>
      <c r="F4064">
        <v>23.0569</v>
      </c>
      <c r="G4064">
        <v>16588.35</v>
      </c>
      <c r="H4064" s="1">
        <v>34547</v>
      </c>
      <c r="I4064" s="1">
        <v>34550</v>
      </c>
      <c r="J4064" t="s">
        <v>15</v>
      </c>
      <c r="K4064">
        <v>10</v>
      </c>
      <c r="L4064">
        <v>0</v>
      </c>
      <c r="M4064" t="s">
        <v>86</v>
      </c>
      <c r="N4064">
        <v>1</v>
      </c>
    </row>
    <row r="4065" hidden="1" spans="1:14">
      <c r="A4065">
        <v>875</v>
      </c>
      <c r="B4065">
        <v>0</v>
      </c>
      <c r="C4065" t="s">
        <v>274</v>
      </c>
      <c r="D4065">
        <v>0</v>
      </c>
      <c r="E4065">
        <v>120.838</v>
      </c>
      <c r="F4065">
        <v>23.2024</v>
      </c>
      <c r="G4065">
        <v>27168.55</v>
      </c>
      <c r="H4065" s="1">
        <v>34553</v>
      </c>
      <c r="I4065" s="1">
        <v>34562</v>
      </c>
      <c r="J4065" t="s">
        <v>15</v>
      </c>
      <c r="K4065">
        <v>9</v>
      </c>
      <c r="L4065">
        <v>3600</v>
      </c>
      <c r="M4065" t="s">
        <v>86</v>
      </c>
      <c r="N4065">
        <v>2</v>
      </c>
    </row>
    <row r="4066" hidden="1" spans="1:14">
      <c r="A4066">
        <v>1171</v>
      </c>
      <c r="B4066">
        <v>0</v>
      </c>
      <c r="C4066" t="s">
        <v>274</v>
      </c>
      <c r="D4066">
        <v>0</v>
      </c>
      <c r="E4066">
        <v>121.6</v>
      </c>
      <c r="F4066">
        <v>24.719</v>
      </c>
      <c r="G4066">
        <v>6415.04</v>
      </c>
      <c r="H4066" s="1">
        <v>35658</v>
      </c>
      <c r="I4066" s="1">
        <v>35664</v>
      </c>
      <c r="J4066" t="s">
        <v>15</v>
      </c>
      <c r="K4066">
        <v>31</v>
      </c>
      <c r="L4066">
        <v>0</v>
      </c>
      <c r="M4066" t="s">
        <v>86</v>
      </c>
      <c r="N4066">
        <v>1</v>
      </c>
    </row>
    <row r="4067" hidden="1" spans="1:14">
      <c r="A4067">
        <v>1261</v>
      </c>
      <c r="B4067">
        <v>0</v>
      </c>
      <c r="C4067" t="s">
        <v>274</v>
      </c>
      <c r="D4067">
        <v>0</v>
      </c>
      <c r="E4067">
        <v>121.135</v>
      </c>
      <c r="F4067">
        <v>24.8439</v>
      </c>
      <c r="G4067">
        <v>2934.8</v>
      </c>
      <c r="H4067" s="1">
        <v>35613</v>
      </c>
      <c r="I4067" s="1">
        <v>35616</v>
      </c>
      <c r="J4067" t="s">
        <v>15</v>
      </c>
      <c r="K4067">
        <v>8</v>
      </c>
      <c r="L4067">
        <v>0</v>
      </c>
      <c r="M4067" t="s">
        <v>16</v>
      </c>
      <c r="N4067">
        <v>1</v>
      </c>
    </row>
    <row r="4068" hidden="1" spans="1:14">
      <c r="A4068">
        <v>1378</v>
      </c>
      <c r="B4068">
        <v>0</v>
      </c>
      <c r="C4068" t="s">
        <v>274</v>
      </c>
      <c r="D4068">
        <v>0</v>
      </c>
      <c r="E4068">
        <v>120.822</v>
      </c>
      <c r="F4068">
        <v>23.6609</v>
      </c>
      <c r="G4068">
        <v>7743.49</v>
      </c>
      <c r="H4068" s="1">
        <v>35947</v>
      </c>
      <c r="I4068" s="1">
        <v>35954</v>
      </c>
      <c r="J4068" t="s">
        <v>15</v>
      </c>
      <c r="K4068">
        <v>3</v>
      </c>
      <c r="L4068">
        <v>300</v>
      </c>
      <c r="M4068" t="s">
        <v>23</v>
      </c>
      <c r="N4068">
        <v>1</v>
      </c>
    </row>
    <row r="4069" hidden="1" spans="1:14">
      <c r="A4069">
        <v>1463</v>
      </c>
      <c r="B4069">
        <v>0</v>
      </c>
      <c r="C4069" t="s">
        <v>274</v>
      </c>
      <c r="D4069">
        <v>0</v>
      </c>
      <c r="E4069">
        <v>121.152</v>
      </c>
      <c r="F4069">
        <v>23.658</v>
      </c>
      <c r="G4069">
        <v>24807.76</v>
      </c>
      <c r="H4069" s="1">
        <v>36091</v>
      </c>
      <c r="I4069" s="1">
        <v>36092</v>
      </c>
      <c r="J4069" t="s">
        <v>15</v>
      </c>
      <c r="K4069">
        <v>156</v>
      </c>
      <c r="L4069">
        <v>400000</v>
      </c>
      <c r="M4069" t="s">
        <v>16</v>
      </c>
      <c r="N4069">
        <v>1</v>
      </c>
    </row>
    <row r="4070" hidden="1" spans="1:14">
      <c r="A4070">
        <v>1658</v>
      </c>
      <c r="B4070">
        <v>0</v>
      </c>
      <c r="C4070" t="s">
        <v>274</v>
      </c>
      <c r="D4070">
        <v>0</v>
      </c>
      <c r="E4070">
        <v>121.616</v>
      </c>
      <c r="F4070">
        <v>24.736</v>
      </c>
      <c r="G4070">
        <v>4476.77</v>
      </c>
      <c r="H4070" s="1">
        <v>36831</v>
      </c>
      <c r="I4070" s="1">
        <v>36834</v>
      </c>
      <c r="J4070" t="s">
        <v>15</v>
      </c>
      <c r="K4070">
        <v>58</v>
      </c>
      <c r="L4070">
        <v>0</v>
      </c>
      <c r="M4070" t="s">
        <v>86</v>
      </c>
      <c r="N4070">
        <v>1</v>
      </c>
    </row>
    <row r="4071" hidden="1" spans="1:14">
      <c r="A4071">
        <v>1751</v>
      </c>
      <c r="B4071">
        <v>0</v>
      </c>
      <c r="C4071" t="s">
        <v>274</v>
      </c>
      <c r="D4071">
        <v>0</v>
      </c>
      <c r="E4071">
        <v>120.441</v>
      </c>
      <c r="F4071">
        <v>22.6274</v>
      </c>
      <c r="G4071">
        <v>1313.29</v>
      </c>
      <c r="H4071" s="1">
        <v>37083</v>
      </c>
      <c r="I4071" s="1">
        <v>37085</v>
      </c>
      <c r="J4071" t="s">
        <v>15</v>
      </c>
      <c r="K4071">
        <v>5</v>
      </c>
      <c r="L4071">
        <v>0</v>
      </c>
      <c r="M4071" t="s">
        <v>86</v>
      </c>
      <c r="N4071">
        <v>2</v>
      </c>
    </row>
    <row r="4072" hidden="1" spans="1:14">
      <c r="A4072">
        <v>1762</v>
      </c>
      <c r="B4072">
        <v>0</v>
      </c>
      <c r="C4072" t="s">
        <v>274</v>
      </c>
      <c r="D4072">
        <v>0</v>
      </c>
      <c r="E4072">
        <v>121.341</v>
      </c>
      <c r="F4072">
        <v>23.5108</v>
      </c>
      <c r="G4072">
        <v>3947.08</v>
      </c>
      <c r="H4072" s="1">
        <v>37101</v>
      </c>
      <c r="I4072" s="1">
        <v>37102</v>
      </c>
      <c r="J4072" t="s">
        <v>15</v>
      </c>
      <c r="K4072">
        <v>78</v>
      </c>
      <c r="L4072">
        <v>0</v>
      </c>
      <c r="M4072" t="s">
        <v>86</v>
      </c>
      <c r="N4072">
        <v>2</v>
      </c>
    </row>
    <row r="4073" hidden="1" spans="1:14">
      <c r="A4073">
        <v>1795</v>
      </c>
      <c r="B4073">
        <v>0</v>
      </c>
      <c r="C4073" t="s">
        <v>274</v>
      </c>
      <c r="D4073">
        <v>0</v>
      </c>
      <c r="E4073">
        <v>121.29</v>
      </c>
      <c r="F4073">
        <v>24.9949</v>
      </c>
      <c r="G4073">
        <v>2802.78</v>
      </c>
      <c r="H4073" s="1">
        <v>37150</v>
      </c>
      <c r="I4073" s="1">
        <v>37154</v>
      </c>
      <c r="J4073" t="s">
        <v>15</v>
      </c>
      <c r="K4073">
        <v>90</v>
      </c>
      <c r="L4073">
        <v>10000</v>
      </c>
      <c r="M4073" t="s">
        <v>86</v>
      </c>
      <c r="N4073">
        <v>2</v>
      </c>
    </row>
    <row r="4074" hidden="1" spans="1:14">
      <c r="A4074">
        <v>2376</v>
      </c>
      <c r="B4074">
        <v>0</v>
      </c>
      <c r="C4074" t="s">
        <v>274</v>
      </c>
      <c r="D4074" t="s">
        <v>813</v>
      </c>
      <c r="E4074">
        <v>121.774</v>
      </c>
      <c r="F4074">
        <v>17.6099</v>
      </c>
      <c r="G4074">
        <v>17156.81</v>
      </c>
      <c r="H4074" s="1">
        <v>37927</v>
      </c>
      <c r="I4074" s="1">
        <v>37928</v>
      </c>
      <c r="J4074" t="s">
        <v>15</v>
      </c>
      <c r="K4074">
        <v>2</v>
      </c>
      <c r="L4074">
        <v>0</v>
      </c>
      <c r="M4074" t="s">
        <v>16</v>
      </c>
      <c r="N4074">
        <v>1</v>
      </c>
    </row>
    <row r="4075" hidden="1" spans="1:14">
      <c r="A4075">
        <v>2563</v>
      </c>
      <c r="B4075">
        <v>0</v>
      </c>
      <c r="C4075" t="s">
        <v>274</v>
      </c>
      <c r="D4075">
        <v>0</v>
      </c>
      <c r="E4075">
        <v>121.186</v>
      </c>
      <c r="F4075">
        <v>24.4896</v>
      </c>
      <c r="G4075">
        <v>10780.74</v>
      </c>
      <c r="H4075" s="1">
        <v>38241</v>
      </c>
      <c r="I4075" s="1">
        <v>38244</v>
      </c>
      <c r="J4075" t="s">
        <v>15</v>
      </c>
      <c r="K4075">
        <v>9</v>
      </c>
      <c r="L4075">
        <v>0</v>
      </c>
      <c r="M4075" t="s">
        <v>86</v>
      </c>
      <c r="N4075">
        <v>1</v>
      </c>
    </row>
    <row r="4076" hidden="1" spans="1:14">
      <c r="A4076">
        <v>2575</v>
      </c>
      <c r="B4076">
        <v>0</v>
      </c>
      <c r="C4076" t="s">
        <v>274</v>
      </c>
      <c r="D4076">
        <v>0</v>
      </c>
      <c r="E4076">
        <v>121.607</v>
      </c>
      <c r="F4076">
        <v>24.9787</v>
      </c>
      <c r="G4076">
        <v>2490.36</v>
      </c>
      <c r="H4076" s="1">
        <v>38285</v>
      </c>
      <c r="I4076" s="1">
        <v>38287</v>
      </c>
      <c r="J4076" t="s">
        <v>15</v>
      </c>
      <c r="K4076">
        <v>7</v>
      </c>
      <c r="L4076">
        <v>0</v>
      </c>
      <c r="M4076" t="s">
        <v>86</v>
      </c>
      <c r="N4076">
        <v>1</v>
      </c>
    </row>
    <row r="4077" hidden="1" spans="1:14">
      <c r="A4077">
        <v>2669</v>
      </c>
      <c r="B4077">
        <v>0</v>
      </c>
      <c r="C4077" t="s">
        <v>274</v>
      </c>
      <c r="D4077">
        <v>0</v>
      </c>
      <c r="E4077">
        <v>120.345</v>
      </c>
      <c r="F4077">
        <v>22.8027</v>
      </c>
      <c r="G4077">
        <v>3446.4</v>
      </c>
      <c r="H4077" s="1">
        <v>38514</v>
      </c>
      <c r="I4077" s="1">
        <v>38520</v>
      </c>
      <c r="J4077" t="s">
        <v>15</v>
      </c>
      <c r="K4077">
        <v>16</v>
      </c>
      <c r="L4077">
        <v>2700</v>
      </c>
      <c r="M4077" t="s">
        <v>16</v>
      </c>
      <c r="N4077">
        <v>2</v>
      </c>
    </row>
    <row r="4078" hidden="1" spans="1:14">
      <c r="A4078">
        <v>2694</v>
      </c>
      <c r="B4078">
        <v>0</v>
      </c>
      <c r="C4078" t="s">
        <v>274</v>
      </c>
      <c r="D4078" t="s">
        <v>273</v>
      </c>
      <c r="E4078">
        <v>120.856</v>
      </c>
      <c r="F4078">
        <v>28.1203</v>
      </c>
      <c r="G4078">
        <v>12148.26</v>
      </c>
      <c r="H4078" s="1">
        <v>38549</v>
      </c>
      <c r="I4078" s="1">
        <v>38553</v>
      </c>
      <c r="J4078" t="s">
        <v>15</v>
      </c>
      <c r="K4078">
        <v>17</v>
      </c>
      <c r="L4078">
        <v>0</v>
      </c>
      <c r="M4078" t="s">
        <v>86</v>
      </c>
      <c r="N4078">
        <v>1</v>
      </c>
    </row>
    <row r="4079" hidden="1" spans="1:14">
      <c r="A4079">
        <v>2722</v>
      </c>
      <c r="B4079">
        <v>0</v>
      </c>
      <c r="C4079" t="s">
        <v>274</v>
      </c>
      <c r="D4079" t="s">
        <v>273</v>
      </c>
      <c r="E4079">
        <v>118.554</v>
      </c>
      <c r="F4079">
        <v>28.5839</v>
      </c>
      <c r="G4079">
        <v>188694.05</v>
      </c>
      <c r="H4079" s="1">
        <v>38596</v>
      </c>
      <c r="I4079" s="1">
        <v>38599</v>
      </c>
      <c r="J4079" t="s">
        <v>15</v>
      </c>
      <c r="K4079">
        <v>129</v>
      </c>
      <c r="L4079">
        <v>1840000</v>
      </c>
      <c r="M4079" t="s">
        <v>86</v>
      </c>
      <c r="N4079">
        <v>1</v>
      </c>
    </row>
    <row r="4080" hidden="1" spans="1:14">
      <c r="A4080">
        <v>2886</v>
      </c>
      <c r="B4080">
        <v>0</v>
      </c>
      <c r="C4080" t="s">
        <v>274</v>
      </c>
      <c r="D4080">
        <v>0</v>
      </c>
      <c r="E4080">
        <v>120.786</v>
      </c>
      <c r="F4080">
        <v>24.0687</v>
      </c>
      <c r="G4080">
        <v>14311.41</v>
      </c>
      <c r="H4080" s="1">
        <v>38878</v>
      </c>
      <c r="I4080" s="1">
        <v>38881</v>
      </c>
      <c r="J4080" t="s">
        <v>15</v>
      </c>
      <c r="K4080">
        <v>1</v>
      </c>
      <c r="L4080">
        <v>300</v>
      </c>
      <c r="M4080" t="s">
        <v>16</v>
      </c>
      <c r="N4080">
        <v>1</v>
      </c>
    </row>
    <row r="4081" hidden="1" spans="1:14">
      <c r="A4081">
        <v>3202</v>
      </c>
      <c r="B4081" t="s">
        <v>985</v>
      </c>
      <c r="C4081" t="s">
        <v>274</v>
      </c>
      <c r="D4081">
        <v>0</v>
      </c>
      <c r="E4081">
        <v>121.016</v>
      </c>
      <c r="F4081">
        <v>23.7557</v>
      </c>
      <c r="G4081">
        <v>34614.65</v>
      </c>
      <c r="H4081" s="1">
        <v>39361</v>
      </c>
      <c r="I4081" s="1">
        <v>39365</v>
      </c>
      <c r="J4081" t="s">
        <v>15</v>
      </c>
      <c r="K4081">
        <v>18</v>
      </c>
      <c r="L4081">
        <v>1000</v>
      </c>
      <c r="M4081" t="s">
        <v>86</v>
      </c>
      <c r="N4081">
        <v>1</v>
      </c>
    </row>
    <row r="4082" hidden="1" spans="1:14">
      <c r="A4082">
        <v>3333</v>
      </c>
      <c r="B4082">
        <v>0</v>
      </c>
      <c r="C4082" t="s">
        <v>274</v>
      </c>
      <c r="E4082">
        <v>120.785</v>
      </c>
      <c r="F4082">
        <v>22.9396</v>
      </c>
      <c r="G4082">
        <v>17090.29</v>
      </c>
      <c r="H4082" s="1">
        <v>39647</v>
      </c>
      <c r="I4082" s="1">
        <v>39647</v>
      </c>
      <c r="J4082" t="s">
        <v>15</v>
      </c>
      <c r="K4082">
        <v>19</v>
      </c>
      <c r="L4082">
        <v>0</v>
      </c>
      <c r="M4082" t="s">
        <v>986</v>
      </c>
      <c r="N4082">
        <v>2</v>
      </c>
    </row>
    <row r="4083" hidden="1" spans="1:14">
      <c r="A4083">
        <v>3380</v>
      </c>
      <c r="B4083">
        <v>0</v>
      </c>
      <c r="C4083" t="s">
        <v>274</v>
      </c>
      <c r="D4083">
        <v>0</v>
      </c>
      <c r="E4083">
        <v>121.569</v>
      </c>
      <c r="F4083">
        <v>24.6669</v>
      </c>
      <c r="G4083">
        <v>4834.08</v>
      </c>
      <c r="H4083" s="1">
        <v>39705</v>
      </c>
      <c r="I4083" s="1">
        <v>39706</v>
      </c>
      <c r="J4083" t="s">
        <v>15</v>
      </c>
      <c r="K4083">
        <v>0</v>
      </c>
      <c r="L4083">
        <v>0</v>
      </c>
      <c r="M4083" t="s">
        <v>987</v>
      </c>
      <c r="N4083">
        <v>1.5</v>
      </c>
    </row>
    <row r="4084" hidden="1" spans="1:14">
      <c r="A4084">
        <v>3522</v>
      </c>
      <c r="B4084" t="s">
        <v>988</v>
      </c>
      <c r="C4084" t="s">
        <v>274</v>
      </c>
      <c r="E4084">
        <v>121.009</v>
      </c>
      <c r="F4084">
        <v>24.2867</v>
      </c>
      <c r="G4084">
        <v>24905.81</v>
      </c>
      <c r="H4084" s="1">
        <v>40034</v>
      </c>
      <c r="I4084" s="1">
        <v>40037</v>
      </c>
      <c r="J4084">
        <v>0</v>
      </c>
      <c r="K4084">
        <v>500</v>
      </c>
      <c r="L4084">
        <v>2000000</v>
      </c>
      <c r="M4084" t="s">
        <v>833</v>
      </c>
      <c r="N4084">
        <v>2</v>
      </c>
    </row>
    <row r="4085" hidden="1" spans="1:14">
      <c r="A4085">
        <v>3668</v>
      </c>
      <c r="B4085">
        <v>0</v>
      </c>
      <c r="C4085" t="s">
        <v>274</v>
      </c>
      <c r="D4085">
        <v>0</v>
      </c>
      <c r="E4085">
        <v>121.606</v>
      </c>
      <c r="F4085">
        <v>24.9491</v>
      </c>
      <c r="G4085">
        <v>1399.49</v>
      </c>
      <c r="H4085" s="1">
        <v>40354</v>
      </c>
      <c r="I4085" s="1">
        <v>40356</v>
      </c>
      <c r="J4085">
        <v>0</v>
      </c>
      <c r="K4085">
        <v>0</v>
      </c>
      <c r="L4085">
        <v>0</v>
      </c>
      <c r="M4085" t="s">
        <v>52</v>
      </c>
      <c r="N4085">
        <v>1</v>
      </c>
    </row>
    <row r="4086" hidden="1" spans="1:14">
      <c r="A4086">
        <v>3719</v>
      </c>
      <c r="B4086">
        <v>0</v>
      </c>
      <c r="C4086" t="s">
        <v>274</v>
      </c>
      <c r="D4086">
        <v>0</v>
      </c>
      <c r="E4086">
        <v>120.701</v>
      </c>
      <c r="F4086">
        <v>22.4293</v>
      </c>
      <c r="G4086">
        <v>6726.25</v>
      </c>
      <c r="H4086" s="1">
        <v>40439</v>
      </c>
      <c r="I4086" s="1">
        <v>40441</v>
      </c>
      <c r="J4086" t="s">
        <v>15</v>
      </c>
      <c r="K4086">
        <v>0</v>
      </c>
      <c r="L4086">
        <v>0</v>
      </c>
      <c r="M4086" t="s">
        <v>989</v>
      </c>
      <c r="N4086">
        <v>2</v>
      </c>
    </row>
    <row r="4087" hidden="1" spans="1:14">
      <c r="A4087">
        <v>3936</v>
      </c>
      <c r="C4087" t="s">
        <v>274</v>
      </c>
      <c r="E4087">
        <v>120.939</v>
      </c>
      <c r="F4087">
        <v>24.0587</v>
      </c>
      <c r="G4087">
        <v>18940.52</v>
      </c>
      <c r="H4087" s="1">
        <v>41069</v>
      </c>
      <c r="I4087" s="1">
        <v>41072</v>
      </c>
      <c r="J4087" t="s">
        <v>15</v>
      </c>
      <c r="K4087">
        <v>4</v>
      </c>
      <c r="L4087">
        <v>3000</v>
      </c>
      <c r="M4087" t="s">
        <v>52</v>
      </c>
      <c r="N4087">
        <v>1.5</v>
      </c>
    </row>
    <row r="4088" hidden="1" spans="1:14">
      <c r="A4088">
        <v>4482</v>
      </c>
      <c r="C4088" t="s">
        <v>274</v>
      </c>
      <c r="E4088">
        <v>121.216</v>
      </c>
      <c r="F4088">
        <v>24.3022</v>
      </c>
      <c r="G4088">
        <v>16445.9</v>
      </c>
      <c r="H4088" s="1">
        <v>42888</v>
      </c>
      <c r="I4088" s="1">
        <v>42891</v>
      </c>
      <c r="J4088" t="s">
        <v>15</v>
      </c>
      <c r="K4088">
        <v>1</v>
      </c>
      <c r="L4088">
        <v>4000</v>
      </c>
      <c r="M4088" t="s">
        <v>52</v>
      </c>
      <c r="N4088">
        <v>1.5</v>
      </c>
    </row>
    <row r="4089" hidden="1" spans="1:14">
      <c r="A4089">
        <v>220</v>
      </c>
      <c r="B4089">
        <v>0</v>
      </c>
      <c r="C4089" t="s">
        <v>990</v>
      </c>
      <c r="D4089">
        <v>0</v>
      </c>
      <c r="E4089">
        <v>120.448</v>
      </c>
      <c r="F4089">
        <v>23.3725</v>
      </c>
      <c r="G4089">
        <v>11240.57</v>
      </c>
      <c r="H4089" s="1">
        <v>32369</v>
      </c>
      <c r="I4089" s="1">
        <v>32372</v>
      </c>
      <c r="J4089" t="s">
        <v>15</v>
      </c>
      <c r="K4089">
        <v>15</v>
      </c>
      <c r="L4089">
        <v>10000</v>
      </c>
      <c r="M4089" t="s">
        <v>16</v>
      </c>
      <c r="N4089">
        <v>2</v>
      </c>
    </row>
    <row r="4090" hidden="1" spans="1:14">
      <c r="A4090">
        <v>254</v>
      </c>
      <c r="B4090">
        <v>0</v>
      </c>
      <c r="C4090" t="s">
        <v>990</v>
      </c>
      <c r="D4090">
        <v>0</v>
      </c>
      <c r="E4090">
        <v>121.521</v>
      </c>
      <c r="F4090">
        <v>24.0029</v>
      </c>
      <c r="G4090">
        <v>7300.07</v>
      </c>
      <c r="H4090" s="1">
        <v>32407</v>
      </c>
      <c r="I4090" s="1">
        <v>32419</v>
      </c>
      <c r="J4090" t="s">
        <v>15</v>
      </c>
      <c r="K4090">
        <v>0</v>
      </c>
      <c r="L4090">
        <v>0</v>
      </c>
      <c r="M4090" t="s">
        <v>16</v>
      </c>
      <c r="N4090">
        <v>1</v>
      </c>
    </row>
    <row r="4091" hidden="1" spans="1:14">
      <c r="A4091">
        <v>746</v>
      </c>
      <c r="B4091">
        <v>0</v>
      </c>
      <c r="C4091" t="s">
        <v>990</v>
      </c>
      <c r="D4091">
        <v>0</v>
      </c>
      <c r="E4091">
        <v>120.765</v>
      </c>
      <c r="F4091">
        <v>24.3267</v>
      </c>
      <c r="G4091">
        <v>7755.71</v>
      </c>
      <c r="H4091" s="1">
        <v>34122</v>
      </c>
      <c r="I4091" s="1">
        <v>34126</v>
      </c>
      <c r="J4091" t="s">
        <v>15</v>
      </c>
      <c r="K4091">
        <v>10</v>
      </c>
      <c r="L4091">
        <v>0</v>
      </c>
      <c r="M4091" t="s">
        <v>16</v>
      </c>
      <c r="N4091">
        <v>1</v>
      </c>
    </row>
    <row r="4092" hidden="1" spans="1:14">
      <c r="A4092">
        <v>413</v>
      </c>
      <c r="B4092">
        <v>0</v>
      </c>
      <c r="C4092" t="s">
        <v>991</v>
      </c>
      <c r="D4092">
        <v>0</v>
      </c>
      <c r="E4092">
        <v>73.0436</v>
      </c>
      <c r="F4092">
        <v>38.3136</v>
      </c>
      <c r="G4092">
        <v>128180.41</v>
      </c>
      <c r="H4092" s="1">
        <v>33010</v>
      </c>
      <c r="I4092" s="1">
        <v>33011</v>
      </c>
      <c r="J4092" t="s">
        <v>15</v>
      </c>
      <c r="K4092">
        <v>0</v>
      </c>
      <c r="L4092">
        <v>280</v>
      </c>
      <c r="M4092" t="s">
        <v>16</v>
      </c>
      <c r="N4092">
        <v>1</v>
      </c>
    </row>
    <row r="4093" hidden="1" spans="1:14">
      <c r="A4093">
        <v>642</v>
      </c>
      <c r="B4093">
        <v>0</v>
      </c>
      <c r="C4093" t="s">
        <v>991</v>
      </c>
      <c r="D4093">
        <v>0</v>
      </c>
      <c r="E4093">
        <v>71.6038</v>
      </c>
      <c r="F4093">
        <v>38.6543</v>
      </c>
      <c r="G4093">
        <v>123588.99</v>
      </c>
      <c r="H4093" s="1">
        <v>33709</v>
      </c>
      <c r="I4093" s="1">
        <v>33764</v>
      </c>
      <c r="J4093" t="s">
        <v>15</v>
      </c>
      <c r="K4093">
        <v>200</v>
      </c>
      <c r="L4093">
        <v>500</v>
      </c>
      <c r="M4093" t="s">
        <v>16</v>
      </c>
      <c r="N4093">
        <v>1</v>
      </c>
    </row>
    <row r="4094" hidden="1" spans="1:14">
      <c r="A4094">
        <v>739</v>
      </c>
      <c r="B4094">
        <v>0</v>
      </c>
      <c r="C4094" t="s">
        <v>991</v>
      </c>
      <c r="D4094">
        <v>0</v>
      </c>
      <c r="E4094">
        <v>69.1791</v>
      </c>
      <c r="F4094">
        <v>37.9808</v>
      </c>
      <c r="G4094">
        <v>20198.33</v>
      </c>
      <c r="H4094" s="1">
        <v>34096</v>
      </c>
      <c r="I4094" s="1">
        <v>34097</v>
      </c>
      <c r="J4094" t="s">
        <v>15</v>
      </c>
      <c r="K4094">
        <v>0</v>
      </c>
      <c r="L4094">
        <v>9000</v>
      </c>
      <c r="M4094" t="s">
        <v>16</v>
      </c>
      <c r="N4094">
        <v>1</v>
      </c>
    </row>
    <row r="4095" hidden="1" spans="1:14">
      <c r="A4095">
        <v>1345</v>
      </c>
      <c r="B4095">
        <v>0</v>
      </c>
      <c r="C4095" t="s">
        <v>991</v>
      </c>
      <c r="D4095">
        <v>0</v>
      </c>
      <c r="E4095">
        <v>68.9337</v>
      </c>
      <c r="F4095">
        <v>38.4369</v>
      </c>
      <c r="G4095">
        <v>59531.17</v>
      </c>
      <c r="H4095" s="1">
        <v>35909</v>
      </c>
      <c r="I4095" s="1">
        <v>35922</v>
      </c>
      <c r="J4095" t="s">
        <v>15</v>
      </c>
      <c r="K4095">
        <v>203</v>
      </c>
      <c r="L4095">
        <v>20000</v>
      </c>
      <c r="M4095" t="s">
        <v>16</v>
      </c>
      <c r="N4095">
        <v>1</v>
      </c>
    </row>
    <row r="4096" hidden="1" spans="1:14">
      <c r="A4096">
        <v>1344</v>
      </c>
      <c r="B4096">
        <v>0</v>
      </c>
      <c r="C4096" t="s">
        <v>991</v>
      </c>
      <c r="D4096">
        <v>0</v>
      </c>
      <c r="E4096">
        <v>73.0892</v>
      </c>
      <c r="F4096">
        <v>38.1987</v>
      </c>
      <c r="G4096">
        <v>44210.4</v>
      </c>
      <c r="H4096" s="1">
        <v>35909</v>
      </c>
      <c r="I4096" s="1">
        <v>35912</v>
      </c>
      <c r="J4096" t="s">
        <v>15</v>
      </c>
      <c r="K4096">
        <v>52</v>
      </c>
      <c r="L4096">
        <v>1000</v>
      </c>
      <c r="M4096" t="s">
        <v>38</v>
      </c>
      <c r="N4096">
        <v>2</v>
      </c>
    </row>
    <row r="4097" hidden="1" spans="1:14">
      <c r="A4097">
        <v>1375</v>
      </c>
      <c r="B4097">
        <v>0</v>
      </c>
      <c r="C4097" t="s">
        <v>991</v>
      </c>
      <c r="D4097">
        <v>0</v>
      </c>
      <c r="E4097">
        <v>69.2454</v>
      </c>
      <c r="F4097">
        <v>39.6918</v>
      </c>
      <c r="G4097">
        <v>39903.11</v>
      </c>
      <c r="H4097" s="1">
        <v>35946</v>
      </c>
      <c r="I4097" s="1">
        <v>35948</v>
      </c>
      <c r="J4097" t="s">
        <v>15</v>
      </c>
      <c r="K4097">
        <v>0</v>
      </c>
      <c r="L4097">
        <v>1200</v>
      </c>
      <c r="M4097" t="s">
        <v>16</v>
      </c>
      <c r="N4097">
        <v>1</v>
      </c>
    </row>
    <row r="4098" hidden="1" spans="1:14">
      <c r="A4098">
        <v>1899</v>
      </c>
      <c r="B4098">
        <v>0</v>
      </c>
      <c r="C4098" t="s">
        <v>991</v>
      </c>
      <c r="D4098">
        <v>0</v>
      </c>
      <c r="E4098">
        <v>69.7335</v>
      </c>
      <c r="F4098">
        <v>38.1173</v>
      </c>
      <c r="G4098">
        <v>5024.73</v>
      </c>
      <c r="H4098" s="1">
        <v>37340</v>
      </c>
      <c r="I4098" s="1">
        <v>37348</v>
      </c>
      <c r="J4098" t="s">
        <v>15</v>
      </c>
      <c r="K4098">
        <v>0</v>
      </c>
      <c r="L4098">
        <v>280</v>
      </c>
      <c r="M4098" t="s">
        <v>16</v>
      </c>
      <c r="N4098">
        <v>1</v>
      </c>
    </row>
    <row r="4099" hidden="1" spans="1:14">
      <c r="A4099">
        <v>1953</v>
      </c>
      <c r="B4099">
        <v>0</v>
      </c>
      <c r="C4099" t="s">
        <v>991</v>
      </c>
      <c r="D4099">
        <v>0</v>
      </c>
      <c r="E4099">
        <v>68.8263</v>
      </c>
      <c r="F4099">
        <v>38.5499</v>
      </c>
      <c r="G4099">
        <v>1160.12</v>
      </c>
      <c r="H4099" s="1">
        <v>37423</v>
      </c>
      <c r="I4099" s="1">
        <v>37425</v>
      </c>
      <c r="J4099" t="s">
        <v>15</v>
      </c>
      <c r="K4099">
        <v>4</v>
      </c>
      <c r="L4099">
        <v>0</v>
      </c>
      <c r="M4099" t="s">
        <v>16</v>
      </c>
      <c r="N4099">
        <v>1</v>
      </c>
    </row>
    <row r="4100" hidden="1" spans="1:14">
      <c r="A4100">
        <v>2022</v>
      </c>
      <c r="B4100">
        <v>0</v>
      </c>
      <c r="C4100" t="s">
        <v>991</v>
      </c>
      <c r="D4100">
        <v>0</v>
      </c>
      <c r="E4100">
        <v>72.0219</v>
      </c>
      <c r="F4100">
        <v>37.2656</v>
      </c>
      <c r="G4100">
        <v>409.976</v>
      </c>
      <c r="H4100" s="1">
        <v>37475</v>
      </c>
      <c r="I4100" s="1">
        <v>37476</v>
      </c>
      <c r="J4100" t="s">
        <v>15</v>
      </c>
      <c r="K4100">
        <v>24</v>
      </c>
      <c r="L4100">
        <v>500</v>
      </c>
      <c r="M4100" t="s">
        <v>25</v>
      </c>
      <c r="N4100">
        <v>1</v>
      </c>
    </row>
    <row r="4101" hidden="1" spans="1:14">
      <c r="A4101">
        <v>2204</v>
      </c>
      <c r="B4101">
        <v>0</v>
      </c>
      <c r="C4101" t="s">
        <v>991</v>
      </c>
      <c r="D4101">
        <v>0</v>
      </c>
      <c r="E4101">
        <v>69.2051</v>
      </c>
      <c r="F4101">
        <v>38.043</v>
      </c>
      <c r="G4101">
        <v>5014.82</v>
      </c>
      <c r="H4101" s="1">
        <v>37724</v>
      </c>
      <c r="I4101" s="1">
        <v>37736</v>
      </c>
      <c r="J4101" t="s">
        <v>15</v>
      </c>
      <c r="K4101">
        <v>1</v>
      </c>
      <c r="L4101">
        <v>6000</v>
      </c>
      <c r="M4101" t="s">
        <v>16</v>
      </c>
      <c r="N4101">
        <v>1</v>
      </c>
    </row>
    <row r="4102" hidden="1" spans="1:14">
      <c r="A4102">
        <v>2246</v>
      </c>
      <c r="B4102">
        <v>0</v>
      </c>
      <c r="C4102" t="s">
        <v>991</v>
      </c>
      <c r="D4102">
        <v>0</v>
      </c>
      <c r="E4102">
        <v>67.7915</v>
      </c>
      <c r="F4102">
        <v>39.4652</v>
      </c>
      <c r="G4102">
        <v>1700.7</v>
      </c>
      <c r="H4102" s="1">
        <v>37778</v>
      </c>
      <c r="I4102" s="1">
        <v>37782</v>
      </c>
      <c r="J4102" t="s">
        <v>15</v>
      </c>
      <c r="K4102">
        <v>3</v>
      </c>
      <c r="L4102">
        <v>2500</v>
      </c>
      <c r="M4102" t="s">
        <v>16</v>
      </c>
      <c r="N4102">
        <v>1</v>
      </c>
    </row>
    <row r="4103" hidden="1" spans="1:14">
      <c r="A4103">
        <v>2654</v>
      </c>
      <c r="B4103">
        <v>0</v>
      </c>
      <c r="C4103" t="s">
        <v>991</v>
      </c>
      <c r="D4103">
        <v>0</v>
      </c>
      <c r="E4103">
        <v>69.2506</v>
      </c>
      <c r="F4103">
        <v>37.9689</v>
      </c>
      <c r="G4103">
        <v>26479.81</v>
      </c>
      <c r="H4103" s="1">
        <v>38479</v>
      </c>
      <c r="I4103" s="1">
        <v>38490</v>
      </c>
      <c r="J4103" t="s">
        <v>15</v>
      </c>
      <c r="K4103">
        <v>1</v>
      </c>
      <c r="L4103">
        <v>0</v>
      </c>
      <c r="M4103" t="s">
        <v>16</v>
      </c>
      <c r="N4103">
        <v>1</v>
      </c>
    </row>
    <row r="4104" hidden="1" spans="1:14">
      <c r="A4104">
        <v>2667</v>
      </c>
      <c r="B4104">
        <v>0</v>
      </c>
      <c r="C4104" t="s">
        <v>991</v>
      </c>
      <c r="D4104">
        <v>0</v>
      </c>
      <c r="E4104">
        <v>68.1036</v>
      </c>
      <c r="F4104">
        <v>39.4723</v>
      </c>
      <c r="G4104">
        <v>5936.26</v>
      </c>
      <c r="H4104" s="1">
        <v>38511</v>
      </c>
      <c r="I4104" s="1">
        <v>38513</v>
      </c>
      <c r="J4104" t="s">
        <v>15</v>
      </c>
      <c r="K4104">
        <v>6</v>
      </c>
      <c r="L4104">
        <v>2000</v>
      </c>
      <c r="M4104" t="s">
        <v>16</v>
      </c>
      <c r="N4104">
        <v>1</v>
      </c>
    </row>
    <row r="4105" hidden="1" spans="1:14">
      <c r="A4105">
        <v>2670</v>
      </c>
      <c r="B4105">
        <v>0</v>
      </c>
      <c r="C4105" t="s">
        <v>991</v>
      </c>
      <c r="D4105" t="s">
        <v>37</v>
      </c>
      <c r="E4105">
        <v>70.7991</v>
      </c>
      <c r="F4105">
        <v>37.18</v>
      </c>
      <c r="G4105">
        <v>102998.37</v>
      </c>
      <c r="H4105" s="1">
        <v>38518</v>
      </c>
      <c r="I4105" s="1">
        <v>38554</v>
      </c>
      <c r="J4105" t="s">
        <v>15</v>
      </c>
      <c r="K4105">
        <v>39</v>
      </c>
      <c r="L4105">
        <v>11000</v>
      </c>
      <c r="M4105" t="s">
        <v>16</v>
      </c>
      <c r="N4105">
        <v>1</v>
      </c>
    </row>
    <row r="4106" hidden="1" spans="1:14">
      <c r="A4106">
        <v>3054</v>
      </c>
      <c r="B4106" t="s">
        <v>992</v>
      </c>
      <c r="C4106" t="s">
        <v>991</v>
      </c>
      <c r="D4106">
        <v>0</v>
      </c>
      <c r="E4106">
        <v>69.4597</v>
      </c>
      <c r="F4106">
        <v>39.3482</v>
      </c>
      <c r="G4106">
        <v>66240.08</v>
      </c>
      <c r="H4106" s="1">
        <v>39188</v>
      </c>
      <c r="I4106" s="1">
        <v>39192</v>
      </c>
      <c r="J4106" t="s">
        <v>15</v>
      </c>
      <c r="K4106">
        <v>2</v>
      </c>
      <c r="L4106">
        <v>5000</v>
      </c>
      <c r="M4106" t="s">
        <v>16</v>
      </c>
      <c r="N4106">
        <v>1</v>
      </c>
    </row>
    <row r="4107" hidden="1" spans="1:14">
      <c r="A4107">
        <v>3138</v>
      </c>
      <c r="B4107" t="s">
        <v>993</v>
      </c>
      <c r="C4107" t="s">
        <v>991</v>
      </c>
      <c r="D4107">
        <v>0</v>
      </c>
      <c r="E4107">
        <v>70.4416</v>
      </c>
      <c r="F4107">
        <v>40.7481</v>
      </c>
      <c r="G4107">
        <v>2114.19</v>
      </c>
      <c r="H4107" s="1">
        <v>39285</v>
      </c>
      <c r="I4107" s="1">
        <v>39286</v>
      </c>
      <c r="J4107" t="s">
        <v>15</v>
      </c>
      <c r="K4107">
        <v>11</v>
      </c>
      <c r="L4107">
        <v>0</v>
      </c>
      <c r="M4107" t="s">
        <v>16</v>
      </c>
      <c r="N4107">
        <v>1</v>
      </c>
    </row>
    <row r="4108" hidden="1" spans="1:14">
      <c r="A4108">
        <v>3482</v>
      </c>
      <c r="B4108" t="s">
        <v>994</v>
      </c>
      <c r="C4108" t="s">
        <v>991</v>
      </c>
      <c r="D4108">
        <v>0</v>
      </c>
      <c r="E4108">
        <v>71.2878</v>
      </c>
      <c r="F4108">
        <v>38.5131</v>
      </c>
      <c r="G4108">
        <v>62468.65</v>
      </c>
      <c r="H4108" s="1">
        <v>39952</v>
      </c>
      <c r="I4108" s="1">
        <v>39954</v>
      </c>
      <c r="J4108" t="s">
        <v>15</v>
      </c>
      <c r="K4108">
        <v>0</v>
      </c>
      <c r="L4108">
        <v>0</v>
      </c>
      <c r="M4108" t="s">
        <v>49</v>
      </c>
      <c r="N4108">
        <v>1</v>
      </c>
    </row>
    <row r="4109" hidden="1" spans="1:14">
      <c r="A4109">
        <v>3644</v>
      </c>
      <c r="B4109" t="s">
        <v>995</v>
      </c>
      <c r="C4109" t="s">
        <v>991</v>
      </c>
      <c r="D4109">
        <v>0</v>
      </c>
      <c r="E4109">
        <v>69.4972</v>
      </c>
      <c r="F4109">
        <v>38.2211</v>
      </c>
      <c r="G4109">
        <v>23137.24</v>
      </c>
      <c r="H4109" s="1">
        <v>40304</v>
      </c>
      <c r="I4109" s="1">
        <v>40306</v>
      </c>
      <c r="J4109">
        <v>0</v>
      </c>
      <c r="K4109">
        <v>24</v>
      </c>
      <c r="L4109">
        <v>400</v>
      </c>
      <c r="M4109" t="s">
        <v>52</v>
      </c>
      <c r="N4109">
        <v>1</v>
      </c>
    </row>
    <row r="4110" hidden="1" spans="1:14">
      <c r="A4110">
        <v>4142</v>
      </c>
      <c r="B4110" t="s">
        <v>996</v>
      </c>
      <c r="C4110" t="s">
        <v>991</v>
      </c>
      <c r="E4110">
        <v>69.3787</v>
      </c>
      <c r="F4110">
        <v>38.4853</v>
      </c>
      <c r="G4110">
        <v>41719.46</v>
      </c>
      <c r="H4110" s="1">
        <v>41769</v>
      </c>
      <c r="I4110" s="1">
        <v>41775</v>
      </c>
      <c r="J4110" t="s">
        <v>15</v>
      </c>
      <c r="K4110">
        <v>0</v>
      </c>
      <c r="L4110">
        <v>425</v>
      </c>
      <c r="M4110" t="s">
        <v>49</v>
      </c>
      <c r="N4110">
        <v>1.5</v>
      </c>
    </row>
    <row r="4111" hidden="1" spans="1:14">
      <c r="A4111">
        <v>4256</v>
      </c>
      <c r="B4111" t="s">
        <v>997</v>
      </c>
      <c r="C4111" t="s">
        <v>991</v>
      </c>
      <c r="E4111">
        <v>73.2634</v>
      </c>
      <c r="F4111">
        <v>37.8142</v>
      </c>
      <c r="G4111">
        <v>32595.44</v>
      </c>
      <c r="H4111" s="1">
        <v>42135</v>
      </c>
      <c r="I4111" s="1">
        <v>42145</v>
      </c>
      <c r="J4111" t="s">
        <v>15</v>
      </c>
      <c r="K4111">
        <v>0</v>
      </c>
      <c r="L4111">
        <v>1776</v>
      </c>
      <c r="M4111" t="s">
        <v>52</v>
      </c>
      <c r="N4111">
        <v>1</v>
      </c>
    </row>
    <row r="4112" hidden="1" spans="1:14">
      <c r="A4112">
        <v>4273</v>
      </c>
      <c r="C4112" t="s">
        <v>991</v>
      </c>
      <c r="E4112">
        <v>73.1149</v>
      </c>
      <c r="F4112">
        <v>38.0626</v>
      </c>
      <c r="G4112">
        <v>56196.01</v>
      </c>
      <c r="H4112" s="1">
        <v>42200</v>
      </c>
      <c r="I4112" s="1">
        <v>42206</v>
      </c>
      <c r="J4112" t="s">
        <v>15</v>
      </c>
      <c r="K4112">
        <v>0</v>
      </c>
      <c r="L4112">
        <v>10000</v>
      </c>
      <c r="M4112" t="s">
        <v>39</v>
      </c>
      <c r="N4112">
        <v>1.5</v>
      </c>
    </row>
    <row r="4113" hidden="1" spans="1:14">
      <c r="A4113">
        <v>4754</v>
      </c>
      <c r="C4113" t="s">
        <v>991</v>
      </c>
      <c r="D4113" t="s">
        <v>37</v>
      </c>
      <c r="E4113">
        <v>69.3539</v>
      </c>
      <c r="F4113">
        <v>37.4198</v>
      </c>
      <c r="G4113">
        <v>106545.57</v>
      </c>
      <c r="H4113" s="1">
        <v>43620</v>
      </c>
      <c r="I4113" s="1">
        <v>43626</v>
      </c>
      <c r="J4113" t="s">
        <v>56</v>
      </c>
      <c r="K4113">
        <v>5</v>
      </c>
      <c r="L4113">
        <v>40</v>
      </c>
      <c r="M4113" t="s">
        <v>52</v>
      </c>
      <c r="N4113">
        <v>1.5</v>
      </c>
    </row>
    <row r="4114" hidden="1" spans="1:14">
      <c r="A4114">
        <v>126</v>
      </c>
      <c r="B4114">
        <v>0</v>
      </c>
      <c r="C4114" t="s">
        <v>998</v>
      </c>
      <c r="D4114">
        <v>0</v>
      </c>
      <c r="E4114">
        <v>61.4219</v>
      </c>
      <c r="F4114">
        <v>32.5541</v>
      </c>
      <c r="G4114">
        <v>4713.87</v>
      </c>
      <c r="H4114" s="1">
        <v>31852</v>
      </c>
      <c r="I4114" s="1">
        <v>31853</v>
      </c>
      <c r="J4114" t="s">
        <v>15</v>
      </c>
      <c r="K4114">
        <v>31</v>
      </c>
      <c r="L4114">
        <v>1000</v>
      </c>
      <c r="M4114" t="s">
        <v>16</v>
      </c>
      <c r="N4114">
        <v>1</v>
      </c>
    </row>
    <row r="4115" hidden="1" spans="1:14">
      <c r="A4115">
        <v>382</v>
      </c>
      <c r="B4115">
        <v>0</v>
      </c>
      <c r="C4115" t="s">
        <v>607</v>
      </c>
      <c r="D4115">
        <v>0</v>
      </c>
      <c r="E4115">
        <v>37.8116</v>
      </c>
      <c r="F4115">
        <v>-11.2926</v>
      </c>
      <c r="G4115">
        <v>69915.08</v>
      </c>
      <c r="H4115" s="1">
        <v>32859</v>
      </c>
      <c r="I4115" s="1">
        <v>32867</v>
      </c>
      <c r="J4115" t="s">
        <v>15</v>
      </c>
      <c r="K4115">
        <v>1</v>
      </c>
      <c r="L4115">
        <v>0</v>
      </c>
      <c r="M4115" t="s">
        <v>16</v>
      </c>
      <c r="N4115">
        <v>1</v>
      </c>
    </row>
    <row r="4116" hidden="1" spans="1:14">
      <c r="A4116">
        <v>403</v>
      </c>
      <c r="B4116">
        <v>0</v>
      </c>
      <c r="C4116" t="s">
        <v>607</v>
      </c>
      <c r="D4116">
        <v>0</v>
      </c>
      <c r="E4116">
        <v>35.6693</v>
      </c>
      <c r="F4116">
        <v>-6.50308</v>
      </c>
      <c r="G4116">
        <v>777754.38</v>
      </c>
      <c r="H4116" s="1">
        <v>32966</v>
      </c>
      <c r="I4116" s="1">
        <v>32994</v>
      </c>
      <c r="J4116" t="s">
        <v>15</v>
      </c>
      <c r="K4116">
        <v>100</v>
      </c>
      <c r="L4116">
        <v>4100000</v>
      </c>
      <c r="M4116" t="s">
        <v>16</v>
      </c>
      <c r="N4116">
        <v>2</v>
      </c>
    </row>
    <row r="4117" hidden="1" spans="1:14">
      <c r="A4117">
        <v>731</v>
      </c>
      <c r="B4117">
        <v>0</v>
      </c>
      <c r="C4117" t="s">
        <v>607</v>
      </c>
      <c r="D4117">
        <v>0</v>
      </c>
      <c r="E4117">
        <v>37.8933</v>
      </c>
      <c r="F4117">
        <v>-5.14777</v>
      </c>
      <c r="G4117">
        <v>42112.47</v>
      </c>
      <c r="H4117" s="1">
        <v>34008</v>
      </c>
      <c r="I4117" s="1">
        <v>34012</v>
      </c>
      <c r="J4117" t="s">
        <v>15</v>
      </c>
      <c r="K4117">
        <v>54</v>
      </c>
      <c r="L4117">
        <v>2900</v>
      </c>
      <c r="M4117" t="s">
        <v>16</v>
      </c>
      <c r="N4117">
        <v>1</v>
      </c>
    </row>
    <row r="4118" hidden="1" spans="1:14">
      <c r="A4118">
        <v>821</v>
      </c>
      <c r="B4118">
        <v>0</v>
      </c>
      <c r="C4118" t="s">
        <v>607</v>
      </c>
      <c r="D4118">
        <v>0</v>
      </c>
      <c r="E4118">
        <v>38.4373</v>
      </c>
      <c r="F4118">
        <v>-9.38978</v>
      </c>
      <c r="G4118">
        <v>65599.48</v>
      </c>
      <c r="H4118" s="1">
        <v>34343</v>
      </c>
      <c r="I4118" s="1">
        <v>34347</v>
      </c>
      <c r="J4118" t="s">
        <v>15</v>
      </c>
      <c r="K4118">
        <v>31</v>
      </c>
      <c r="L4118">
        <v>7000</v>
      </c>
      <c r="M4118" t="s">
        <v>16</v>
      </c>
      <c r="N4118">
        <v>1</v>
      </c>
    </row>
    <row r="4119" hidden="1" spans="1:14">
      <c r="A4119">
        <v>939</v>
      </c>
      <c r="B4119">
        <v>0</v>
      </c>
      <c r="C4119" t="s">
        <v>607</v>
      </c>
      <c r="D4119">
        <v>0</v>
      </c>
      <c r="E4119">
        <v>33.7006</v>
      </c>
      <c r="F4119">
        <v>-8.84509</v>
      </c>
      <c r="G4119">
        <v>36217.05</v>
      </c>
      <c r="H4119" s="1">
        <v>34762</v>
      </c>
      <c r="I4119" s="1">
        <v>34768</v>
      </c>
      <c r="J4119" t="s">
        <v>15</v>
      </c>
      <c r="K4119">
        <v>0</v>
      </c>
      <c r="L4119">
        <v>2000</v>
      </c>
      <c r="M4119" t="s">
        <v>16</v>
      </c>
      <c r="N4119">
        <v>1</v>
      </c>
    </row>
    <row r="4120" hidden="1" spans="1:14">
      <c r="A4120">
        <v>955</v>
      </c>
      <c r="B4120">
        <v>0</v>
      </c>
      <c r="C4120" t="s">
        <v>607</v>
      </c>
      <c r="D4120">
        <v>0</v>
      </c>
      <c r="E4120">
        <v>39.0934</v>
      </c>
      <c r="F4120">
        <v>-6.7697</v>
      </c>
      <c r="G4120">
        <v>5076.78</v>
      </c>
      <c r="H4120" s="1">
        <v>34846</v>
      </c>
      <c r="I4120" s="1">
        <v>34851</v>
      </c>
      <c r="J4120" t="s">
        <v>15</v>
      </c>
      <c r="K4120">
        <v>4</v>
      </c>
      <c r="L4120">
        <v>20000</v>
      </c>
      <c r="M4120" t="s">
        <v>16</v>
      </c>
      <c r="N4120">
        <v>1</v>
      </c>
    </row>
    <row r="4121" hidden="1" spans="1:14">
      <c r="A4121">
        <v>1154</v>
      </c>
      <c r="B4121">
        <v>0</v>
      </c>
      <c r="C4121" t="s">
        <v>607</v>
      </c>
      <c r="D4121">
        <v>0</v>
      </c>
      <c r="E4121">
        <v>38.2344</v>
      </c>
      <c r="F4121">
        <v>-9.62715</v>
      </c>
      <c r="G4121">
        <v>148922.15</v>
      </c>
      <c r="H4121" s="1">
        <v>35509</v>
      </c>
      <c r="I4121" s="1">
        <v>35535</v>
      </c>
      <c r="J4121" t="s">
        <v>15</v>
      </c>
      <c r="K4121">
        <v>61</v>
      </c>
      <c r="L4121">
        <v>3000</v>
      </c>
      <c r="M4121" t="s">
        <v>16</v>
      </c>
      <c r="N4121">
        <v>1</v>
      </c>
    </row>
    <row r="4122" hidden="1" spans="1:14">
      <c r="A4122">
        <v>1201</v>
      </c>
      <c r="B4122">
        <v>0</v>
      </c>
      <c r="C4122" t="s">
        <v>607</v>
      </c>
      <c r="D4122">
        <v>0</v>
      </c>
      <c r="E4122">
        <v>34.0253</v>
      </c>
      <c r="F4122">
        <v>-6.08419</v>
      </c>
      <c r="G4122">
        <v>323808.14</v>
      </c>
      <c r="H4122" s="1">
        <v>35784</v>
      </c>
      <c r="I4122" s="1">
        <v>35795</v>
      </c>
      <c r="J4122" t="s">
        <v>15</v>
      </c>
      <c r="K4122">
        <v>38</v>
      </c>
      <c r="L4122">
        <v>104000</v>
      </c>
      <c r="M4122" t="s">
        <v>16</v>
      </c>
      <c r="N4122">
        <v>1</v>
      </c>
    </row>
    <row r="4123" hidden="1" spans="1:14">
      <c r="A4123">
        <v>1285</v>
      </c>
      <c r="B4123">
        <v>0</v>
      </c>
      <c r="C4123" t="s">
        <v>607</v>
      </c>
      <c r="D4123">
        <v>0</v>
      </c>
      <c r="E4123">
        <v>34.2604</v>
      </c>
      <c r="F4123">
        <v>-1.8476</v>
      </c>
      <c r="G4123">
        <v>28956.16</v>
      </c>
      <c r="H4123" s="1">
        <v>35748</v>
      </c>
      <c r="I4123" s="1">
        <v>35762</v>
      </c>
      <c r="J4123" t="s">
        <v>15</v>
      </c>
      <c r="K4123">
        <v>0</v>
      </c>
      <c r="L4123">
        <v>400</v>
      </c>
      <c r="M4123" t="s">
        <v>16</v>
      </c>
      <c r="N4123">
        <v>1</v>
      </c>
    </row>
    <row r="4124" hidden="1" spans="1:14">
      <c r="A4124">
        <v>1350</v>
      </c>
      <c r="B4124">
        <v>0</v>
      </c>
      <c r="C4124" t="s">
        <v>607</v>
      </c>
      <c r="D4124">
        <v>0</v>
      </c>
      <c r="E4124">
        <v>37.4212</v>
      </c>
      <c r="F4124">
        <v>-6.9505</v>
      </c>
      <c r="G4124">
        <v>169775.58</v>
      </c>
      <c r="H4124" s="1">
        <v>35912</v>
      </c>
      <c r="I4124" s="1">
        <v>35919</v>
      </c>
      <c r="J4124" t="s">
        <v>15</v>
      </c>
      <c r="K4124">
        <v>5</v>
      </c>
      <c r="L4124">
        <v>4600</v>
      </c>
      <c r="M4124" t="s">
        <v>18</v>
      </c>
      <c r="N4124">
        <v>1</v>
      </c>
    </row>
    <row r="4125" hidden="1" spans="1:14">
      <c r="A4125">
        <v>2408</v>
      </c>
      <c r="B4125">
        <v>0</v>
      </c>
      <c r="C4125" t="s">
        <v>607</v>
      </c>
      <c r="D4125">
        <v>0</v>
      </c>
      <c r="E4125">
        <v>37.7078</v>
      </c>
      <c r="F4125">
        <v>-4.07513</v>
      </c>
      <c r="G4125">
        <v>238.27</v>
      </c>
      <c r="H4125" s="1">
        <v>37975</v>
      </c>
      <c r="I4125" s="1">
        <v>37976</v>
      </c>
      <c r="J4125" t="s">
        <v>15</v>
      </c>
      <c r="K4125">
        <v>0</v>
      </c>
      <c r="L4125">
        <v>2000</v>
      </c>
      <c r="M4125" t="s">
        <v>16</v>
      </c>
      <c r="N4125">
        <v>1</v>
      </c>
    </row>
    <row r="4126" hidden="1" spans="1:14">
      <c r="A4126">
        <v>2427</v>
      </c>
      <c r="B4126">
        <v>0</v>
      </c>
      <c r="C4126" t="s">
        <v>607</v>
      </c>
      <c r="D4126">
        <v>0</v>
      </c>
      <c r="E4126">
        <v>38.9875</v>
      </c>
      <c r="F4126">
        <v>-10.0803</v>
      </c>
      <c r="G4126">
        <v>534.805</v>
      </c>
      <c r="H4126" s="1">
        <v>38019</v>
      </c>
      <c r="I4126" s="1">
        <v>38021</v>
      </c>
      <c r="J4126" t="s">
        <v>15</v>
      </c>
      <c r="K4126">
        <v>4</v>
      </c>
      <c r="L4126">
        <v>0</v>
      </c>
      <c r="M4126" t="s">
        <v>16</v>
      </c>
      <c r="N4126">
        <v>1</v>
      </c>
    </row>
    <row r="4127" hidden="1" spans="1:14">
      <c r="A4127">
        <v>2475</v>
      </c>
      <c r="B4127">
        <v>0</v>
      </c>
      <c r="C4127" t="s">
        <v>607</v>
      </c>
      <c r="D4127">
        <v>0</v>
      </c>
      <c r="E4127">
        <v>38.2289</v>
      </c>
      <c r="F4127">
        <v>-6.66212</v>
      </c>
      <c r="G4127">
        <v>1526.96</v>
      </c>
      <c r="H4127" s="1">
        <v>38095</v>
      </c>
      <c r="I4127" s="1">
        <v>38096</v>
      </c>
      <c r="J4127" t="s">
        <v>15</v>
      </c>
      <c r="K4127">
        <v>0</v>
      </c>
      <c r="L4127">
        <v>2600</v>
      </c>
      <c r="M4127" t="s">
        <v>16</v>
      </c>
      <c r="N4127">
        <v>1</v>
      </c>
    </row>
    <row r="4128" hidden="1" spans="1:14">
      <c r="A4128">
        <v>2647</v>
      </c>
      <c r="B4128">
        <v>0</v>
      </c>
      <c r="C4128" t="s">
        <v>607</v>
      </c>
      <c r="D4128">
        <v>0</v>
      </c>
      <c r="E4128">
        <v>39.2955</v>
      </c>
      <c r="F4128">
        <v>-6.12967</v>
      </c>
      <c r="G4128">
        <v>507.011</v>
      </c>
      <c r="H4128" s="1">
        <v>38458</v>
      </c>
      <c r="I4128" s="1">
        <v>38460</v>
      </c>
      <c r="J4128" t="s">
        <v>15</v>
      </c>
      <c r="K4128">
        <v>1</v>
      </c>
      <c r="L4128">
        <v>300</v>
      </c>
      <c r="M4128" t="s">
        <v>16</v>
      </c>
      <c r="N4128">
        <v>1</v>
      </c>
    </row>
    <row r="4129" hidden="1" spans="1:14">
      <c r="A4129">
        <v>2793</v>
      </c>
      <c r="B4129">
        <v>0</v>
      </c>
      <c r="C4129" t="s">
        <v>607</v>
      </c>
      <c r="D4129">
        <v>0</v>
      </c>
      <c r="E4129">
        <v>32.523</v>
      </c>
      <c r="F4129">
        <v>-5.32376</v>
      </c>
      <c r="G4129">
        <v>75937.07</v>
      </c>
      <c r="H4129" s="1">
        <v>38751</v>
      </c>
      <c r="I4129" s="1">
        <v>38760</v>
      </c>
      <c r="J4129" t="s">
        <v>15</v>
      </c>
      <c r="K4129">
        <v>1</v>
      </c>
      <c r="L4129">
        <v>938</v>
      </c>
      <c r="M4129" t="s">
        <v>16</v>
      </c>
      <c r="N4129">
        <v>1</v>
      </c>
    </row>
    <row r="4130" hidden="1" spans="1:14">
      <c r="A4130">
        <v>2863</v>
      </c>
      <c r="B4130" t="s">
        <v>999</v>
      </c>
      <c r="C4130" t="s">
        <v>607</v>
      </c>
      <c r="D4130">
        <v>0</v>
      </c>
      <c r="E4130">
        <v>37.2205</v>
      </c>
      <c r="F4130">
        <v>-3.3275</v>
      </c>
      <c r="G4130">
        <v>12433.37</v>
      </c>
      <c r="H4130" s="1">
        <v>38846</v>
      </c>
      <c r="I4130" s="1">
        <v>38854</v>
      </c>
      <c r="J4130" t="s">
        <v>15</v>
      </c>
      <c r="K4130">
        <v>0</v>
      </c>
      <c r="L4130">
        <v>19000</v>
      </c>
      <c r="M4130" t="s">
        <v>16</v>
      </c>
      <c r="N4130">
        <v>1</v>
      </c>
    </row>
    <row r="4131" hidden="1" spans="1:14">
      <c r="A4131">
        <v>3294</v>
      </c>
      <c r="B4131">
        <v>0</v>
      </c>
      <c r="C4131" t="s">
        <v>607</v>
      </c>
      <c r="D4131">
        <v>0</v>
      </c>
      <c r="E4131">
        <v>36.457</v>
      </c>
      <c r="F4131">
        <v>-8.54602</v>
      </c>
      <c r="G4131">
        <v>15130.83</v>
      </c>
      <c r="H4131" s="1">
        <v>39549</v>
      </c>
      <c r="I4131" s="1">
        <v>39584</v>
      </c>
      <c r="J4131" t="s">
        <v>15</v>
      </c>
      <c r="K4131">
        <v>0</v>
      </c>
      <c r="L4131">
        <v>800</v>
      </c>
      <c r="M4131" t="s">
        <v>16</v>
      </c>
      <c r="N4131">
        <v>1</v>
      </c>
    </row>
    <row r="4132" hidden="1" spans="1:14">
      <c r="A4132">
        <v>3569</v>
      </c>
      <c r="B4132">
        <v>0</v>
      </c>
      <c r="C4132" t="s">
        <v>607</v>
      </c>
      <c r="D4132">
        <v>0</v>
      </c>
      <c r="E4132">
        <v>35.8909</v>
      </c>
      <c r="F4132">
        <v>-6.77431</v>
      </c>
      <c r="G4132">
        <v>194788.3</v>
      </c>
      <c r="H4132" s="1">
        <v>40127</v>
      </c>
      <c r="I4132" s="1">
        <v>40130</v>
      </c>
      <c r="J4132">
        <v>0</v>
      </c>
      <c r="K4132">
        <v>20</v>
      </c>
      <c r="L4132">
        <v>0</v>
      </c>
      <c r="M4132" t="s">
        <v>49</v>
      </c>
      <c r="N4132">
        <v>1</v>
      </c>
    </row>
    <row r="4133" hidden="1" spans="1:14">
      <c r="A4133">
        <v>3584</v>
      </c>
      <c r="B4133">
        <v>0</v>
      </c>
      <c r="C4133" t="s">
        <v>607</v>
      </c>
      <c r="D4133">
        <v>0</v>
      </c>
      <c r="E4133">
        <v>36.0236</v>
      </c>
      <c r="F4133">
        <v>-6.80493</v>
      </c>
      <c r="G4133">
        <v>167332.29</v>
      </c>
      <c r="H4133" s="1">
        <v>40172</v>
      </c>
      <c r="I4133" s="1">
        <v>40174</v>
      </c>
      <c r="J4133">
        <v>0</v>
      </c>
      <c r="K4133">
        <v>1</v>
      </c>
      <c r="L4133">
        <v>3000</v>
      </c>
      <c r="M4133" t="s">
        <v>49</v>
      </c>
      <c r="N4133">
        <v>1</v>
      </c>
    </row>
    <row r="4134" hidden="1" spans="1:14">
      <c r="A4134">
        <v>3803</v>
      </c>
      <c r="C4134" t="s">
        <v>607</v>
      </c>
      <c r="E4134">
        <v>37.5593</v>
      </c>
      <c r="F4134">
        <v>-6.64778</v>
      </c>
      <c r="G4134">
        <v>137262.92</v>
      </c>
      <c r="H4134" s="1">
        <v>40642</v>
      </c>
      <c r="I4134" s="1">
        <v>40682</v>
      </c>
      <c r="J4134" t="s">
        <v>15</v>
      </c>
      <c r="K4134">
        <v>8</v>
      </c>
      <c r="L4134">
        <v>9000</v>
      </c>
      <c r="M4134" t="s">
        <v>49</v>
      </c>
      <c r="N4134">
        <v>1.5</v>
      </c>
    </row>
    <row r="4135" hidden="1" spans="1:14">
      <c r="A4135">
        <v>3886</v>
      </c>
      <c r="C4135" t="s">
        <v>607</v>
      </c>
      <c r="E4135">
        <v>39.0377</v>
      </c>
      <c r="F4135">
        <v>-6.91704</v>
      </c>
      <c r="G4135">
        <v>5900.64</v>
      </c>
      <c r="H4135" s="1">
        <v>40897</v>
      </c>
      <c r="I4135" s="1">
        <v>40899</v>
      </c>
      <c r="J4135" t="s">
        <v>15</v>
      </c>
      <c r="K4135">
        <v>13</v>
      </c>
      <c r="L4135">
        <v>0</v>
      </c>
      <c r="M4135" t="s">
        <v>49</v>
      </c>
      <c r="N4135">
        <v>2</v>
      </c>
    </row>
    <row r="4136" hidden="1" spans="1:14">
      <c r="A4136">
        <v>3908</v>
      </c>
      <c r="C4136" t="s">
        <v>607</v>
      </c>
      <c r="E4136">
        <v>34.7926</v>
      </c>
      <c r="F4136">
        <v>-1.83097</v>
      </c>
      <c r="G4136">
        <v>6851.66</v>
      </c>
      <c r="H4136" s="1">
        <v>40969</v>
      </c>
      <c r="I4136" s="1">
        <v>40975</v>
      </c>
      <c r="J4136" t="s">
        <v>15</v>
      </c>
      <c r="K4136">
        <v>10</v>
      </c>
      <c r="L4136">
        <v>0</v>
      </c>
      <c r="M4136" t="s">
        <v>49</v>
      </c>
      <c r="N4136">
        <v>1</v>
      </c>
    </row>
    <row r="4137" hidden="1" spans="1:14">
      <c r="A4137">
        <v>3927</v>
      </c>
      <c r="C4137" t="s">
        <v>607</v>
      </c>
      <c r="E4137">
        <v>30.7909</v>
      </c>
      <c r="F4137">
        <v>-2.41184</v>
      </c>
      <c r="G4137">
        <v>45092.49</v>
      </c>
      <c r="H4137" s="1">
        <v>41042</v>
      </c>
      <c r="I4137" s="1">
        <v>41045</v>
      </c>
      <c r="J4137" t="s">
        <v>15</v>
      </c>
      <c r="K4137">
        <v>0</v>
      </c>
      <c r="L4137">
        <v>300</v>
      </c>
      <c r="M4137" t="s">
        <v>49</v>
      </c>
      <c r="N4137">
        <v>1</v>
      </c>
    </row>
    <row r="4138" hidden="1" spans="1:14">
      <c r="A4138">
        <v>4137</v>
      </c>
      <c r="C4138" t="s">
        <v>607</v>
      </c>
      <c r="E4138">
        <v>38.9689</v>
      </c>
      <c r="F4138">
        <v>-7.19301</v>
      </c>
      <c r="G4138">
        <v>18498.39</v>
      </c>
      <c r="H4138" s="1">
        <v>41747</v>
      </c>
      <c r="I4138" s="1">
        <v>41760</v>
      </c>
      <c r="J4138" t="s">
        <v>15</v>
      </c>
      <c r="K4138">
        <v>41</v>
      </c>
      <c r="L4138">
        <v>0</v>
      </c>
      <c r="M4138" t="s">
        <v>52</v>
      </c>
      <c r="N4138">
        <v>1.5</v>
      </c>
    </row>
    <row r="4139" hidden="1" spans="1:14">
      <c r="A4139">
        <v>4140</v>
      </c>
      <c r="C4139" t="s">
        <v>607</v>
      </c>
      <c r="E4139">
        <v>38.9442</v>
      </c>
      <c r="F4139">
        <v>-7.66435</v>
      </c>
      <c r="G4139">
        <v>22249.34</v>
      </c>
      <c r="H4139" s="1">
        <v>41769</v>
      </c>
      <c r="I4139" s="1">
        <v>41775</v>
      </c>
      <c r="J4139" t="s">
        <v>15</v>
      </c>
      <c r="K4139">
        <v>0</v>
      </c>
      <c r="L4139">
        <v>22000</v>
      </c>
      <c r="M4139" t="s">
        <v>49</v>
      </c>
      <c r="N4139">
        <v>1</v>
      </c>
    </row>
    <row r="4140" hidden="1" spans="1:14">
      <c r="A4140">
        <v>4234</v>
      </c>
      <c r="C4140" t="s">
        <v>607</v>
      </c>
      <c r="E4140">
        <v>33.748</v>
      </c>
      <c r="F4140">
        <v>-4.31417</v>
      </c>
      <c r="G4140">
        <v>40007.02</v>
      </c>
      <c r="H4140" s="1">
        <v>42066</v>
      </c>
      <c r="I4140" s="1">
        <v>42086</v>
      </c>
      <c r="J4140" t="s">
        <v>15</v>
      </c>
      <c r="K4140">
        <v>38</v>
      </c>
      <c r="L4140">
        <v>0</v>
      </c>
      <c r="M4140" t="s">
        <v>52</v>
      </c>
      <c r="N4140">
        <v>1.5</v>
      </c>
    </row>
    <row r="4141" hidden="1" spans="1:14">
      <c r="A4141">
        <v>4254</v>
      </c>
      <c r="C4141" t="s">
        <v>607</v>
      </c>
      <c r="E4141">
        <v>36.8905</v>
      </c>
      <c r="F4141">
        <v>-5.06017</v>
      </c>
      <c r="G4141">
        <v>194128.66</v>
      </c>
      <c r="H4141" s="1">
        <v>42131</v>
      </c>
      <c r="I4141" s="1">
        <v>42145</v>
      </c>
      <c r="J4141" t="s">
        <v>15</v>
      </c>
      <c r="K4141">
        <v>12</v>
      </c>
      <c r="L4141">
        <v>5000</v>
      </c>
      <c r="M4141" t="s">
        <v>49</v>
      </c>
      <c r="N4141">
        <v>1.5</v>
      </c>
    </row>
    <row r="4142" hidden="1" spans="1:14">
      <c r="A4142">
        <v>4324</v>
      </c>
      <c r="B4142" t="s">
        <v>1000</v>
      </c>
      <c r="C4142" t="s">
        <v>607</v>
      </c>
      <c r="E4142">
        <v>35.5048</v>
      </c>
      <c r="F4142">
        <v>-4.76168</v>
      </c>
      <c r="G4142">
        <v>182022.09</v>
      </c>
      <c r="H4142" s="1">
        <v>42383</v>
      </c>
      <c r="I4142" s="1">
        <v>42398</v>
      </c>
      <c r="J4142" t="s">
        <v>15</v>
      </c>
      <c r="K4142">
        <v>1</v>
      </c>
      <c r="L4142">
        <v>400</v>
      </c>
      <c r="M4142" t="s">
        <v>49</v>
      </c>
      <c r="N4142">
        <v>1</v>
      </c>
    </row>
    <row r="4143" hidden="1" spans="1:14">
      <c r="A4143">
        <v>4357</v>
      </c>
      <c r="C4143" t="s">
        <v>607</v>
      </c>
      <c r="E4143">
        <v>35.9997</v>
      </c>
      <c r="F4143">
        <v>-6.89427</v>
      </c>
      <c r="G4143">
        <v>84214.63</v>
      </c>
      <c r="H4143" s="1">
        <v>42482</v>
      </c>
      <c r="I4143" s="1">
        <v>42520</v>
      </c>
      <c r="J4143" t="s">
        <v>181</v>
      </c>
      <c r="K4143">
        <v>5</v>
      </c>
      <c r="L4143">
        <v>14000</v>
      </c>
      <c r="M4143" t="s">
        <v>49</v>
      </c>
      <c r="N4143">
        <v>1.5</v>
      </c>
    </row>
    <row r="4144" hidden="1" spans="1:14">
      <c r="A4144">
        <v>4598</v>
      </c>
      <c r="C4144" t="s">
        <v>607</v>
      </c>
      <c r="E4144">
        <v>39.2164</v>
      </c>
      <c r="F4144">
        <v>-7.0694</v>
      </c>
      <c r="G4144">
        <v>7629.55</v>
      </c>
      <c r="H4144" s="1">
        <v>43204</v>
      </c>
      <c r="I4144" s="1">
        <v>43207</v>
      </c>
      <c r="J4144" t="s">
        <v>56</v>
      </c>
      <c r="K4144">
        <v>9</v>
      </c>
      <c r="L4144">
        <v>0</v>
      </c>
      <c r="M4144" t="s">
        <v>49</v>
      </c>
      <c r="N4144">
        <v>1</v>
      </c>
    </row>
    <row r="4145" hidden="1" spans="1:14">
      <c r="A4145">
        <v>4814</v>
      </c>
      <c r="C4145" t="s">
        <v>607</v>
      </c>
      <c r="E4145">
        <v>36.8657</v>
      </c>
      <c r="F4145">
        <v>-5.45658</v>
      </c>
      <c r="G4145">
        <v>113250.01</v>
      </c>
      <c r="H4145" s="1">
        <v>43750</v>
      </c>
      <c r="I4145" s="1">
        <v>43805</v>
      </c>
      <c r="J4145" t="s">
        <v>56</v>
      </c>
      <c r="K4145">
        <v>29</v>
      </c>
      <c r="L4145">
        <v>0</v>
      </c>
      <c r="M4145" t="s">
        <v>49</v>
      </c>
      <c r="N4145">
        <v>1.5</v>
      </c>
    </row>
    <row r="4146" hidden="1" spans="1:14">
      <c r="A4146">
        <v>4843</v>
      </c>
      <c r="C4146" t="s">
        <v>607</v>
      </c>
      <c r="E4146">
        <v>36.8162</v>
      </c>
      <c r="F4146">
        <v>-7.55143</v>
      </c>
      <c r="G4146">
        <v>104721.22</v>
      </c>
      <c r="H4146" s="1">
        <v>43826</v>
      </c>
      <c r="I4146" s="1">
        <v>43830</v>
      </c>
      <c r="J4146" t="s">
        <v>58</v>
      </c>
      <c r="K4146">
        <v>0</v>
      </c>
      <c r="L4146">
        <v>300</v>
      </c>
      <c r="M4146" t="s">
        <v>49</v>
      </c>
      <c r="N4146">
        <v>1.5</v>
      </c>
    </row>
    <row r="4147" hidden="1" spans="1:14">
      <c r="A4147">
        <v>4875</v>
      </c>
      <c r="C4147" t="s">
        <v>607</v>
      </c>
      <c r="E4147">
        <v>35.2821</v>
      </c>
      <c r="F4147">
        <v>-7.77357</v>
      </c>
      <c r="G4147">
        <v>266334.32</v>
      </c>
      <c r="H4147" s="1">
        <v>43862</v>
      </c>
      <c r="I4147" s="1">
        <v>43878</v>
      </c>
      <c r="J4147" t="s">
        <v>56</v>
      </c>
      <c r="K4147">
        <v>40</v>
      </c>
      <c r="L4147">
        <v>15000</v>
      </c>
      <c r="M4147" t="s">
        <v>49</v>
      </c>
      <c r="N4147">
        <v>2</v>
      </c>
    </row>
    <row r="4148" hidden="1" spans="1:14">
      <c r="A4148">
        <v>4900</v>
      </c>
      <c r="C4148" t="s">
        <v>607</v>
      </c>
      <c r="E4148">
        <v>34.2182</v>
      </c>
      <c r="F4148">
        <v>-4.51236</v>
      </c>
      <c r="G4148">
        <v>184333.48</v>
      </c>
      <c r="H4148" s="1">
        <v>43945</v>
      </c>
      <c r="I4148" s="1">
        <v>43948</v>
      </c>
      <c r="J4148" t="s">
        <v>56</v>
      </c>
      <c r="K4148">
        <v>2</v>
      </c>
      <c r="L4148">
        <v>10000</v>
      </c>
      <c r="M4148" t="s">
        <v>49</v>
      </c>
      <c r="N4148">
        <v>1.5</v>
      </c>
    </row>
    <row r="4149" hidden="1" spans="1:14">
      <c r="A4149">
        <v>1675</v>
      </c>
      <c r="B4149">
        <v>0</v>
      </c>
      <c r="C4149" t="s">
        <v>1001</v>
      </c>
      <c r="D4149">
        <v>0</v>
      </c>
      <c r="E4149">
        <v>33.0966</v>
      </c>
      <c r="F4149">
        <v>-3.14683</v>
      </c>
      <c r="G4149">
        <v>18959.38</v>
      </c>
      <c r="H4149" s="1">
        <v>36861</v>
      </c>
      <c r="I4149" s="1">
        <v>36891</v>
      </c>
      <c r="J4149" t="s">
        <v>15</v>
      </c>
      <c r="K4149">
        <v>3600</v>
      </c>
      <c r="L4149">
        <v>0</v>
      </c>
      <c r="M4149" t="s">
        <v>16</v>
      </c>
      <c r="N4149">
        <v>1</v>
      </c>
    </row>
    <row r="4150" hidden="1" spans="1:14">
      <c r="A4150">
        <v>1690</v>
      </c>
      <c r="B4150">
        <v>0</v>
      </c>
      <c r="C4150" t="s">
        <v>1001</v>
      </c>
      <c r="D4150">
        <v>0</v>
      </c>
      <c r="E4150">
        <v>30.3551</v>
      </c>
      <c r="F4150">
        <v>-5.23556</v>
      </c>
      <c r="G4150">
        <v>25184.71</v>
      </c>
      <c r="H4150" s="1">
        <v>36911</v>
      </c>
      <c r="I4150" s="1">
        <v>36911</v>
      </c>
      <c r="J4150" t="s">
        <v>15</v>
      </c>
      <c r="K4150">
        <v>13</v>
      </c>
      <c r="L4150">
        <v>120</v>
      </c>
      <c r="M4150" t="s">
        <v>16</v>
      </c>
      <c r="N4150">
        <v>1</v>
      </c>
    </row>
    <row r="4151" hidden="1" spans="1:14">
      <c r="A4151">
        <v>1698</v>
      </c>
      <c r="B4151">
        <v>0</v>
      </c>
      <c r="C4151" t="s">
        <v>1001</v>
      </c>
      <c r="D4151">
        <v>0</v>
      </c>
      <c r="E4151">
        <v>39.2368</v>
      </c>
      <c r="F4151">
        <v>-6.80523</v>
      </c>
      <c r="G4151">
        <v>108.807</v>
      </c>
      <c r="H4151" s="1">
        <v>36949</v>
      </c>
      <c r="I4151" s="1">
        <v>36949</v>
      </c>
      <c r="J4151" t="s">
        <v>15</v>
      </c>
      <c r="K4151">
        <v>7</v>
      </c>
      <c r="L4151">
        <v>0</v>
      </c>
      <c r="M4151" t="s">
        <v>18</v>
      </c>
      <c r="N4151">
        <v>1</v>
      </c>
    </row>
    <row r="4152" hidden="1" spans="1:14">
      <c r="A4152">
        <v>3793</v>
      </c>
      <c r="C4152" t="s">
        <v>1002</v>
      </c>
      <c r="E4152">
        <v>147.327</v>
      </c>
      <c r="F4152">
        <v>-41.4217</v>
      </c>
      <c r="G4152">
        <v>4650.1</v>
      </c>
      <c r="H4152" s="1">
        <v>40624</v>
      </c>
      <c r="I4152" s="1">
        <v>40630</v>
      </c>
      <c r="J4152" t="s">
        <v>15</v>
      </c>
      <c r="K4152">
        <v>0</v>
      </c>
      <c r="L4152">
        <v>500</v>
      </c>
      <c r="M4152" t="s">
        <v>52</v>
      </c>
      <c r="N4152">
        <v>2</v>
      </c>
    </row>
    <row r="4153" hidden="1" spans="1:14">
      <c r="A4153">
        <v>1972</v>
      </c>
      <c r="B4153">
        <v>0</v>
      </c>
      <c r="C4153" t="s">
        <v>1003</v>
      </c>
      <c r="D4153">
        <v>0</v>
      </c>
      <c r="E4153">
        <v>-98.3593</v>
      </c>
      <c r="F4153">
        <v>29.5326</v>
      </c>
      <c r="G4153">
        <v>134175.48</v>
      </c>
      <c r="H4153" s="1">
        <v>37437</v>
      </c>
      <c r="I4153" s="1">
        <v>37460</v>
      </c>
      <c r="J4153" t="s">
        <v>15</v>
      </c>
      <c r="K4153">
        <v>9</v>
      </c>
      <c r="L4153">
        <v>4000</v>
      </c>
      <c r="M4153" t="s">
        <v>16</v>
      </c>
      <c r="N4153">
        <v>2</v>
      </c>
    </row>
    <row r="4154" hidden="1" spans="1:14">
      <c r="A4154">
        <v>60</v>
      </c>
      <c r="B4154">
        <v>0</v>
      </c>
      <c r="C4154" t="s">
        <v>230</v>
      </c>
      <c r="D4154">
        <v>0</v>
      </c>
      <c r="E4154">
        <v>99.6423</v>
      </c>
      <c r="F4154">
        <v>12.9425</v>
      </c>
      <c r="G4154">
        <v>13914.12</v>
      </c>
      <c r="H4154" s="1">
        <v>31332</v>
      </c>
      <c r="I4154" s="1">
        <v>31337</v>
      </c>
      <c r="J4154" t="s">
        <v>15</v>
      </c>
      <c r="K4154">
        <v>18</v>
      </c>
      <c r="L4154">
        <v>7640</v>
      </c>
      <c r="M4154" t="s">
        <v>49</v>
      </c>
      <c r="N4154">
        <v>1</v>
      </c>
    </row>
    <row r="4155" hidden="1" spans="1:14">
      <c r="A4155">
        <v>78</v>
      </c>
      <c r="B4155">
        <v>0</v>
      </c>
      <c r="C4155" t="s">
        <v>230</v>
      </c>
      <c r="D4155">
        <v>0</v>
      </c>
      <c r="E4155">
        <v>100.638</v>
      </c>
      <c r="F4155">
        <v>15.0651</v>
      </c>
      <c r="G4155">
        <v>83450.74</v>
      </c>
      <c r="H4155" s="1">
        <v>31541</v>
      </c>
      <c r="I4155" s="1">
        <v>31544</v>
      </c>
      <c r="J4155" t="s">
        <v>15</v>
      </c>
      <c r="K4155">
        <v>32</v>
      </c>
      <c r="L4155">
        <v>0</v>
      </c>
      <c r="M4155" t="s">
        <v>23</v>
      </c>
      <c r="N4155">
        <v>2</v>
      </c>
    </row>
    <row r="4156" hidden="1" spans="1:14">
      <c r="A4156">
        <v>269</v>
      </c>
      <c r="B4156">
        <v>0</v>
      </c>
      <c r="C4156" t="s">
        <v>230</v>
      </c>
      <c r="E4156">
        <v>99.8198</v>
      </c>
      <c r="F4156">
        <v>8.29737</v>
      </c>
      <c r="G4156">
        <v>96668.4</v>
      </c>
      <c r="H4156" s="1">
        <v>32467</v>
      </c>
      <c r="I4156" s="1">
        <v>32478</v>
      </c>
      <c r="J4156" t="s">
        <v>15</v>
      </c>
      <c r="K4156">
        <v>386</v>
      </c>
      <c r="L4156">
        <v>301000</v>
      </c>
      <c r="M4156" t="s">
        <v>64</v>
      </c>
      <c r="N4156">
        <v>2</v>
      </c>
    </row>
    <row r="4157" hidden="1" spans="1:14">
      <c r="A4157">
        <v>377</v>
      </c>
      <c r="B4157">
        <v>0</v>
      </c>
      <c r="C4157" t="s">
        <v>230</v>
      </c>
      <c r="D4157">
        <v>0</v>
      </c>
      <c r="E4157">
        <v>99.0254</v>
      </c>
      <c r="F4157">
        <v>9.92112</v>
      </c>
      <c r="G4157">
        <v>44228.38</v>
      </c>
      <c r="H4157" s="1">
        <v>32815</v>
      </c>
      <c r="I4157" s="1">
        <v>32822</v>
      </c>
      <c r="J4157" t="s">
        <v>15</v>
      </c>
      <c r="K4157">
        <v>304</v>
      </c>
      <c r="L4157">
        <v>150000</v>
      </c>
      <c r="M4157" t="s">
        <v>86</v>
      </c>
      <c r="N4157">
        <v>1</v>
      </c>
    </row>
    <row r="4158" hidden="1" spans="1:14">
      <c r="A4158">
        <v>468</v>
      </c>
      <c r="B4158">
        <v>0</v>
      </c>
      <c r="C4158" t="s">
        <v>230</v>
      </c>
      <c r="D4158">
        <v>0</v>
      </c>
      <c r="E4158">
        <v>103.076</v>
      </c>
      <c r="F4158">
        <v>16.2827</v>
      </c>
      <c r="G4158">
        <v>162369.52</v>
      </c>
      <c r="H4158" s="1">
        <v>33154</v>
      </c>
      <c r="I4158" s="1">
        <v>33172</v>
      </c>
      <c r="J4158" t="s">
        <v>15</v>
      </c>
      <c r="K4158">
        <v>11</v>
      </c>
      <c r="L4158">
        <v>0</v>
      </c>
      <c r="M4158" t="s">
        <v>86</v>
      </c>
      <c r="N4158">
        <v>1</v>
      </c>
    </row>
    <row r="4159" hidden="1" spans="1:14">
      <c r="A4159">
        <v>549</v>
      </c>
      <c r="B4159">
        <v>0</v>
      </c>
      <c r="C4159" t="s">
        <v>230</v>
      </c>
      <c r="D4159">
        <v>0</v>
      </c>
      <c r="E4159">
        <v>99.9424</v>
      </c>
      <c r="F4159">
        <v>6.77997</v>
      </c>
      <c r="G4159">
        <v>2395.44</v>
      </c>
      <c r="H4159" s="1">
        <v>33444</v>
      </c>
      <c r="I4159" s="1">
        <v>33446</v>
      </c>
      <c r="J4159" t="s">
        <v>15</v>
      </c>
      <c r="K4159">
        <v>1</v>
      </c>
      <c r="L4159">
        <v>0</v>
      </c>
      <c r="M4159" t="s">
        <v>64</v>
      </c>
      <c r="N4159">
        <v>2</v>
      </c>
    </row>
    <row r="4160" hidden="1" spans="1:14">
      <c r="A4160">
        <v>573</v>
      </c>
      <c r="B4160">
        <v>0</v>
      </c>
      <c r="C4160" t="s">
        <v>230</v>
      </c>
      <c r="D4160">
        <v>0</v>
      </c>
      <c r="E4160">
        <v>103.415</v>
      </c>
      <c r="F4160">
        <v>17.3103</v>
      </c>
      <c r="G4160">
        <v>48316.14</v>
      </c>
      <c r="H4160" s="1">
        <v>33468</v>
      </c>
      <c r="I4160" s="1">
        <v>33471</v>
      </c>
      <c r="J4160" t="s">
        <v>15</v>
      </c>
      <c r="K4160">
        <v>0</v>
      </c>
      <c r="L4160">
        <v>0</v>
      </c>
      <c r="M4160" t="s">
        <v>86</v>
      </c>
      <c r="N4160">
        <v>1</v>
      </c>
    </row>
    <row r="4161" hidden="1" spans="1:14">
      <c r="A4161">
        <v>580</v>
      </c>
      <c r="B4161">
        <v>0</v>
      </c>
      <c r="C4161" t="s">
        <v>230</v>
      </c>
      <c r="D4161">
        <v>0</v>
      </c>
      <c r="E4161">
        <v>99.9386</v>
      </c>
      <c r="F4161">
        <v>19.7299</v>
      </c>
      <c r="G4161">
        <v>12169.68</v>
      </c>
      <c r="H4161" s="1">
        <v>33486</v>
      </c>
      <c r="I4161" s="1">
        <v>33489</v>
      </c>
      <c r="J4161" t="s">
        <v>15</v>
      </c>
      <c r="K4161">
        <v>16</v>
      </c>
      <c r="L4161">
        <v>2000</v>
      </c>
      <c r="M4161" t="s">
        <v>16</v>
      </c>
      <c r="N4161">
        <v>1</v>
      </c>
    </row>
    <row r="4162" hidden="1" spans="1:14">
      <c r="A4162">
        <v>714</v>
      </c>
      <c r="B4162">
        <v>0</v>
      </c>
      <c r="C4162" t="s">
        <v>230</v>
      </c>
      <c r="D4162">
        <v>0</v>
      </c>
      <c r="E4162">
        <v>100.911</v>
      </c>
      <c r="F4162">
        <v>6.76274</v>
      </c>
      <c r="G4162">
        <v>25180.94</v>
      </c>
      <c r="H4162" s="1">
        <v>33937</v>
      </c>
      <c r="I4162" s="1">
        <v>33937</v>
      </c>
      <c r="J4162" t="s">
        <v>15</v>
      </c>
      <c r="K4162">
        <v>3</v>
      </c>
      <c r="L4162">
        <v>0</v>
      </c>
      <c r="M4162" t="s">
        <v>86</v>
      </c>
      <c r="N4162">
        <v>1</v>
      </c>
    </row>
    <row r="4163" hidden="1" spans="1:14">
      <c r="A4163">
        <v>802</v>
      </c>
      <c r="B4163">
        <v>0</v>
      </c>
      <c r="C4163" t="s">
        <v>230</v>
      </c>
      <c r="D4163">
        <v>0</v>
      </c>
      <c r="E4163">
        <v>99.8978</v>
      </c>
      <c r="F4163">
        <v>8.15766</v>
      </c>
      <c r="G4163">
        <v>56411.85</v>
      </c>
      <c r="H4163" s="1">
        <v>34300</v>
      </c>
      <c r="I4163" s="1">
        <v>34305</v>
      </c>
      <c r="J4163" t="s">
        <v>15</v>
      </c>
      <c r="K4163">
        <v>11</v>
      </c>
      <c r="L4163">
        <v>0</v>
      </c>
      <c r="M4163" t="s">
        <v>64</v>
      </c>
      <c r="N4163">
        <v>1</v>
      </c>
    </row>
    <row r="4164" hidden="1" spans="1:14">
      <c r="A4164">
        <v>811</v>
      </c>
      <c r="B4164">
        <v>0</v>
      </c>
      <c r="C4164" t="s">
        <v>230</v>
      </c>
      <c r="D4164">
        <v>0</v>
      </c>
      <c r="E4164">
        <v>100.419</v>
      </c>
      <c r="F4164">
        <v>7.28291</v>
      </c>
      <c r="G4164">
        <v>42416.31</v>
      </c>
      <c r="H4164" s="1">
        <v>34319</v>
      </c>
      <c r="I4164" s="1">
        <v>34332</v>
      </c>
      <c r="J4164" t="s">
        <v>15</v>
      </c>
      <c r="K4164">
        <v>41</v>
      </c>
      <c r="L4164">
        <v>2000</v>
      </c>
      <c r="M4164" t="s">
        <v>64</v>
      </c>
      <c r="N4164">
        <v>1</v>
      </c>
    </row>
    <row r="4165" hidden="1" spans="1:14">
      <c r="A4165">
        <v>871</v>
      </c>
      <c r="B4165">
        <v>0</v>
      </c>
      <c r="C4165" t="s">
        <v>230</v>
      </c>
      <c r="D4165">
        <v>0</v>
      </c>
      <c r="E4165">
        <v>98.8099</v>
      </c>
      <c r="F4165">
        <v>17.0729</v>
      </c>
      <c r="G4165">
        <v>124812.48</v>
      </c>
      <c r="H4165" s="1">
        <v>34543</v>
      </c>
      <c r="I4165" s="1">
        <v>34548</v>
      </c>
      <c r="J4165" t="s">
        <v>15</v>
      </c>
      <c r="K4165">
        <v>9</v>
      </c>
      <c r="L4165">
        <v>10000</v>
      </c>
      <c r="M4165" t="s">
        <v>86</v>
      </c>
      <c r="N4165">
        <v>1</v>
      </c>
    </row>
    <row r="4166" hidden="1" spans="1:14">
      <c r="A4166">
        <v>893</v>
      </c>
      <c r="B4166">
        <v>0</v>
      </c>
      <c r="C4166" t="s">
        <v>230</v>
      </c>
      <c r="D4166">
        <v>0</v>
      </c>
      <c r="E4166">
        <v>99.6055</v>
      </c>
      <c r="F4166">
        <v>17.05</v>
      </c>
      <c r="G4166">
        <v>159977.18</v>
      </c>
      <c r="H4166" s="1">
        <v>34576</v>
      </c>
      <c r="I4166" s="1">
        <v>34584</v>
      </c>
      <c r="J4166" t="s">
        <v>15</v>
      </c>
      <c r="K4166">
        <v>10</v>
      </c>
      <c r="L4166">
        <v>0</v>
      </c>
      <c r="M4166" t="s">
        <v>86</v>
      </c>
      <c r="N4166">
        <v>1</v>
      </c>
    </row>
    <row r="4167" hidden="1" spans="1:14">
      <c r="A4167">
        <v>897</v>
      </c>
      <c r="B4167">
        <v>0</v>
      </c>
      <c r="C4167" t="s">
        <v>230</v>
      </c>
      <c r="D4167">
        <v>0</v>
      </c>
      <c r="E4167">
        <v>104.452</v>
      </c>
      <c r="F4167">
        <v>16.1885</v>
      </c>
      <c r="G4167">
        <v>65261.15</v>
      </c>
      <c r="H4167" s="1">
        <v>34580</v>
      </c>
      <c r="I4167" s="1">
        <v>34686</v>
      </c>
      <c r="J4167" t="s">
        <v>15</v>
      </c>
      <c r="K4167">
        <v>407</v>
      </c>
      <c r="L4167">
        <v>2000000</v>
      </c>
      <c r="M4167" t="s">
        <v>16</v>
      </c>
      <c r="N4167">
        <v>2</v>
      </c>
    </row>
    <row r="4168" hidden="1" spans="1:14">
      <c r="A4168">
        <v>976</v>
      </c>
      <c r="B4168">
        <v>0</v>
      </c>
      <c r="C4168" t="s">
        <v>230</v>
      </c>
      <c r="D4168">
        <v>0</v>
      </c>
      <c r="E4168">
        <v>101.558</v>
      </c>
      <c r="F4168">
        <v>14.9639</v>
      </c>
      <c r="G4168">
        <v>444498.32</v>
      </c>
      <c r="H4168" s="1">
        <v>34912</v>
      </c>
      <c r="I4168" s="1">
        <v>35012</v>
      </c>
      <c r="J4168" t="s">
        <v>15</v>
      </c>
      <c r="K4168">
        <v>260</v>
      </c>
      <c r="L4168">
        <v>4220000</v>
      </c>
      <c r="M4168" t="s">
        <v>16</v>
      </c>
      <c r="N4168">
        <v>2</v>
      </c>
    </row>
    <row r="4169" hidden="1" spans="1:14">
      <c r="A4169">
        <v>1091</v>
      </c>
      <c r="B4169">
        <v>0</v>
      </c>
      <c r="C4169" t="s">
        <v>230</v>
      </c>
      <c r="D4169">
        <v>0</v>
      </c>
      <c r="E4169">
        <v>101.482</v>
      </c>
      <c r="F4169">
        <v>17.5507</v>
      </c>
      <c r="G4169">
        <v>314300.03</v>
      </c>
      <c r="H4169" s="1">
        <v>35264</v>
      </c>
      <c r="I4169" s="1">
        <v>35298</v>
      </c>
      <c r="J4169" t="s">
        <v>15</v>
      </c>
      <c r="K4169">
        <v>29</v>
      </c>
      <c r="L4169">
        <v>343386</v>
      </c>
      <c r="M4169" t="s">
        <v>86</v>
      </c>
      <c r="N4169">
        <v>1</v>
      </c>
    </row>
    <row r="4170" hidden="1" spans="1:14">
      <c r="A4170">
        <v>1120</v>
      </c>
      <c r="B4170">
        <v>0</v>
      </c>
      <c r="C4170" t="s">
        <v>230</v>
      </c>
      <c r="D4170">
        <v>0</v>
      </c>
      <c r="E4170">
        <v>100.456</v>
      </c>
      <c r="F4170">
        <v>14.0414</v>
      </c>
      <c r="G4170">
        <v>116474.44</v>
      </c>
      <c r="H4170" s="1">
        <v>35341</v>
      </c>
      <c r="I4170" s="1">
        <v>35366</v>
      </c>
      <c r="J4170" t="s">
        <v>15</v>
      </c>
      <c r="K4170">
        <v>60</v>
      </c>
      <c r="L4170">
        <v>0</v>
      </c>
      <c r="M4170" t="s">
        <v>23</v>
      </c>
      <c r="N4170">
        <v>1</v>
      </c>
    </row>
    <row r="4171" hidden="1" spans="1:14">
      <c r="A4171">
        <v>1178</v>
      </c>
      <c r="B4171">
        <v>0</v>
      </c>
      <c r="C4171" t="s">
        <v>230</v>
      </c>
      <c r="D4171">
        <v>0</v>
      </c>
      <c r="E4171">
        <v>98.9673</v>
      </c>
      <c r="F4171">
        <v>9.32083</v>
      </c>
      <c r="G4171">
        <v>31968.99</v>
      </c>
      <c r="H4171" s="1">
        <v>35661</v>
      </c>
      <c r="I4171" s="1">
        <v>35674</v>
      </c>
      <c r="J4171" t="s">
        <v>15</v>
      </c>
      <c r="K4171">
        <v>46</v>
      </c>
      <c r="L4171">
        <v>200000</v>
      </c>
      <c r="M4171" t="s">
        <v>23</v>
      </c>
      <c r="N4171">
        <v>1</v>
      </c>
    </row>
    <row r="4172" hidden="1" spans="1:14">
      <c r="A4172">
        <v>1183</v>
      </c>
      <c r="B4172">
        <v>0</v>
      </c>
      <c r="C4172" t="s">
        <v>230</v>
      </c>
      <c r="D4172">
        <v>0</v>
      </c>
      <c r="E4172">
        <v>103.765</v>
      </c>
      <c r="F4172">
        <v>17.038</v>
      </c>
      <c r="G4172">
        <v>43610.16</v>
      </c>
      <c r="H4172" s="1">
        <v>35661</v>
      </c>
      <c r="I4172" s="1">
        <v>35674</v>
      </c>
      <c r="J4172" t="s">
        <v>15</v>
      </c>
      <c r="K4172">
        <v>46</v>
      </c>
      <c r="L4172">
        <v>300000</v>
      </c>
      <c r="M4172" t="s">
        <v>23</v>
      </c>
      <c r="N4172">
        <v>1</v>
      </c>
    </row>
    <row r="4173" hidden="1" spans="1:14">
      <c r="A4173">
        <v>1492</v>
      </c>
      <c r="B4173">
        <v>0</v>
      </c>
      <c r="C4173" t="s">
        <v>230</v>
      </c>
      <c r="D4173">
        <v>0</v>
      </c>
      <c r="E4173">
        <v>102.126</v>
      </c>
      <c r="F4173">
        <v>15.5463</v>
      </c>
      <c r="G4173">
        <v>117753.3</v>
      </c>
      <c r="H4173" s="1">
        <v>36200</v>
      </c>
      <c r="I4173" s="1">
        <v>36204</v>
      </c>
      <c r="J4173" t="s">
        <v>15</v>
      </c>
      <c r="K4173">
        <v>3</v>
      </c>
      <c r="L4173">
        <v>20000</v>
      </c>
      <c r="M4173" t="s">
        <v>16</v>
      </c>
      <c r="N4173">
        <v>1</v>
      </c>
    </row>
    <row r="4174" hidden="1" spans="1:14">
      <c r="A4174">
        <v>1614</v>
      </c>
      <c r="B4174">
        <v>0</v>
      </c>
      <c r="C4174" t="s">
        <v>230</v>
      </c>
      <c r="D4174" t="s">
        <v>239</v>
      </c>
      <c r="E4174">
        <v>105.064</v>
      </c>
      <c r="F4174">
        <v>11.2426</v>
      </c>
      <c r="G4174">
        <v>119919.56</v>
      </c>
      <c r="H4174" s="1">
        <v>36718</v>
      </c>
      <c r="I4174" s="1">
        <v>36748</v>
      </c>
      <c r="J4174" t="s">
        <v>15</v>
      </c>
      <c r="K4174">
        <v>33</v>
      </c>
      <c r="L4174">
        <v>25000</v>
      </c>
      <c r="M4174" t="s">
        <v>23</v>
      </c>
      <c r="N4174">
        <v>1</v>
      </c>
    </row>
    <row r="4175" hidden="1" spans="1:14">
      <c r="A4175">
        <v>1776</v>
      </c>
      <c r="B4175">
        <v>0</v>
      </c>
      <c r="C4175" t="s">
        <v>230</v>
      </c>
      <c r="D4175" t="s">
        <v>239</v>
      </c>
      <c r="E4175">
        <v>105.953</v>
      </c>
      <c r="F4175">
        <v>18.3607</v>
      </c>
      <c r="G4175">
        <v>4162.8</v>
      </c>
      <c r="H4175" s="1">
        <v>37113</v>
      </c>
      <c r="I4175" s="1">
        <v>37128</v>
      </c>
      <c r="J4175" t="s">
        <v>15</v>
      </c>
      <c r="K4175">
        <v>173</v>
      </c>
      <c r="L4175">
        <v>10000</v>
      </c>
      <c r="M4175" t="s">
        <v>18</v>
      </c>
      <c r="N4175">
        <v>1</v>
      </c>
    </row>
    <row r="4176" hidden="1" spans="1:14">
      <c r="A4176">
        <v>2037</v>
      </c>
      <c r="B4176">
        <v>0</v>
      </c>
      <c r="C4176" t="s">
        <v>230</v>
      </c>
      <c r="D4176" t="s">
        <v>224</v>
      </c>
      <c r="E4176">
        <v>98.3612</v>
      </c>
      <c r="F4176">
        <v>17.1591</v>
      </c>
      <c r="G4176">
        <v>51699.41</v>
      </c>
      <c r="H4176" s="1">
        <v>37485</v>
      </c>
      <c r="I4176" s="1">
        <v>37519</v>
      </c>
      <c r="J4176" t="s">
        <v>15</v>
      </c>
      <c r="K4176">
        <v>2</v>
      </c>
      <c r="L4176">
        <v>150000</v>
      </c>
      <c r="M4176" t="s">
        <v>16</v>
      </c>
      <c r="N4176">
        <v>1</v>
      </c>
    </row>
    <row r="4177" hidden="1" spans="1:14">
      <c r="A4177">
        <v>2039</v>
      </c>
      <c r="B4177">
        <v>0</v>
      </c>
      <c r="C4177" t="s">
        <v>230</v>
      </c>
      <c r="D4177" t="s">
        <v>237</v>
      </c>
      <c r="E4177">
        <v>103.527</v>
      </c>
      <c r="F4177">
        <v>16.7724</v>
      </c>
      <c r="G4177">
        <v>371596.28</v>
      </c>
      <c r="H4177" s="1">
        <v>37486</v>
      </c>
      <c r="I4177" s="1">
        <v>37586</v>
      </c>
      <c r="J4177" t="s">
        <v>15</v>
      </c>
      <c r="K4177">
        <v>65</v>
      </c>
      <c r="L4177">
        <v>400000</v>
      </c>
      <c r="M4177" t="s">
        <v>23</v>
      </c>
      <c r="N4177">
        <v>2</v>
      </c>
    </row>
    <row r="4178" hidden="1" spans="1:14">
      <c r="A4178">
        <v>2061</v>
      </c>
      <c r="B4178">
        <v>0</v>
      </c>
      <c r="C4178" t="s">
        <v>230</v>
      </c>
      <c r="D4178">
        <v>0</v>
      </c>
      <c r="E4178">
        <v>100.951</v>
      </c>
      <c r="F4178">
        <v>14.9743</v>
      </c>
      <c r="G4178">
        <v>139683.92</v>
      </c>
      <c r="H4178" s="1">
        <v>37516</v>
      </c>
      <c r="I4178" s="1">
        <v>37592</v>
      </c>
      <c r="J4178" t="s">
        <v>15</v>
      </c>
      <c r="K4178">
        <v>1</v>
      </c>
      <c r="L4178">
        <v>3000</v>
      </c>
      <c r="M4178" t="s">
        <v>23</v>
      </c>
      <c r="N4178">
        <v>1</v>
      </c>
    </row>
    <row r="4179" hidden="1" spans="1:14">
      <c r="A4179">
        <v>2305</v>
      </c>
      <c r="B4179">
        <v>0</v>
      </c>
      <c r="C4179" t="s">
        <v>230</v>
      </c>
      <c r="D4179">
        <v>0</v>
      </c>
      <c r="E4179">
        <v>102.261</v>
      </c>
      <c r="F4179">
        <v>12.6285</v>
      </c>
      <c r="G4179">
        <v>6499.41</v>
      </c>
      <c r="H4179" s="1">
        <v>37838</v>
      </c>
      <c r="I4179" s="1">
        <v>37840</v>
      </c>
      <c r="J4179" t="s">
        <v>15</v>
      </c>
      <c r="K4179">
        <v>2</v>
      </c>
      <c r="L4179">
        <v>0</v>
      </c>
      <c r="M4179" t="s">
        <v>16</v>
      </c>
      <c r="N4179">
        <v>1</v>
      </c>
    </row>
    <row r="4180" hidden="1" spans="1:14">
      <c r="A4180">
        <v>2347</v>
      </c>
      <c r="B4180">
        <v>0</v>
      </c>
      <c r="C4180" t="s">
        <v>230</v>
      </c>
      <c r="D4180">
        <v>0</v>
      </c>
      <c r="E4180">
        <v>101.593</v>
      </c>
      <c r="F4180">
        <v>17.3728</v>
      </c>
      <c r="G4180">
        <v>314895.7</v>
      </c>
      <c r="H4180" s="1">
        <v>37876</v>
      </c>
      <c r="I4180" s="1">
        <v>37906</v>
      </c>
      <c r="J4180" t="s">
        <v>15</v>
      </c>
      <c r="K4180">
        <v>7</v>
      </c>
      <c r="L4180">
        <v>10000</v>
      </c>
      <c r="M4180" t="s">
        <v>23</v>
      </c>
      <c r="N4180">
        <v>1</v>
      </c>
    </row>
    <row r="4181" hidden="1" spans="1:14">
      <c r="A4181">
        <v>2370</v>
      </c>
      <c r="B4181">
        <v>0</v>
      </c>
      <c r="C4181" t="s">
        <v>230</v>
      </c>
      <c r="D4181">
        <v>0</v>
      </c>
      <c r="E4181">
        <v>99.79</v>
      </c>
      <c r="F4181">
        <v>12.5592</v>
      </c>
      <c r="G4181">
        <v>11463.21</v>
      </c>
      <c r="H4181" s="1">
        <v>37911</v>
      </c>
      <c r="I4181" s="1">
        <v>37929</v>
      </c>
      <c r="J4181" t="s">
        <v>15</v>
      </c>
      <c r="K4181">
        <v>3</v>
      </c>
      <c r="L4181">
        <v>3000</v>
      </c>
      <c r="M4181" t="s">
        <v>23</v>
      </c>
      <c r="N4181">
        <v>2</v>
      </c>
    </row>
    <row r="4182" hidden="1" spans="1:14">
      <c r="A4182">
        <v>2402</v>
      </c>
      <c r="B4182">
        <v>0</v>
      </c>
      <c r="C4182" t="s">
        <v>230</v>
      </c>
      <c r="D4182">
        <v>0</v>
      </c>
      <c r="E4182">
        <v>99.6651</v>
      </c>
      <c r="F4182">
        <v>8.6548</v>
      </c>
      <c r="G4182">
        <v>27233.62</v>
      </c>
      <c r="H4182" s="1">
        <v>37965</v>
      </c>
      <c r="I4182" s="1">
        <v>37970</v>
      </c>
      <c r="J4182" t="s">
        <v>15</v>
      </c>
      <c r="K4182">
        <v>6</v>
      </c>
      <c r="L4182">
        <v>0</v>
      </c>
      <c r="M4182" t="s">
        <v>16</v>
      </c>
      <c r="N4182">
        <v>1</v>
      </c>
    </row>
    <row r="4183" hidden="1" spans="1:14">
      <c r="A4183">
        <v>2484</v>
      </c>
      <c r="B4183">
        <v>0</v>
      </c>
      <c r="C4183" t="s">
        <v>230</v>
      </c>
      <c r="D4183">
        <v>0</v>
      </c>
      <c r="E4183">
        <v>98.6007</v>
      </c>
      <c r="F4183">
        <v>17.0271</v>
      </c>
      <c r="G4183">
        <v>531.389</v>
      </c>
      <c r="H4183" s="1">
        <v>38127</v>
      </c>
      <c r="I4183" s="1">
        <v>38130</v>
      </c>
      <c r="J4183" t="s">
        <v>15</v>
      </c>
      <c r="K4183">
        <v>8</v>
      </c>
      <c r="L4183">
        <v>0</v>
      </c>
      <c r="M4183" t="s">
        <v>18</v>
      </c>
      <c r="N4183">
        <v>1</v>
      </c>
    </row>
    <row r="4184" hidden="1" spans="1:14">
      <c r="A4184">
        <v>2505</v>
      </c>
      <c r="B4184">
        <v>0</v>
      </c>
      <c r="C4184" t="s">
        <v>230</v>
      </c>
      <c r="D4184">
        <v>0</v>
      </c>
      <c r="E4184">
        <v>100.168</v>
      </c>
      <c r="F4184">
        <v>17.1066</v>
      </c>
      <c r="G4184">
        <v>62813.66</v>
      </c>
      <c r="H4184" s="1">
        <v>38142</v>
      </c>
      <c r="I4184" s="1">
        <v>38159</v>
      </c>
      <c r="J4184" t="s">
        <v>15</v>
      </c>
      <c r="K4184">
        <v>1</v>
      </c>
      <c r="L4184">
        <v>4000</v>
      </c>
      <c r="M4184" t="s">
        <v>23</v>
      </c>
      <c r="N4184">
        <v>1</v>
      </c>
    </row>
    <row r="4185" hidden="1" spans="1:14">
      <c r="A4185">
        <v>2536</v>
      </c>
      <c r="B4185">
        <v>0</v>
      </c>
      <c r="C4185" t="s">
        <v>230</v>
      </c>
      <c r="D4185">
        <v>0</v>
      </c>
      <c r="E4185">
        <v>103.937</v>
      </c>
      <c r="F4185">
        <v>15.848</v>
      </c>
      <c r="G4185">
        <v>17191.92</v>
      </c>
      <c r="H4185" s="1">
        <v>38195</v>
      </c>
      <c r="I4185" s="1">
        <v>38201</v>
      </c>
      <c r="J4185" t="s">
        <v>15</v>
      </c>
      <c r="K4185">
        <v>3</v>
      </c>
      <c r="L4185">
        <v>0</v>
      </c>
      <c r="M4185" t="s">
        <v>16</v>
      </c>
      <c r="N4185">
        <v>1</v>
      </c>
    </row>
    <row r="4186" hidden="1" spans="1:14">
      <c r="A4186">
        <v>2543</v>
      </c>
      <c r="B4186">
        <v>0</v>
      </c>
      <c r="C4186" t="s">
        <v>230</v>
      </c>
      <c r="D4186">
        <v>0</v>
      </c>
      <c r="E4186">
        <v>103.073</v>
      </c>
      <c r="F4186">
        <v>15.3973</v>
      </c>
      <c r="G4186">
        <v>378045.12</v>
      </c>
      <c r="H4186" s="1">
        <v>38205</v>
      </c>
      <c r="I4186" s="1">
        <v>38263</v>
      </c>
      <c r="J4186" t="s">
        <v>15</v>
      </c>
      <c r="K4186">
        <v>11</v>
      </c>
      <c r="L4186">
        <v>60000</v>
      </c>
      <c r="M4186" t="s">
        <v>23</v>
      </c>
      <c r="N4186">
        <v>2</v>
      </c>
    </row>
    <row r="4187" hidden="1" spans="1:14">
      <c r="A4187">
        <v>2604</v>
      </c>
      <c r="B4187">
        <v>0</v>
      </c>
      <c r="C4187" t="s">
        <v>230</v>
      </c>
      <c r="D4187">
        <v>0</v>
      </c>
      <c r="E4187">
        <v>98.8838</v>
      </c>
      <c r="F4187">
        <v>8.18351</v>
      </c>
      <c r="G4187">
        <v>55444.5</v>
      </c>
      <c r="H4187" s="1">
        <v>38347</v>
      </c>
      <c r="I4187" s="1">
        <v>38350</v>
      </c>
      <c r="J4187" t="s">
        <v>15</v>
      </c>
      <c r="K4187">
        <v>160000</v>
      </c>
      <c r="L4187">
        <v>5000000</v>
      </c>
      <c r="M4187" t="s">
        <v>743</v>
      </c>
      <c r="N4187">
        <v>2</v>
      </c>
    </row>
    <row r="4188" hidden="1" spans="1:14">
      <c r="A4188">
        <v>2709</v>
      </c>
      <c r="B4188">
        <v>0</v>
      </c>
      <c r="C4188" t="s">
        <v>230</v>
      </c>
      <c r="D4188">
        <v>0</v>
      </c>
      <c r="E4188">
        <v>99.3691</v>
      </c>
      <c r="F4188">
        <v>19.0685</v>
      </c>
      <c r="G4188">
        <v>134287.4</v>
      </c>
      <c r="H4188" s="1">
        <v>38577</v>
      </c>
      <c r="I4188" s="1">
        <v>38621</v>
      </c>
      <c r="J4188" t="s">
        <v>15</v>
      </c>
      <c r="K4188">
        <v>11</v>
      </c>
      <c r="L4188">
        <v>119270</v>
      </c>
      <c r="M4188" t="s">
        <v>23</v>
      </c>
      <c r="N4188">
        <v>2</v>
      </c>
    </row>
    <row r="4189" hidden="1" spans="1:14">
      <c r="A4189">
        <v>2768</v>
      </c>
      <c r="B4189">
        <v>0</v>
      </c>
      <c r="C4189" t="s">
        <v>230</v>
      </c>
      <c r="D4189" t="s">
        <v>524</v>
      </c>
      <c r="E4189">
        <v>100.124</v>
      </c>
      <c r="F4189">
        <v>7.20467</v>
      </c>
      <c r="G4189">
        <v>70520.88</v>
      </c>
      <c r="H4189" s="1">
        <v>38679</v>
      </c>
      <c r="I4189" s="1">
        <v>38729</v>
      </c>
      <c r="J4189" t="s">
        <v>15</v>
      </c>
      <c r="K4189">
        <v>69</v>
      </c>
      <c r="L4189">
        <v>700000</v>
      </c>
      <c r="M4189" t="s">
        <v>23</v>
      </c>
      <c r="N4189">
        <v>2</v>
      </c>
    </row>
    <row r="4190" hidden="1" spans="1:14">
      <c r="A4190">
        <v>2867</v>
      </c>
      <c r="B4190" t="s">
        <v>1004</v>
      </c>
      <c r="C4190" t="s">
        <v>230</v>
      </c>
      <c r="D4190">
        <v>0</v>
      </c>
      <c r="E4190">
        <v>100.149</v>
      </c>
      <c r="F4190">
        <v>18.181</v>
      </c>
      <c r="G4190">
        <v>78277.05</v>
      </c>
      <c r="H4190" s="1">
        <v>38859</v>
      </c>
      <c r="I4190" s="1">
        <v>38879</v>
      </c>
      <c r="J4190" t="s">
        <v>15</v>
      </c>
      <c r="K4190">
        <v>79</v>
      </c>
      <c r="L4190">
        <v>2000</v>
      </c>
      <c r="M4190" t="s">
        <v>23</v>
      </c>
      <c r="N4190">
        <v>2</v>
      </c>
    </row>
    <row r="4191" hidden="1" spans="1:14">
      <c r="A4191">
        <v>2875</v>
      </c>
      <c r="B4191">
        <v>0</v>
      </c>
      <c r="C4191" t="s">
        <v>230</v>
      </c>
      <c r="D4191">
        <v>0</v>
      </c>
      <c r="E4191">
        <v>100.914</v>
      </c>
      <c r="F4191">
        <v>15.1272</v>
      </c>
      <c r="G4191">
        <v>5871.7</v>
      </c>
      <c r="H4191" s="1">
        <v>38868</v>
      </c>
      <c r="I4191" s="1">
        <v>38868</v>
      </c>
      <c r="J4191" t="s">
        <v>15</v>
      </c>
      <c r="K4191">
        <v>0</v>
      </c>
      <c r="L4191">
        <v>0</v>
      </c>
      <c r="M4191" t="s">
        <v>23</v>
      </c>
      <c r="N4191">
        <v>2</v>
      </c>
    </row>
    <row r="4192" hidden="1" spans="1:14">
      <c r="A4192">
        <v>2951</v>
      </c>
      <c r="B4192" t="s">
        <v>1005</v>
      </c>
      <c r="C4192" t="s">
        <v>230</v>
      </c>
      <c r="D4192">
        <v>0</v>
      </c>
      <c r="E4192">
        <v>100.017</v>
      </c>
      <c r="F4192">
        <v>18.7645</v>
      </c>
      <c r="G4192">
        <v>213081.28</v>
      </c>
      <c r="H4192" s="1">
        <v>38949</v>
      </c>
      <c r="I4192" s="1">
        <v>39064</v>
      </c>
      <c r="J4192" t="s">
        <v>15</v>
      </c>
      <c r="K4192">
        <v>195</v>
      </c>
      <c r="L4192">
        <v>2000000</v>
      </c>
      <c r="M4192" t="s">
        <v>23</v>
      </c>
      <c r="N4192">
        <v>2</v>
      </c>
    </row>
    <row r="4193" hidden="1" spans="1:14">
      <c r="A4193">
        <v>2974</v>
      </c>
      <c r="B4193" t="s">
        <v>1006</v>
      </c>
      <c r="C4193" t="s">
        <v>230</v>
      </c>
      <c r="D4193">
        <v>0</v>
      </c>
      <c r="E4193">
        <v>103.609</v>
      </c>
      <c r="F4193">
        <v>16.1377</v>
      </c>
      <c r="G4193">
        <v>174277.88</v>
      </c>
      <c r="H4193" s="1">
        <v>39000</v>
      </c>
      <c r="I4193" s="1">
        <v>39025</v>
      </c>
      <c r="J4193" t="s">
        <v>15</v>
      </c>
      <c r="K4193">
        <v>0</v>
      </c>
      <c r="L4193">
        <v>0</v>
      </c>
      <c r="M4193" t="s">
        <v>23</v>
      </c>
      <c r="N4193">
        <v>1</v>
      </c>
    </row>
    <row r="4194" hidden="1" spans="1:14">
      <c r="A4194">
        <v>3050</v>
      </c>
      <c r="B4194" t="s">
        <v>1007</v>
      </c>
      <c r="C4194" t="s">
        <v>230</v>
      </c>
      <c r="D4194">
        <v>0</v>
      </c>
      <c r="E4194">
        <v>99.6461</v>
      </c>
      <c r="F4194">
        <v>7.44412</v>
      </c>
      <c r="G4194">
        <v>290.124</v>
      </c>
      <c r="H4194" s="1">
        <v>39186</v>
      </c>
      <c r="I4194" s="1">
        <v>39187</v>
      </c>
      <c r="J4194" t="s">
        <v>15</v>
      </c>
      <c r="K4194">
        <v>38</v>
      </c>
      <c r="L4194">
        <v>0</v>
      </c>
      <c r="M4194" t="s">
        <v>16</v>
      </c>
      <c r="N4194">
        <v>1</v>
      </c>
    </row>
    <row r="4195" hidden="1" spans="1:14">
      <c r="A4195">
        <v>3066</v>
      </c>
      <c r="B4195">
        <v>0</v>
      </c>
      <c r="C4195" t="s">
        <v>230</v>
      </c>
      <c r="D4195">
        <v>0</v>
      </c>
      <c r="E4195">
        <v>99.6143</v>
      </c>
      <c r="F4195">
        <v>11.6526</v>
      </c>
      <c r="G4195">
        <v>5387.26</v>
      </c>
      <c r="H4195" s="1">
        <v>39203</v>
      </c>
      <c r="I4195" s="1">
        <v>39209</v>
      </c>
      <c r="J4195" t="s">
        <v>15</v>
      </c>
      <c r="K4195">
        <v>1</v>
      </c>
      <c r="L4195">
        <v>1000</v>
      </c>
      <c r="M4195" t="s">
        <v>16</v>
      </c>
      <c r="N4195">
        <v>1</v>
      </c>
    </row>
    <row r="4196" hidden="1" spans="1:14">
      <c r="A4196">
        <v>3073</v>
      </c>
      <c r="B4196">
        <v>0</v>
      </c>
      <c r="C4196" t="s">
        <v>230</v>
      </c>
      <c r="D4196">
        <v>0</v>
      </c>
      <c r="E4196">
        <v>100.339</v>
      </c>
      <c r="F4196">
        <v>17.2115</v>
      </c>
      <c r="G4196">
        <v>38377.29</v>
      </c>
      <c r="H4196" s="1">
        <v>39213</v>
      </c>
      <c r="I4196" s="1">
        <v>39223</v>
      </c>
      <c r="J4196" t="s">
        <v>15</v>
      </c>
      <c r="K4196">
        <v>0</v>
      </c>
      <c r="L4196">
        <v>1000</v>
      </c>
      <c r="M4196" t="s">
        <v>16</v>
      </c>
      <c r="N4196">
        <v>1</v>
      </c>
    </row>
    <row r="4197" hidden="1" spans="1:14">
      <c r="A4197">
        <v>3174</v>
      </c>
      <c r="B4197">
        <v>0</v>
      </c>
      <c r="C4197" t="s">
        <v>230</v>
      </c>
      <c r="D4197">
        <v>0</v>
      </c>
      <c r="E4197">
        <v>98.9818</v>
      </c>
      <c r="F4197">
        <v>8.93605</v>
      </c>
      <c r="G4197">
        <v>16270.5</v>
      </c>
      <c r="H4197" s="1">
        <v>39314</v>
      </c>
      <c r="I4197" s="1">
        <v>39318</v>
      </c>
      <c r="J4197" t="s">
        <v>15</v>
      </c>
      <c r="K4197">
        <v>0</v>
      </c>
      <c r="L4197">
        <v>3000</v>
      </c>
      <c r="M4197" t="s">
        <v>16</v>
      </c>
      <c r="N4197">
        <v>1.5</v>
      </c>
    </row>
    <row r="4198" hidden="1" spans="1:14">
      <c r="A4198">
        <v>3188</v>
      </c>
      <c r="B4198" t="s">
        <v>1008</v>
      </c>
      <c r="C4198" t="s">
        <v>230</v>
      </c>
      <c r="D4198">
        <v>0</v>
      </c>
      <c r="E4198">
        <v>102.48</v>
      </c>
      <c r="F4198">
        <v>16.8198</v>
      </c>
      <c r="G4198">
        <v>299972.46</v>
      </c>
      <c r="H4198" s="1">
        <v>39330</v>
      </c>
      <c r="I4198" s="1">
        <v>39396</v>
      </c>
      <c r="J4198" t="s">
        <v>15</v>
      </c>
      <c r="K4198">
        <v>10</v>
      </c>
      <c r="L4198">
        <v>17000</v>
      </c>
      <c r="M4198" t="s">
        <v>23</v>
      </c>
      <c r="N4198">
        <v>1</v>
      </c>
    </row>
    <row r="4199" hidden="1" spans="1:14">
      <c r="A4199">
        <v>3211</v>
      </c>
      <c r="B4199">
        <v>0</v>
      </c>
      <c r="C4199" t="s">
        <v>230</v>
      </c>
      <c r="D4199">
        <v>0</v>
      </c>
      <c r="E4199">
        <v>99.0017</v>
      </c>
      <c r="F4199">
        <v>9.72152</v>
      </c>
      <c r="G4199">
        <v>13138.96</v>
      </c>
      <c r="H4199" s="1">
        <v>39377</v>
      </c>
      <c r="I4199" s="1">
        <v>39385</v>
      </c>
      <c r="J4199" t="s">
        <v>15</v>
      </c>
      <c r="K4199">
        <v>2</v>
      </c>
      <c r="L4199">
        <v>0</v>
      </c>
      <c r="M4199" t="s">
        <v>16</v>
      </c>
      <c r="N4199">
        <v>1</v>
      </c>
    </row>
    <row r="4200" hidden="1" spans="1:14">
      <c r="A4200">
        <v>3360</v>
      </c>
      <c r="B4200">
        <v>0</v>
      </c>
      <c r="C4200" t="s">
        <v>230</v>
      </c>
      <c r="E4200">
        <v>103.661</v>
      </c>
      <c r="F4200">
        <v>17.3109</v>
      </c>
      <c r="G4200">
        <v>219466.09</v>
      </c>
      <c r="H4200" s="1">
        <v>39671</v>
      </c>
      <c r="I4200" s="1">
        <v>39680</v>
      </c>
      <c r="J4200" t="s">
        <v>15</v>
      </c>
      <c r="K4200">
        <v>130</v>
      </c>
      <c r="L4200">
        <v>4000</v>
      </c>
      <c r="M4200" t="s">
        <v>1009</v>
      </c>
      <c r="N4200">
        <v>2</v>
      </c>
    </row>
    <row r="4201" hidden="1" spans="1:14">
      <c r="A4201">
        <v>3384</v>
      </c>
      <c r="B4201" t="s">
        <v>1010</v>
      </c>
      <c r="C4201" t="s">
        <v>230</v>
      </c>
      <c r="D4201">
        <v>0</v>
      </c>
      <c r="E4201">
        <v>103.177</v>
      </c>
      <c r="F4201">
        <v>17.8213</v>
      </c>
      <c r="G4201">
        <v>165834.29</v>
      </c>
      <c r="H4201" s="1">
        <v>39702</v>
      </c>
      <c r="I4201" s="1">
        <v>39725</v>
      </c>
      <c r="J4201" t="s">
        <v>15</v>
      </c>
      <c r="K4201">
        <v>0</v>
      </c>
      <c r="L4201">
        <v>0</v>
      </c>
      <c r="M4201" t="s">
        <v>54</v>
      </c>
      <c r="N4201">
        <v>1.5</v>
      </c>
    </row>
    <row r="4202" hidden="1" spans="1:14">
      <c r="A4202">
        <v>3416</v>
      </c>
      <c r="B4202">
        <v>0</v>
      </c>
      <c r="C4202" t="s">
        <v>230</v>
      </c>
      <c r="D4202">
        <v>0</v>
      </c>
      <c r="E4202">
        <v>100.112</v>
      </c>
      <c r="F4202">
        <v>7.55485</v>
      </c>
      <c r="G4202">
        <v>15654.67</v>
      </c>
      <c r="H4202" s="1">
        <v>39783</v>
      </c>
      <c r="I4202" s="1">
        <v>39792</v>
      </c>
      <c r="J4202" t="s">
        <v>15</v>
      </c>
      <c r="K4202">
        <v>18</v>
      </c>
      <c r="L4202">
        <v>50000</v>
      </c>
      <c r="M4202" t="s">
        <v>49</v>
      </c>
      <c r="N4202">
        <v>2</v>
      </c>
    </row>
    <row r="4203" hidden="1" spans="1:14">
      <c r="A4203">
        <v>3565</v>
      </c>
      <c r="B4203" t="s">
        <v>497</v>
      </c>
      <c r="C4203" t="s">
        <v>230</v>
      </c>
      <c r="E4203">
        <v>99.9172</v>
      </c>
      <c r="F4203">
        <v>7.47238</v>
      </c>
      <c r="G4203">
        <v>63930.73</v>
      </c>
      <c r="H4203" s="1">
        <v>40124</v>
      </c>
      <c r="I4203" s="1">
        <v>40125</v>
      </c>
      <c r="J4203">
        <v>0</v>
      </c>
      <c r="K4203">
        <v>15</v>
      </c>
      <c r="L4203">
        <v>6800</v>
      </c>
      <c r="M4203" t="s">
        <v>54</v>
      </c>
      <c r="N4203">
        <v>1</v>
      </c>
    </row>
    <row r="4204" hidden="1" spans="1:14">
      <c r="A4204">
        <v>3723</v>
      </c>
      <c r="B4204">
        <v>0</v>
      </c>
      <c r="C4204" t="s">
        <v>230</v>
      </c>
      <c r="D4204">
        <v>0</v>
      </c>
      <c r="E4204">
        <v>100.35</v>
      </c>
      <c r="F4204">
        <v>14.445</v>
      </c>
      <c r="G4204">
        <v>14080.23</v>
      </c>
      <c r="H4204" s="1">
        <v>40441</v>
      </c>
      <c r="I4204" s="1">
        <v>40451</v>
      </c>
      <c r="J4204" t="s">
        <v>15</v>
      </c>
      <c r="K4204">
        <v>2</v>
      </c>
      <c r="L4204">
        <v>0</v>
      </c>
      <c r="M4204" t="s">
        <v>52</v>
      </c>
      <c r="N4204">
        <v>1.5</v>
      </c>
    </row>
    <row r="4205" hidden="1" spans="1:14">
      <c r="A4205">
        <v>3737</v>
      </c>
      <c r="B4205">
        <v>0</v>
      </c>
      <c r="C4205" t="s">
        <v>230</v>
      </c>
      <c r="D4205">
        <v>0</v>
      </c>
      <c r="E4205">
        <v>102.195</v>
      </c>
      <c r="F4205">
        <v>15.03</v>
      </c>
      <c r="G4205">
        <v>3873.76</v>
      </c>
      <c r="H4205" s="1">
        <v>40461</v>
      </c>
      <c r="I4205" s="1">
        <v>40497</v>
      </c>
      <c r="J4205" t="s">
        <v>15</v>
      </c>
      <c r="K4205">
        <v>206</v>
      </c>
      <c r="L4205">
        <v>0</v>
      </c>
      <c r="M4205" t="s">
        <v>49</v>
      </c>
      <c r="N4205">
        <v>2</v>
      </c>
    </row>
    <row r="4206" hidden="1" spans="1:14">
      <c r="A4206">
        <v>3795</v>
      </c>
      <c r="C4206" t="s">
        <v>230</v>
      </c>
      <c r="E4206">
        <v>99.277</v>
      </c>
      <c r="F4206">
        <v>8.66649</v>
      </c>
      <c r="G4206">
        <v>33575.43</v>
      </c>
      <c r="H4206" s="1">
        <v>40625</v>
      </c>
      <c r="I4206" s="1">
        <v>40643</v>
      </c>
      <c r="J4206" t="s">
        <v>15</v>
      </c>
      <c r="K4206">
        <v>59</v>
      </c>
      <c r="L4206">
        <v>84000</v>
      </c>
      <c r="M4206" t="s">
        <v>49</v>
      </c>
      <c r="N4206">
        <v>2</v>
      </c>
    </row>
    <row r="4207" hidden="1" spans="1:14">
      <c r="A4207">
        <v>3850</v>
      </c>
      <c r="C4207" t="s">
        <v>230</v>
      </c>
      <c r="E4207">
        <v>102.822</v>
      </c>
      <c r="F4207">
        <v>17.0382</v>
      </c>
      <c r="G4207">
        <v>96785.77</v>
      </c>
      <c r="H4207" s="1">
        <v>40760</v>
      </c>
      <c r="I4207" s="1">
        <v>40917</v>
      </c>
      <c r="J4207" t="s">
        <v>15</v>
      </c>
      <c r="K4207">
        <v>790</v>
      </c>
      <c r="L4207">
        <v>10000</v>
      </c>
      <c r="M4207" t="s">
        <v>1011</v>
      </c>
      <c r="N4207">
        <v>2</v>
      </c>
    </row>
    <row r="4208" hidden="1" spans="1:14">
      <c r="A4208">
        <v>3889</v>
      </c>
      <c r="C4208" t="s">
        <v>230</v>
      </c>
      <c r="E4208">
        <v>99.4238</v>
      </c>
      <c r="F4208">
        <v>8.77228</v>
      </c>
      <c r="G4208">
        <v>11666.14</v>
      </c>
      <c r="H4208" s="1">
        <v>40909</v>
      </c>
      <c r="I4208" s="1">
        <v>40917</v>
      </c>
      <c r="J4208" t="s">
        <v>15</v>
      </c>
      <c r="K4208">
        <v>0</v>
      </c>
      <c r="L4208">
        <v>1000</v>
      </c>
      <c r="M4208" t="s">
        <v>52</v>
      </c>
      <c r="N4208">
        <v>1</v>
      </c>
    </row>
    <row r="4209" hidden="1" spans="1:14">
      <c r="A4209">
        <v>3985</v>
      </c>
      <c r="C4209" t="s">
        <v>230</v>
      </c>
      <c r="E4209">
        <v>99.6405</v>
      </c>
      <c r="F4209">
        <v>17.0909</v>
      </c>
      <c r="G4209">
        <v>44011.3</v>
      </c>
      <c r="H4209" s="1">
        <v>41164</v>
      </c>
      <c r="I4209" s="1">
        <v>41178</v>
      </c>
      <c r="J4209" t="s">
        <v>15</v>
      </c>
      <c r="K4209">
        <v>0</v>
      </c>
      <c r="L4209">
        <v>3000</v>
      </c>
      <c r="M4209" t="s">
        <v>54</v>
      </c>
      <c r="N4209">
        <v>1</v>
      </c>
    </row>
    <row r="4210" hidden="1" spans="1:14">
      <c r="A4210">
        <v>4035</v>
      </c>
      <c r="C4210" t="s">
        <v>230</v>
      </c>
      <c r="E4210">
        <v>101.308</v>
      </c>
      <c r="F4210">
        <v>6.46589</v>
      </c>
      <c r="G4210">
        <v>9339.75</v>
      </c>
      <c r="H4210" s="1">
        <v>41330</v>
      </c>
      <c r="I4210" s="1">
        <v>41337</v>
      </c>
      <c r="J4210" t="s">
        <v>15</v>
      </c>
      <c r="K4210">
        <v>0</v>
      </c>
      <c r="L4210">
        <v>130</v>
      </c>
      <c r="M4210" t="s">
        <v>49</v>
      </c>
      <c r="N4210">
        <v>1</v>
      </c>
    </row>
    <row r="4211" hidden="1" spans="1:14">
      <c r="A4211">
        <v>4092</v>
      </c>
      <c r="C4211" t="s">
        <v>230</v>
      </c>
      <c r="E4211">
        <v>101.694</v>
      </c>
      <c r="F4211">
        <v>13.0819</v>
      </c>
      <c r="G4211">
        <v>312091</v>
      </c>
      <c r="H4211" s="1">
        <v>41547</v>
      </c>
      <c r="I4211" s="1">
        <v>41561</v>
      </c>
      <c r="J4211" t="s">
        <v>15</v>
      </c>
      <c r="K4211">
        <v>42</v>
      </c>
      <c r="L4211">
        <v>982799</v>
      </c>
      <c r="M4211" t="s">
        <v>54</v>
      </c>
      <c r="N4211">
        <v>1.5</v>
      </c>
    </row>
    <row r="4212" hidden="1" spans="1:14">
      <c r="A4212">
        <v>4110</v>
      </c>
      <c r="B4212" t="s">
        <v>1012</v>
      </c>
      <c r="C4212" t="s">
        <v>230</v>
      </c>
      <c r="E4212">
        <v>100.395</v>
      </c>
      <c r="F4212">
        <v>7.2182</v>
      </c>
      <c r="G4212">
        <v>38676.71</v>
      </c>
      <c r="H4212" s="1">
        <v>41598</v>
      </c>
      <c r="I4212" s="1">
        <v>41616</v>
      </c>
      <c r="J4212" t="s">
        <v>15</v>
      </c>
      <c r="K4212">
        <v>23</v>
      </c>
      <c r="L4212">
        <v>15254</v>
      </c>
      <c r="M4212" t="s">
        <v>54</v>
      </c>
      <c r="N4212">
        <v>1.5</v>
      </c>
    </row>
    <row r="4213" hidden="1" spans="1:14">
      <c r="A4213">
        <v>4156</v>
      </c>
      <c r="C4213" t="s">
        <v>230</v>
      </c>
      <c r="E4213">
        <v>99.739</v>
      </c>
      <c r="F4213">
        <v>19.8258</v>
      </c>
      <c r="G4213">
        <v>15921.63</v>
      </c>
      <c r="H4213" s="1">
        <v>41831</v>
      </c>
      <c r="I4213" s="1">
        <v>41834</v>
      </c>
      <c r="J4213" t="s">
        <v>15</v>
      </c>
      <c r="K4213">
        <v>0</v>
      </c>
      <c r="L4213">
        <v>500</v>
      </c>
      <c r="M4213" t="s">
        <v>49</v>
      </c>
      <c r="N4213">
        <v>1</v>
      </c>
    </row>
    <row r="4214" hidden="1" spans="1:14">
      <c r="A4214">
        <v>4184</v>
      </c>
      <c r="C4214" t="s">
        <v>230</v>
      </c>
      <c r="E4214">
        <v>100.457</v>
      </c>
      <c r="F4214">
        <v>16.4039</v>
      </c>
      <c r="G4214">
        <v>34449.25</v>
      </c>
      <c r="H4214" s="1">
        <v>41883</v>
      </c>
      <c r="I4214" s="1">
        <v>41890</v>
      </c>
      <c r="J4214" t="s">
        <v>15</v>
      </c>
      <c r="K4214">
        <v>0</v>
      </c>
      <c r="L4214">
        <v>400</v>
      </c>
      <c r="M4214" t="s">
        <v>54</v>
      </c>
      <c r="N4214">
        <v>1</v>
      </c>
    </row>
    <row r="4215" hidden="1" spans="1:14">
      <c r="A4215">
        <v>4206</v>
      </c>
      <c r="C4215" t="s">
        <v>230</v>
      </c>
      <c r="E4215">
        <v>99.5163</v>
      </c>
      <c r="F4215">
        <v>8.02409</v>
      </c>
      <c r="G4215">
        <v>31653.08</v>
      </c>
      <c r="H4215" s="1">
        <v>41950</v>
      </c>
      <c r="I4215" s="1">
        <v>41959</v>
      </c>
      <c r="J4215" t="s">
        <v>15</v>
      </c>
      <c r="K4215">
        <v>0</v>
      </c>
      <c r="L4215">
        <v>1000</v>
      </c>
      <c r="M4215" t="s">
        <v>54</v>
      </c>
      <c r="N4215">
        <v>1</v>
      </c>
    </row>
    <row r="4216" hidden="1" spans="1:14">
      <c r="A4216">
        <v>4390</v>
      </c>
      <c r="C4216" t="s">
        <v>230</v>
      </c>
      <c r="E4216">
        <v>96.8687</v>
      </c>
      <c r="F4216">
        <v>26.3474</v>
      </c>
      <c r="G4216">
        <v>62208.18</v>
      </c>
      <c r="H4216" s="1">
        <v>42597</v>
      </c>
      <c r="I4216" s="1">
        <v>42608</v>
      </c>
      <c r="J4216" t="s">
        <v>15</v>
      </c>
      <c r="K4216">
        <v>0</v>
      </c>
      <c r="L4216">
        <v>0</v>
      </c>
      <c r="M4216" t="s">
        <v>54</v>
      </c>
      <c r="N4216">
        <v>1</v>
      </c>
    </row>
    <row r="4217" hidden="1" spans="1:14">
      <c r="A4217">
        <v>4403</v>
      </c>
      <c r="C4217" t="s">
        <v>230</v>
      </c>
      <c r="E4217">
        <v>100.395</v>
      </c>
      <c r="F4217">
        <v>14.8667</v>
      </c>
      <c r="G4217">
        <v>17187.43</v>
      </c>
      <c r="H4217" s="1">
        <v>42649</v>
      </c>
      <c r="I4217" s="1">
        <v>42659</v>
      </c>
      <c r="J4217" t="s">
        <v>15</v>
      </c>
      <c r="K4217">
        <v>3</v>
      </c>
      <c r="L4217">
        <v>100000</v>
      </c>
      <c r="M4217" t="s">
        <v>54</v>
      </c>
      <c r="N4217">
        <v>1.5</v>
      </c>
    </row>
    <row r="4218" hidden="1" spans="1:14">
      <c r="A4218">
        <v>4423</v>
      </c>
      <c r="C4218" t="s">
        <v>230</v>
      </c>
      <c r="E4218">
        <v>100.753</v>
      </c>
      <c r="F4218">
        <v>14.4448</v>
      </c>
      <c r="G4218">
        <v>67395.39</v>
      </c>
      <c r="H4218" s="1">
        <v>42705</v>
      </c>
      <c r="I4218" s="1">
        <v>42711</v>
      </c>
      <c r="J4218" t="s">
        <v>15</v>
      </c>
      <c r="K4218">
        <v>11</v>
      </c>
      <c r="L4218">
        <v>0</v>
      </c>
      <c r="M4218" t="s">
        <v>1013</v>
      </c>
      <c r="N4218">
        <v>1.5</v>
      </c>
    </row>
    <row r="4219" hidden="1" spans="1:14">
      <c r="A4219">
        <v>4432</v>
      </c>
      <c r="B4219" t="s">
        <v>1014</v>
      </c>
      <c r="C4219" t="s">
        <v>230</v>
      </c>
      <c r="E4219">
        <v>100.061</v>
      </c>
      <c r="F4219">
        <v>7.30494</v>
      </c>
      <c r="G4219">
        <v>50020.11</v>
      </c>
      <c r="H4219" s="1">
        <v>42735</v>
      </c>
      <c r="I4219" s="1">
        <v>42773</v>
      </c>
      <c r="J4219" t="s">
        <v>15</v>
      </c>
      <c r="K4219">
        <v>96</v>
      </c>
      <c r="L4219">
        <v>1000000</v>
      </c>
      <c r="M4219" t="s">
        <v>49</v>
      </c>
      <c r="N4219">
        <v>1.5</v>
      </c>
    </row>
    <row r="4220" hidden="1" spans="1:14">
      <c r="A4220">
        <v>4496</v>
      </c>
      <c r="B4220" t="s">
        <v>1015</v>
      </c>
      <c r="C4220" t="s">
        <v>230</v>
      </c>
      <c r="E4220">
        <v>98.9472</v>
      </c>
      <c r="F4220">
        <v>22.6775</v>
      </c>
      <c r="G4220">
        <v>20159.17</v>
      </c>
      <c r="H4220" s="1">
        <v>42948</v>
      </c>
      <c r="I4220" s="1">
        <v>42957</v>
      </c>
      <c r="J4220" t="s">
        <v>15</v>
      </c>
      <c r="K4220">
        <v>15</v>
      </c>
      <c r="L4220">
        <v>0</v>
      </c>
      <c r="M4220" t="s">
        <v>54</v>
      </c>
      <c r="N4220">
        <v>1</v>
      </c>
    </row>
    <row r="4221" hidden="1" spans="1:14">
      <c r="A4221">
        <v>4529</v>
      </c>
      <c r="C4221" t="s">
        <v>230</v>
      </c>
      <c r="E4221">
        <v>100.679</v>
      </c>
      <c r="F4221">
        <v>14.5935</v>
      </c>
      <c r="G4221">
        <v>101670.34</v>
      </c>
      <c r="H4221" s="1">
        <v>43023</v>
      </c>
      <c r="I4221" s="1">
        <v>43047</v>
      </c>
      <c r="J4221" t="s">
        <v>15</v>
      </c>
      <c r="K4221">
        <v>10</v>
      </c>
      <c r="L4221">
        <v>1000</v>
      </c>
      <c r="M4221" t="s">
        <v>49</v>
      </c>
      <c r="N4221">
        <v>1.5</v>
      </c>
    </row>
    <row r="4222" hidden="1" spans="1:14">
      <c r="A4222">
        <v>4546</v>
      </c>
      <c r="C4222" t="s">
        <v>230</v>
      </c>
      <c r="E4222">
        <v>100.184</v>
      </c>
      <c r="F4222">
        <v>8.34648</v>
      </c>
      <c r="G4222">
        <v>77766.75</v>
      </c>
      <c r="H4222" s="1">
        <v>43064</v>
      </c>
      <c r="I4222" s="1">
        <v>43086</v>
      </c>
      <c r="J4222" t="s">
        <v>15</v>
      </c>
      <c r="K4222">
        <v>5</v>
      </c>
      <c r="L4222">
        <v>0</v>
      </c>
      <c r="M4222" t="s">
        <v>49</v>
      </c>
      <c r="N4222">
        <v>1</v>
      </c>
    </row>
    <row r="4223" hidden="1" spans="1:14">
      <c r="A4223">
        <v>4712</v>
      </c>
      <c r="C4223" t="s">
        <v>230</v>
      </c>
      <c r="D4223" t="s">
        <v>524</v>
      </c>
      <c r="E4223">
        <v>100.609</v>
      </c>
      <c r="F4223">
        <v>7.00712</v>
      </c>
      <c r="G4223">
        <v>78110.94</v>
      </c>
      <c r="H4223" s="1">
        <v>43469</v>
      </c>
      <c r="I4223" s="1">
        <v>43472</v>
      </c>
      <c r="J4223" t="s">
        <v>56</v>
      </c>
      <c r="K4223">
        <v>3</v>
      </c>
      <c r="L4223">
        <v>45000</v>
      </c>
      <c r="M4223" t="s">
        <v>1016</v>
      </c>
      <c r="N4223">
        <v>1.5</v>
      </c>
    </row>
    <row r="4224" hidden="1" spans="1:14">
      <c r="A4224">
        <v>4996</v>
      </c>
      <c r="C4224" t="s">
        <v>230</v>
      </c>
      <c r="E4224">
        <v>99.0434</v>
      </c>
      <c r="F4224">
        <v>10.4787</v>
      </c>
      <c r="G4224">
        <v>73210.65</v>
      </c>
      <c r="H4224" s="1">
        <v>44150</v>
      </c>
      <c r="I4224" s="1">
        <v>44180</v>
      </c>
      <c r="J4224" t="s">
        <v>56</v>
      </c>
      <c r="K4224">
        <v>24</v>
      </c>
      <c r="L4224">
        <v>0</v>
      </c>
      <c r="M4224" t="s">
        <v>49</v>
      </c>
      <c r="N4224">
        <v>1.5</v>
      </c>
    </row>
    <row r="4225" hidden="1" spans="1:14">
      <c r="A4225">
        <v>5005</v>
      </c>
      <c r="C4225" t="s">
        <v>230</v>
      </c>
      <c r="E4225">
        <v>99.5905</v>
      </c>
      <c r="F4225">
        <v>9.10881</v>
      </c>
      <c r="G4225">
        <v>66980.67</v>
      </c>
      <c r="H4225" s="1">
        <v>44182</v>
      </c>
      <c r="I4225" s="1">
        <v>44187</v>
      </c>
      <c r="J4225" t="s">
        <v>56</v>
      </c>
      <c r="K4225">
        <v>1</v>
      </c>
      <c r="L4225">
        <v>400</v>
      </c>
      <c r="M4225" t="s">
        <v>54</v>
      </c>
      <c r="N4225">
        <v>1.5</v>
      </c>
    </row>
    <row r="4226" hidden="1" spans="1:14">
      <c r="A4226">
        <v>5127</v>
      </c>
      <c r="C4226" t="s">
        <v>230</v>
      </c>
      <c r="E4226">
        <v>101.323</v>
      </c>
      <c r="F4226">
        <v>17.3204</v>
      </c>
      <c r="G4226">
        <v>218554.79</v>
      </c>
      <c r="H4226" s="1">
        <v>44462</v>
      </c>
      <c r="I4226" s="1">
        <v>44467</v>
      </c>
      <c r="J4226" t="s">
        <v>56</v>
      </c>
      <c r="K4226">
        <v>0</v>
      </c>
      <c r="L4226">
        <v>40000</v>
      </c>
      <c r="M4226" t="s">
        <v>1017</v>
      </c>
      <c r="N4226">
        <v>1.5</v>
      </c>
    </row>
    <row r="4227" hidden="1" spans="1:14">
      <c r="A4227">
        <v>251</v>
      </c>
      <c r="B4227">
        <v>0</v>
      </c>
      <c r="C4227" t="s">
        <v>1018</v>
      </c>
      <c r="D4227">
        <v>0</v>
      </c>
      <c r="E4227">
        <v>101.507</v>
      </c>
      <c r="F4227">
        <v>16.0791</v>
      </c>
      <c r="G4227">
        <v>243171.61</v>
      </c>
      <c r="H4227" s="1">
        <v>32404</v>
      </c>
      <c r="I4227" s="1">
        <v>32421</v>
      </c>
      <c r="J4227" t="s">
        <v>15</v>
      </c>
      <c r="K4227">
        <v>19</v>
      </c>
      <c r="L4227">
        <v>16000</v>
      </c>
      <c r="M4227" t="s">
        <v>64</v>
      </c>
      <c r="N4227">
        <v>1</v>
      </c>
    </row>
    <row r="4228" hidden="1" spans="1:14">
      <c r="A4228">
        <v>1574</v>
      </c>
      <c r="B4228">
        <v>0</v>
      </c>
      <c r="C4228" t="s">
        <v>1018</v>
      </c>
      <c r="D4228">
        <v>0</v>
      </c>
      <c r="E4228">
        <v>104.168</v>
      </c>
      <c r="F4228">
        <v>14.8223</v>
      </c>
      <c r="G4228">
        <v>157176.83</v>
      </c>
      <c r="H4228" s="1">
        <v>36498</v>
      </c>
      <c r="I4228" s="1">
        <v>36501</v>
      </c>
      <c r="J4228" t="s">
        <v>15</v>
      </c>
      <c r="K4228">
        <v>0</v>
      </c>
      <c r="L4228">
        <v>0</v>
      </c>
      <c r="M4228" t="s">
        <v>23</v>
      </c>
      <c r="N4228">
        <v>1</v>
      </c>
    </row>
    <row r="4229" hidden="1" spans="1:14">
      <c r="A4229">
        <v>1792</v>
      </c>
      <c r="B4229">
        <v>0</v>
      </c>
      <c r="C4229" t="s">
        <v>1018</v>
      </c>
      <c r="D4229">
        <v>0</v>
      </c>
      <c r="E4229">
        <v>103.442</v>
      </c>
      <c r="F4229">
        <v>16.6646</v>
      </c>
      <c r="G4229">
        <v>14946.03</v>
      </c>
      <c r="H4229" s="1">
        <v>37144</v>
      </c>
      <c r="I4229" s="1">
        <v>37146</v>
      </c>
      <c r="J4229" t="s">
        <v>15</v>
      </c>
      <c r="K4229">
        <v>0</v>
      </c>
      <c r="L4229">
        <v>0</v>
      </c>
      <c r="M4229" t="s">
        <v>16</v>
      </c>
      <c r="N4229">
        <v>1</v>
      </c>
    </row>
    <row r="4230" hidden="1" spans="1:14">
      <c r="A4230">
        <v>1847</v>
      </c>
      <c r="B4230">
        <v>0</v>
      </c>
      <c r="C4230" t="s">
        <v>1018</v>
      </c>
      <c r="D4230">
        <v>0</v>
      </c>
      <c r="E4230">
        <v>100.193</v>
      </c>
      <c r="F4230">
        <v>8.04111</v>
      </c>
      <c r="G4230">
        <v>8522.09</v>
      </c>
      <c r="H4230" s="1">
        <v>37249</v>
      </c>
      <c r="I4230" s="1">
        <v>37249</v>
      </c>
      <c r="J4230" t="s">
        <v>15</v>
      </c>
      <c r="K4230">
        <v>0</v>
      </c>
      <c r="L4230">
        <v>25000</v>
      </c>
      <c r="M4230" t="s">
        <v>16</v>
      </c>
      <c r="N4230">
        <v>1</v>
      </c>
    </row>
    <row r="4231" hidden="1" spans="1:14">
      <c r="A4231">
        <v>3982</v>
      </c>
      <c r="C4231" t="s">
        <v>1019</v>
      </c>
      <c r="E4231">
        <v>-16.1515</v>
      </c>
      <c r="F4231">
        <v>13.4093</v>
      </c>
      <c r="G4231">
        <v>4747.33</v>
      </c>
      <c r="H4231" s="1">
        <v>41154</v>
      </c>
      <c r="I4231" s="1">
        <v>41159</v>
      </c>
      <c r="J4231" t="s">
        <v>15</v>
      </c>
      <c r="K4231">
        <v>0</v>
      </c>
      <c r="L4231">
        <v>41</v>
      </c>
      <c r="M4231" t="s">
        <v>49</v>
      </c>
      <c r="N4231">
        <v>1</v>
      </c>
    </row>
    <row r="4232" hidden="1" spans="1:14">
      <c r="A4232">
        <v>1436</v>
      </c>
      <c r="B4232">
        <v>0</v>
      </c>
      <c r="C4232" t="s">
        <v>1020</v>
      </c>
      <c r="D4232" t="s">
        <v>475</v>
      </c>
      <c r="E4232">
        <v>86.8106</v>
      </c>
      <c r="F4232">
        <v>29.24</v>
      </c>
      <c r="G4232">
        <v>215634.54</v>
      </c>
      <c r="H4232" s="1">
        <v>36035</v>
      </c>
      <c r="I4232" s="1">
        <v>36038</v>
      </c>
      <c r="J4232" t="s">
        <v>15</v>
      </c>
      <c r="K4232">
        <v>156</v>
      </c>
      <c r="L4232">
        <v>8000</v>
      </c>
      <c r="M4232" t="s">
        <v>16</v>
      </c>
      <c r="N4232">
        <v>1</v>
      </c>
    </row>
    <row r="4233" hidden="1" spans="1:14">
      <c r="A4233">
        <v>1600</v>
      </c>
      <c r="B4233">
        <v>0</v>
      </c>
      <c r="C4233" t="s">
        <v>1021</v>
      </c>
      <c r="D4233">
        <v>0</v>
      </c>
      <c r="E4233">
        <v>125.334</v>
      </c>
      <c r="F4233">
        <v>-9.27811</v>
      </c>
      <c r="G4233">
        <v>11422.38</v>
      </c>
      <c r="H4233" s="1">
        <v>36662</v>
      </c>
      <c r="I4233" s="1">
        <v>36670</v>
      </c>
      <c r="J4233" t="s">
        <v>15</v>
      </c>
      <c r="K4233">
        <v>126</v>
      </c>
      <c r="L4233">
        <v>15000</v>
      </c>
      <c r="M4233" t="s">
        <v>16</v>
      </c>
      <c r="N4233">
        <v>2</v>
      </c>
    </row>
    <row r="4234" hidden="1" spans="1:14">
      <c r="A4234">
        <v>438</v>
      </c>
      <c r="B4234">
        <v>0</v>
      </c>
      <c r="C4234" t="s">
        <v>1022</v>
      </c>
      <c r="D4234">
        <v>0</v>
      </c>
      <c r="E4234">
        <v>-60.6677</v>
      </c>
      <c r="F4234">
        <v>11.2383</v>
      </c>
      <c r="G4234">
        <v>395.461</v>
      </c>
      <c r="H4234" s="1">
        <v>33079</v>
      </c>
      <c r="I4234" s="1">
        <v>33080</v>
      </c>
      <c r="J4234" t="s">
        <v>15</v>
      </c>
      <c r="K4234">
        <v>0</v>
      </c>
      <c r="L4234">
        <v>0</v>
      </c>
      <c r="M4234" t="s">
        <v>86</v>
      </c>
      <c r="N4234">
        <v>1</v>
      </c>
    </row>
    <row r="4235" hidden="1" spans="1:14">
      <c r="A4235">
        <v>967</v>
      </c>
      <c r="B4235">
        <v>0</v>
      </c>
      <c r="C4235" t="s">
        <v>432</v>
      </c>
      <c r="D4235">
        <v>0</v>
      </c>
      <c r="E4235">
        <v>1.29451</v>
      </c>
      <c r="F4235">
        <v>6.28328</v>
      </c>
      <c r="G4235">
        <v>3634.99</v>
      </c>
      <c r="H4235" s="1">
        <v>34883</v>
      </c>
      <c r="I4235" s="1">
        <v>34885</v>
      </c>
      <c r="J4235" t="s">
        <v>15</v>
      </c>
      <c r="K4235">
        <v>3</v>
      </c>
      <c r="L4235">
        <v>150000</v>
      </c>
      <c r="M4235" t="s">
        <v>18</v>
      </c>
      <c r="N4235">
        <v>1</v>
      </c>
    </row>
    <row r="4236" hidden="1" spans="1:14">
      <c r="A4236">
        <v>1002</v>
      </c>
      <c r="B4236">
        <v>0</v>
      </c>
      <c r="C4236" t="s">
        <v>432</v>
      </c>
      <c r="D4236" t="s">
        <v>161</v>
      </c>
      <c r="E4236">
        <v>1.13979</v>
      </c>
      <c r="F4236">
        <v>6.77348</v>
      </c>
      <c r="G4236">
        <v>102566.52</v>
      </c>
      <c r="H4236" s="1">
        <v>34963</v>
      </c>
      <c r="I4236" s="1">
        <v>34970</v>
      </c>
      <c r="J4236" t="s">
        <v>15</v>
      </c>
      <c r="K4236">
        <v>19</v>
      </c>
      <c r="L4236">
        <v>30000</v>
      </c>
      <c r="M4236" t="s">
        <v>16</v>
      </c>
      <c r="N4236">
        <v>1</v>
      </c>
    </row>
    <row r="4237" hidden="1" spans="1:14">
      <c r="A4237">
        <v>2576</v>
      </c>
      <c r="B4237">
        <v>0</v>
      </c>
      <c r="C4237" t="s">
        <v>432</v>
      </c>
      <c r="D4237">
        <v>0</v>
      </c>
      <c r="E4237">
        <v>1.22378</v>
      </c>
      <c r="F4237">
        <v>6.1482</v>
      </c>
      <c r="G4237">
        <v>110.21</v>
      </c>
      <c r="H4237" s="1">
        <v>38267</v>
      </c>
      <c r="I4237" s="1">
        <v>38295</v>
      </c>
      <c r="J4237" t="s">
        <v>15</v>
      </c>
      <c r="K4237">
        <v>0</v>
      </c>
      <c r="L4237">
        <v>300</v>
      </c>
      <c r="M4237" t="s">
        <v>16</v>
      </c>
      <c r="N4237">
        <v>2</v>
      </c>
    </row>
    <row r="4238" hidden="1" spans="1:14">
      <c r="A4238">
        <v>3349</v>
      </c>
      <c r="B4238">
        <v>0</v>
      </c>
      <c r="C4238" t="s">
        <v>432</v>
      </c>
      <c r="D4238">
        <v>0</v>
      </c>
      <c r="E4238">
        <v>1.03767</v>
      </c>
      <c r="F4238">
        <v>7.69097</v>
      </c>
      <c r="G4238">
        <v>66956.68</v>
      </c>
      <c r="H4238" s="1">
        <v>39661</v>
      </c>
      <c r="I4238" s="1">
        <v>39668</v>
      </c>
      <c r="J4238" t="s">
        <v>15</v>
      </c>
      <c r="K4238">
        <v>0</v>
      </c>
      <c r="L4238">
        <v>0</v>
      </c>
      <c r="M4238" t="s">
        <v>64</v>
      </c>
      <c r="N4238">
        <v>1</v>
      </c>
    </row>
    <row r="4239" hidden="1" spans="1:14">
      <c r="A4239">
        <v>4817</v>
      </c>
      <c r="C4239" t="s">
        <v>432</v>
      </c>
      <c r="D4239" t="s">
        <v>161</v>
      </c>
      <c r="E4239">
        <v>1.7547</v>
      </c>
      <c r="F4239">
        <v>8.06093</v>
      </c>
      <c r="G4239">
        <v>64158.06</v>
      </c>
      <c r="H4239" s="1">
        <v>43761</v>
      </c>
      <c r="I4239" s="1">
        <v>43775</v>
      </c>
      <c r="J4239" t="s">
        <v>56</v>
      </c>
      <c r="K4239">
        <v>0</v>
      </c>
      <c r="L4239">
        <v>0</v>
      </c>
      <c r="M4239" t="s">
        <v>49</v>
      </c>
      <c r="N4239">
        <v>1.5</v>
      </c>
    </row>
    <row r="4240" hidden="1" spans="1:14">
      <c r="A4240">
        <v>4968</v>
      </c>
      <c r="C4240" t="s">
        <v>432</v>
      </c>
      <c r="E4240">
        <v>0.777334</v>
      </c>
      <c r="F4240">
        <v>9.71016</v>
      </c>
      <c r="G4240">
        <v>25645.64</v>
      </c>
      <c r="H4240" s="1">
        <v>44089</v>
      </c>
      <c r="I4240" s="1">
        <v>44125</v>
      </c>
      <c r="J4240" t="s">
        <v>58</v>
      </c>
      <c r="K4240">
        <v>11</v>
      </c>
      <c r="L4240">
        <v>16000</v>
      </c>
      <c r="M4240" t="s">
        <v>49</v>
      </c>
      <c r="N4240">
        <v>1.5</v>
      </c>
    </row>
    <row r="4241" hidden="1" spans="1:14">
      <c r="A4241">
        <v>68</v>
      </c>
      <c r="B4241">
        <v>0</v>
      </c>
      <c r="C4241" t="s">
        <v>1023</v>
      </c>
      <c r="D4241">
        <v>0</v>
      </c>
      <c r="E4241">
        <v>-60.6243</v>
      </c>
      <c r="F4241">
        <v>11.2699</v>
      </c>
      <c r="G4241">
        <v>293.167</v>
      </c>
      <c r="H4241" s="1">
        <v>31383</v>
      </c>
      <c r="I4241" s="1">
        <v>31385</v>
      </c>
      <c r="J4241" t="s">
        <v>15</v>
      </c>
      <c r="K4241">
        <v>0</v>
      </c>
      <c r="L4241">
        <v>0</v>
      </c>
      <c r="M4241" t="s">
        <v>16</v>
      </c>
      <c r="N4241">
        <v>1</v>
      </c>
    </row>
    <row r="4242" hidden="1" spans="1:14">
      <c r="A4242">
        <v>789</v>
      </c>
      <c r="B4242">
        <v>0</v>
      </c>
      <c r="C4242" t="s">
        <v>1023</v>
      </c>
      <c r="D4242" t="s">
        <v>1022</v>
      </c>
      <c r="E4242">
        <v>-61.4302</v>
      </c>
      <c r="F4242">
        <v>10.607</v>
      </c>
      <c r="G4242">
        <v>1178.39</v>
      </c>
      <c r="H4242" s="1">
        <v>34247</v>
      </c>
      <c r="I4242" s="1">
        <v>34247</v>
      </c>
      <c r="J4242" t="s">
        <v>15</v>
      </c>
      <c r="K4242">
        <v>5</v>
      </c>
      <c r="L4242">
        <v>0</v>
      </c>
      <c r="M4242" t="s">
        <v>64</v>
      </c>
      <c r="N4242">
        <v>1</v>
      </c>
    </row>
    <row r="4243" hidden="1" spans="1:14">
      <c r="A4243">
        <v>2083</v>
      </c>
      <c r="B4243">
        <v>0</v>
      </c>
      <c r="C4243" t="s">
        <v>1023</v>
      </c>
      <c r="D4243">
        <v>0</v>
      </c>
      <c r="E4243">
        <v>-61.2638</v>
      </c>
      <c r="F4243">
        <v>10.6068</v>
      </c>
      <c r="G4243">
        <v>884.881</v>
      </c>
      <c r="H4243" s="1">
        <v>37565</v>
      </c>
      <c r="I4243" s="1">
        <v>37580</v>
      </c>
      <c r="J4243" t="s">
        <v>15</v>
      </c>
      <c r="K4243">
        <v>3</v>
      </c>
      <c r="L4243">
        <v>300</v>
      </c>
      <c r="M4243" t="s">
        <v>86</v>
      </c>
      <c r="N4243">
        <v>1</v>
      </c>
    </row>
    <row r="4244" hidden="1" spans="1:14">
      <c r="A4244">
        <v>2781</v>
      </c>
      <c r="B4244">
        <v>0</v>
      </c>
      <c r="C4244" t="s">
        <v>1023</v>
      </c>
      <c r="D4244">
        <v>0</v>
      </c>
      <c r="E4244">
        <v>-61.2393</v>
      </c>
      <c r="F4244">
        <v>10.3192</v>
      </c>
      <c r="G4244">
        <v>2252.49</v>
      </c>
      <c r="H4244" s="1">
        <v>38731</v>
      </c>
      <c r="I4244" s="1">
        <v>38734</v>
      </c>
      <c r="J4244" t="s">
        <v>15</v>
      </c>
      <c r="K4244">
        <v>0</v>
      </c>
      <c r="L4244">
        <v>600</v>
      </c>
      <c r="M4244" t="s">
        <v>16</v>
      </c>
      <c r="N4244">
        <v>2</v>
      </c>
    </row>
    <row r="4245" hidden="1" spans="1:14">
      <c r="A4245">
        <v>108</v>
      </c>
      <c r="B4245">
        <v>0</v>
      </c>
      <c r="C4245" t="s">
        <v>1024</v>
      </c>
      <c r="D4245">
        <v>0</v>
      </c>
      <c r="E4245">
        <v>10.2467</v>
      </c>
      <c r="F4245">
        <v>36.1903</v>
      </c>
      <c r="G4245">
        <v>12622.37</v>
      </c>
      <c r="H4245" s="1">
        <v>31685</v>
      </c>
      <c r="I4245" s="1">
        <v>31688</v>
      </c>
      <c r="J4245" t="s">
        <v>15</v>
      </c>
      <c r="K4245">
        <v>20</v>
      </c>
      <c r="L4245">
        <v>500</v>
      </c>
      <c r="M4245" t="s">
        <v>64</v>
      </c>
      <c r="N4245">
        <v>1</v>
      </c>
    </row>
    <row r="4246" hidden="1" spans="1:14">
      <c r="A4246">
        <v>389</v>
      </c>
      <c r="B4246">
        <v>0</v>
      </c>
      <c r="C4246" t="s">
        <v>1024</v>
      </c>
      <c r="D4246">
        <v>0</v>
      </c>
      <c r="E4246">
        <v>9.45159</v>
      </c>
      <c r="F4246">
        <v>33.214</v>
      </c>
      <c r="G4246">
        <v>127702.94</v>
      </c>
      <c r="H4246" s="1">
        <v>32893</v>
      </c>
      <c r="I4246" s="1">
        <v>32905</v>
      </c>
      <c r="J4246" t="s">
        <v>15</v>
      </c>
      <c r="K4246">
        <v>25</v>
      </c>
      <c r="L4246">
        <v>152000</v>
      </c>
      <c r="M4246" t="s">
        <v>16</v>
      </c>
      <c r="N4246">
        <v>1</v>
      </c>
    </row>
    <row r="4247" hidden="1" spans="1:14">
      <c r="A4247">
        <v>2129</v>
      </c>
      <c r="B4247">
        <v>0</v>
      </c>
      <c r="C4247" t="s">
        <v>1024</v>
      </c>
      <c r="D4247">
        <v>0</v>
      </c>
      <c r="E4247">
        <v>9.4368</v>
      </c>
      <c r="F4247">
        <v>36.481</v>
      </c>
      <c r="G4247">
        <v>27682.21</v>
      </c>
      <c r="H4247" s="1">
        <v>37635</v>
      </c>
      <c r="I4247" s="1">
        <v>37637</v>
      </c>
      <c r="J4247" t="s">
        <v>15</v>
      </c>
      <c r="K4247">
        <v>8</v>
      </c>
      <c r="L4247">
        <v>27000</v>
      </c>
      <c r="M4247" t="s">
        <v>16</v>
      </c>
      <c r="N4247">
        <v>1</v>
      </c>
    </row>
    <row r="4248" hidden="1" spans="1:14">
      <c r="A4248">
        <v>2139</v>
      </c>
      <c r="B4248">
        <v>0</v>
      </c>
      <c r="C4248" t="s">
        <v>1024</v>
      </c>
      <c r="D4248">
        <v>0</v>
      </c>
      <c r="E4248">
        <v>9.36896</v>
      </c>
      <c r="F4248">
        <v>36.0582</v>
      </c>
      <c r="G4248">
        <v>3621.72</v>
      </c>
      <c r="H4248" s="1">
        <v>37646</v>
      </c>
      <c r="I4248" s="1">
        <v>37647</v>
      </c>
      <c r="J4248" t="s">
        <v>15</v>
      </c>
      <c r="K4248">
        <v>2</v>
      </c>
      <c r="L4248">
        <v>0</v>
      </c>
      <c r="M4248" t="s">
        <v>16</v>
      </c>
      <c r="N4248">
        <v>1</v>
      </c>
    </row>
    <row r="4249" hidden="1" spans="1:14">
      <c r="A4249">
        <v>2350</v>
      </c>
      <c r="B4249">
        <v>0</v>
      </c>
      <c r="C4249" t="s">
        <v>1024</v>
      </c>
      <c r="D4249">
        <v>0</v>
      </c>
      <c r="E4249">
        <v>10.1861</v>
      </c>
      <c r="F4249">
        <v>36.865</v>
      </c>
      <c r="G4249">
        <v>376.375</v>
      </c>
      <c r="H4249" s="1">
        <v>37880</v>
      </c>
      <c r="I4249" s="1">
        <v>37882</v>
      </c>
      <c r="J4249" t="s">
        <v>15</v>
      </c>
      <c r="K4249">
        <v>4</v>
      </c>
      <c r="L4249">
        <v>0</v>
      </c>
      <c r="M4249" t="s">
        <v>16</v>
      </c>
      <c r="N4249">
        <v>1</v>
      </c>
    </row>
    <row r="4250" hidden="1" spans="1:14">
      <c r="A4250">
        <v>2404</v>
      </c>
      <c r="B4250">
        <v>0</v>
      </c>
      <c r="C4250" t="s">
        <v>1024</v>
      </c>
      <c r="D4250">
        <v>0</v>
      </c>
      <c r="E4250">
        <v>9.22676</v>
      </c>
      <c r="F4250">
        <v>36.7779</v>
      </c>
      <c r="G4250">
        <v>9918.63</v>
      </c>
      <c r="H4250" s="1">
        <v>37967</v>
      </c>
      <c r="I4250" s="1">
        <v>37968</v>
      </c>
      <c r="J4250" t="s">
        <v>15</v>
      </c>
      <c r="K4250">
        <v>7</v>
      </c>
      <c r="L4250">
        <v>0</v>
      </c>
      <c r="M4250" t="s">
        <v>16</v>
      </c>
      <c r="N4250">
        <v>1</v>
      </c>
    </row>
    <row r="4251" hidden="1" spans="1:14">
      <c r="A4251">
        <v>3206</v>
      </c>
      <c r="B4251" t="s">
        <v>1025</v>
      </c>
      <c r="C4251" t="s">
        <v>1024</v>
      </c>
      <c r="D4251">
        <v>0</v>
      </c>
      <c r="E4251">
        <v>9.71166</v>
      </c>
      <c r="F4251">
        <v>36.9531</v>
      </c>
      <c r="G4251">
        <v>6546.83</v>
      </c>
      <c r="H4251" s="1">
        <v>39368</v>
      </c>
      <c r="I4251" s="1">
        <v>39371</v>
      </c>
      <c r="J4251" t="s">
        <v>15</v>
      </c>
      <c r="K4251">
        <v>13</v>
      </c>
      <c r="L4251">
        <v>0</v>
      </c>
      <c r="M4251" t="s">
        <v>16</v>
      </c>
      <c r="N4251">
        <v>1</v>
      </c>
    </row>
    <row r="4252" hidden="1" spans="1:14">
      <c r="A4252">
        <v>3904</v>
      </c>
      <c r="C4252" t="s">
        <v>1024</v>
      </c>
      <c r="E4252">
        <v>8.69862</v>
      </c>
      <c r="F4252">
        <v>35.1163</v>
      </c>
      <c r="G4252">
        <v>41623.96</v>
      </c>
      <c r="H4252" s="1">
        <v>40964</v>
      </c>
      <c r="I4252" s="1">
        <v>40966</v>
      </c>
      <c r="J4252" t="s">
        <v>15</v>
      </c>
      <c r="K4252">
        <v>3</v>
      </c>
      <c r="L4252">
        <v>1000</v>
      </c>
      <c r="M4252" t="s">
        <v>52</v>
      </c>
      <c r="N4252">
        <v>1.5</v>
      </c>
    </row>
    <row r="4253" hidden="1" spans="1:14">
      <c r="A4253">
        <v>4692</v>
      </c>
      <c r="C4253" t="s">
        <v>1024</v>
      </c>
      <c r="E4253">
        <v>9.52416</v>
      </c>
      <c r="F4253">
        <v>35.9368</v>
      </c>
      <c r="G4253">
        <v>55223.6</v>
      </c>
      <c r="H4253" s="1">
        <v>43390</v>
      </c>
      <c r="I4253" s="1">
        <v>43394</v>
      </c>
      <c r="J4253" t="s">
        <v>56</v>
      </c>
      <c r="K4253">
        <v>5</v>
      </c>
      <c r="L4253">
        <v>0</v>
      </c>
      <c r="M4253" t="s">
        <v>440</v>
      </c>
      <c r="N4253">
        <v>1.5</v>
      </c>
    </row>
    <row r="4254" hidden="1" spans="1:14">
      <c r="A4254">
        <v>187</v>
      </c>
      <c r="B4254">
        <v>0</v>
      </c>
      <c r="C4254" t="s">
        <v>214</v>
      </c>
      <c r="D4254">
        <v>0</v>
      </c>
      <c r="E4254">
        <v>32.9515</v>
      </c>
      <c r="F4254">
        <v>40.0061</v>
      </c>
      <c r="G4254">
        <v>229.14</v>
      </c>
      <c r="H4254" s="1">
        <v>32306</v>
      </c>
      <c r="I4254" s="1">
        <v>32306</v>
      </c>
      <c r="J4254" t="s">
        <v>15</v>
      </c>
      <c r="K4254">
        <v>16</v>
      </c>
      <c r="L4254">
        <v>400</v>
      </c>
      <c r="M4254" t="s">
        <v>64</v>
      </c>
      <c r="N4254">
        <v>1</v>
      </c>
    </row>
    <row r="4255" hidden="1" spans="1:14">
      <c r="A4255">
        <v>396</v>
      </c>
      <c r="B4255">
        <v>0</v>
      </c>
      <c r="C4255" t="s">
        <v>214</v>
      </c>
      <c r="D4255">
        <v>0</v>
      </c>
      <c r="E4255">
        <v>39.314</v>
      </c>
      <c r="F4255">
        <v>38.9185</v>
      </c>
      <c r="G4255">
        <v>175659.27</v>
      </c>
      <c r="H4255" s="1">
        <v>32922</v>
      </c>
      <c r="I4255" s="1">
        <v>32924</v>
      </c>
      <c r="J4255" t="s">
        <v>15</v>
      </c>
      <c r="K4255">
        <v>18</v>
      </c>
      <c r="L4255">
        <v>0</v>
      </c>
      <c r="M4255" t="s">
        <v>16</v>
      </c>
      <c r="N4255">
        <v>1</v>
      </c>
    </row>
    <row r="4256" hidden="1" spans="1:14">
      <c r="A4256">
        <v>422</v>
      </c>
      <c r="B4256">
        <v>0</v>
      </c>
      <c r="C4256" t="s">
        <v>214</v>
      </c>
      <c r="D4256">
        <v>0</v>
      </c>
      <c r="E4256">
        <v>39.4136</v>
      </c>
      <c r="F4256">
        <v>40.4652</v>
      </c>
      <c r="G4256">
        <v>20697.04</v>
      </c>
      <c r="H4256" s="1">
        <v>33042</v>
      </c>
      <c r="I4256" s="1">
        <v>33045</v>
      </c>
      <c r="J4256" t="s">
        <v>15</v>
      </c>
      <c r="K4256">
        <v>48</v>
      </c>
      <c r="L4256">
        <v>0</v>
      </c>
      <c r="M4256" t="s">
        <v>16</v>
      </c>
      <c r="N4256">
        <v>1</v>
      </c>
    </row>
    <row r="4257" hidden="1" spans="1:14">
      <c r="A4257">
        <v>512</v>
      </c>
      <c r="B4257">
        <v>0</v>
      </c>
      <c r="C4257" t="s">
        <v>214</v>
      </c>
      <c r="D4257">
        <v>0</v>
      </c>
      <c r="E4257">
        <v>39.2757</v>
      </c>
      <c r="F4257">
        <v>38.4514</v>
      </c>
      <c r="G4257">
        <v>40174.86</v>
      </c>
      <c r="H4257" s="1">
        <v>33374</v>
      </c>
      <c r="I4257" s="1">
        <v>33375</v>
      </c>
      <c r="J4257" t="s">
        <v>15</v>
      </c>
      <c r="K4257">
        <v>42</v>
      </c>
      <c r="L4257">
        <v>500</v>
      </c>
      <c r="M4257" t="s">
        <v>64</v>
      </c>
      <c r="N4257">
        <v>1</v>
      </c>
    </row>
    <row r="4258" hidden="1" spans="1:14">
      <c r="A4258">
        <v>533</v>
      </c>
      <c r="B4258">
        <v>0</v>
      </c>
      <c r="C4258" t="s">
        <v>214</v>
      </c>
      <c r="D4258">
        <v>0</v>
      </c>
      <c r="E4258">
        <v>32.193</v>
      </c>
      <c r="F4258">
        <v>41.3917</v>
      </c>
      <c r="G4258">
        <v>8038.12</v>
      </c>
      <c r="H4258" s="1">
        <v>33426</v>
      </c>
      <c r="I4258" s="1">
        <v>33429</v>
      </c>
      <c r="J4258" t="s">
        <v>15</v>
      </c>
      <c r="K4258">
        <v>15</v>
      </c>
      <c r="L4258">
        <v>0</v>
      </c>
      <c r="M4258" t="s">
        <v>16</v>
      </c>
      <c r="N4258">
        <v>1</v>
      </c>
    </row>
    <row r="4259" hidden="1" spans="1:14">
      <c r="A4259">
        <v>592</v>
      </c>
      <c r="B4259">
        <v>0</v>
      </c>
      <c r="C4259" t="s">
        <v>214</v>
      </c>
      <c r="D4259">
        <v>0</v>
      </c>
      <c r="E4259">
        <v>29.2703</v>
      </c>
      <c r="F4259">
        <v>41.0289</v>
      </c>
      <c r="G4259">
        <v>3488.91</v>
      </c>
      <c r="H4259" s="1">
        <v>33517</v>
      </c>
      <c r="I4259" s="1">
        <v>33518</v>
      </c>
      <c r="J4259" t="s">
        <v>15</v>
      </c>
      <c r="K4259">
        <v>6</v>
      </c>
      <c r="L4259">
        <v>0</v>
      </c>
      <c r="M4259" t="s">
        <v>16</v>
      </c>
      <c r="N4259">
        <v>1</v>
      </c>
    </row>
    <row r="4260" hidden="1" spans="1:14">
      <c r="A4260">
        <v>625</v>
      </c>
      <c r="B4260">
        <v>0</v>
      </c>
      <c r="C4260" t="s">
        <v>214</v>
      </c>
      <c r="D4260" t="s">
        <v>382</v>
      </c>
      <c r="E4260">
        <v>36.0904</v>
      </c>
      <c r="F4260">
        <v>36.9812</v>
      </c>
      <c r="G4260">
        <v>81542.93</v>
      </c>
      <c r="H4260" s="1">
        <v>33654</v>
      </c>
      <c r="I4260" s="1">
        <v>33660</v>
      </c>
      <c r="J4260" t="s">
        <v>15</v>
      </c>
      <c r="K4260">
        <v>200</v>
      </c>
      <c r="L4260">
        <v>1000</v>
      </c>
      <c r="M4260" t="s">
        <v>38</v>
      </c>
      <c r="N4260">
        <v>2</v>
      </c>
    </row>
    <row r="4261" hidden="1" spans="1:14">
      <c r="A4261">
        <v>1030</v>
      </c>
      <c r="B4261">
        <v>0</v>
      </c>
      <c r="C4261" t="s">
        <v>214</v>
      </c>
      <c r="D4261">
        <v>0</v>
      </c>
      <c r="E4261">
        <v>27.1193</v>
      </c>
      <c r="F4261">
        <v>38.652</v>
      </c>
      <c r="G4261">
        <v>14859.86</v>
      </c>
      <c r="H4261" s="1">
        <v>35007</v>
      </c>
      <c r="I4261" s="1">
        <v>35011</v>
      </c>
      <c r="J4261" t="s">
        <v>15</v>
      </c>
      <c r="K4261">
        <v>62</v>
      </c>
      <c r="L4261">
        <v>4800</v>
      </c>
      <c r="M4261" t="s">
        <v>16</v>
      </c>
      <c r="N4261">
        <v>2</v>
      </c>
    </row>
    <row r="4262" hidden="1" spans="1:14">
      <c r="A4262">
        <v>1100</v>
      </c>
      <c r="B4262">
        <v>0</v>
      </c>
      <c r="C4262" t="s">
        <v>214</v>
      </c>
      <c r="D4262">
        <v>0</v>
      </c>
      <c r="E4262">
        <v>29.0754</v>
      </c>
      <c r="F4262">
        <v>41.0859</v>
      </c>
      <c r="G4262">
        <v>2205.05</v>
      </c>
      <c r="H4262" s="1">
        <v>35284</v>
      </c>
      <c r="I4262" s="1">
        <v>35288</v>
      </c>
      <c r="J4262" t="s">
        <v>15</v>
      </c>
      <c r="K4262">
        <v>2</v>
      </c>
      <c r="L4262">
        <v>180</v>
      </c>
      <c r="M4262" t="s">
        <v>49</v>
      </c>
      <c r="N4262">
        <v>1</v>
      </c>
    </row>
    <row r="4263" hidden="1" spans="1:14">
      <c r="A4263">
        <v>1206</v>
      </c>
      <c r="B4263">
        <v>0</v>
      </c>
      <c r="C4263" t="s">
        <v>214</v>
      </c>
      <c r="D4263">
        <v>0</v>
      </c>
      <c r="E4263">
        <v>27.1915</v>
      </c>
      <c r="F4263">
        <v>39.041</v>
      </c>
      <c r="G4263">
        <v>73848.78</v>
      </c>
      <c r="H4263" s="1">
        <v>35438</v>
      </c>
      <c r="I4263" s="1">
        <v>35440</v>
      </c>
      <c r="J4263" t="s">
        <v>15</v>
      </c>
      <c r="K4263">
        <v>3</v>
      </c>
      <c r="L4263">
        <v>100</v>
      </c>
      <c r="M4263" t="s">
        <v>16</v>
      </c>
      <c r="N4263">
        <v>2</v>
      </c>
    </row>
    <row r="4264" hidden="1" spans="1:14">
      <c r="A4264">
        <v>1262</v>
      </c>
      <c r="B4264">
        <v>0</v>
      </c>
      <c r="C4264" t="s">
        <v>214</v>
      </c>
      <c r="D4264">
        <v>0</v>
      </c>
      <c r="E4264">
        <v>38.7219</v>
      </c>
      <c r="F4264">
        <v>40.6106</v>
      </c>
      <c r="G4264">
        <v>21242.69</v>
      </c>
      <c r="H4264" s="1">
        <v>35613</v>
      </c>
      <c r="I4264" s="1">
        <v>35615</v>
      </c>
      <c r="J4264" t="s">
        <v>15</v>
      </c>
      <c r="K4264">
        <v>4</v>
      </c>
      <c r="L4264">
        <v>0</v>
      </c>
      <c r="M4264" t="s">
        <v>18</v>
      </c>
      <c r="N4264">
        <v>1</v>
      </c>
    </row>
    <row r="4265" hidden="1" spans="1:14">
      <c r="A4265">
        <v>1270</v>
      </c>
      <c r="B4265">
        <v>0</v>
      </c>
      <c r="C4265" t="s">
        <v>214</v>
      </c>
      <c r="D4265">
        <v>0</v>
      </c>
      <c r="E4265">
        <v>43.5376</v>
      </c>
      <c r="F4265">
        <v>39.6237</v>
      </c>
      <c r="G4265">
        <v>17023.39</v>
      </c>
      <c r="H4265" s="1">
        <v>35649</v>
      </c>
      <c r="I4265" s="1">
        <v>35654</v>
      </c>
      <c r="J4265" t="s">
        <v>15</v>
      </c>
      <c r="K4265">
        <v>11</v>
      </c>
      <c r="L4265">
        <v>0</v>
      </c>
      <c r="M4265" t="s">
        <v>16</v>
      </c>
      <c r="N4265">
        <v>2</v>
      </c>
    </row>
    <row r="4266" hidden="1" spans="1:14">
      <c r="A4266">
        <v>1364</v>
      </c>
      <c r="B4266">
        <v>0</v>
      </c>
      <c r="C4266" t="s">
        <v>214</v>
      </c>
      <c r="D4266">
        <v>0</v>
      </c>
      <c r="E4266">
        <v>31.4914</v>
      </c>
      <c r="F4266">
        <v>38.7795</v>
      </c>
      <c r="G4266">
        <v>142697.44</v>
      </c>
      <c r="H4266" s="1">
        <v>35935</v>
      </c>
      <c r="I4266" s="1">
        <v>35938</v>
      </c>
      <c r="J4266" t="s">
        <v>15</v>
      </c>
      <c r="K4266">
        <v>19</v>
      </c>
      <c r="L4266">
        <v>514</v>
      </c>
      <c r="M4266" t="s">
        <v>18</v>
      </c>
      <c r="N4266">
        <v>1</v>
      </c>
    </row>
    <row r="4267" hidden="1" spans="1:14">
      <c r="A4267">
        <v>1386</v>
      </c>
      <c r="B4267">
        <v>0</v>
      </c>
      <c r="C4267" t="s">
        <v>214</v>
      </c>
      <c r="D4267">
        <v>0</v>
      </c>
      <c r="E4267">
        <v>42.0509</v>
      </c>
      <c r="F4267">
        <v>40.6454</v>
      </c>
      <c r="G4267">
        <v>28446.77</v>
      </c>
      <c r="H4267" s="1">
        <v>35958</v>
      </c>
      <c r="I4267" s="1">
        <v>35961</v>
      </c>
      <c r="J4267" t="s">
        <v>15</v>
      </c>
      <c r="K4267">
        <v>9</v>
      </c>
      <c r="L4267">
        <v>0</v>
      </c>
      <c r="M4267" t="s">
        <v>18</v>
      </c>
      <c r="N4267">
        <v>1</v>
      </c>
    </row>
    <row r="4268" hidden="1" spans="1:14">
      <c r="A4268">
        <v>1426</v>
      </c>
      <c r="B4268">
        <v>0</v>
      </c>
      <c r="C4268" t="s">
        <v>214</v>
      </c>
      <c r="D4268">
        <v>0</v>
      </c>
      <c r="E4268">
        <v>40.2558</v>
      </c>
      <c r="F4268">
        <v>40.8863</v>
      </c>
      <c r="G4268">
        <v>8224.46</v>
      </c>
      <c r="H4268" s="1">
        <v>36017</v>
      </c>
      <c r="I4268" s="1">
        <v>36018</v>
      </c>
      <c r="J4268" t="s">
        <v>15</v>
      </c>
      <c r="K4268">
        <v>50</v>
      </c>
      <c r="L4268">
        <v>0</v>
      </c>
      <c r="M4268" t="s">
        <v>18</v>
      </c>
      <c r="N4268">
        <v>1</v>
      </c>
    </row>
    <row r="4269" hidden="1" spans="1:14">
      <c r="A4269">
        <v>1602</v>
      </c>
      <c r="B4269">
        <v>0</v>
      </c>
      <c r="C4269" t="s">
        <v>214</v>
      </c>
      <c r="D4269">
        <v>0</v>
      </c>
      <c r="E4269">
        <v>34.8693</v>
      </c>
      <c r="F4269">
        <v>41.1558</v>
      </c>
      <c r="G4269">
        <v>17085.82</v>
      </c>
      <c r="H4269" s="1">
        <v>36664</v>
      </c>
      <c r="I4269" s="1">
        <v>36670</v>
      </c>
      <c r="J4269" t="s">
        <v>15</v>
      </c>
      <c r="K4269">
        <v>2</v>
      </c>
      <c r="L4269">
        <v>0</v>
      </c>
      <c r="M4269" t="s">
        <v>16</v>
      </c>
      <c r="N4269">
        <v>1</v>
      </c>
    </row>
    <row r="4270" hidden="1" spans="1:14">
      <c r="A4270">
        <v>1838</v>
      </c>
      <c r="B4270">
        <v>0</v>
      </c>
      <c r="C4270" t="s">
        <v>214</v>
      </c>
      <c r="D4270">
        <v>0</v>
      </c>
      <c r="E4270">
        <v>27.2043</v>
      </c>
      <c r="F4270">
        <v>38.4324</v>
      </c>
      <c r="G4270">
        <v>305.754</v>
      </c>
      <c r="H4270" s="1">
        <v>37241</v>
      </c>
      <c r="I4270" s="1">
        <v>37243</v>
      </c>
      <c r="J4270" t="s">
        <v>15</v>
      </c>
      <c r="K4270">
        <v>9</v>
      </c>
      <c r="L4270">
        <v>600</v>
      </c>
      <c r="M4270" t="s">
        <v>18</v>
      </c>
      <c r="N4270">
        <v>1</v>
      </c>
    </row>
    <row r="4271" hidden="1" spans="1:14">
      <c r="A4271">
        <v>2000</v>
      </c>
      <c r="B4271">
        <v>0</v>
      </c>
      <c r="C4271" t="s">
        <v>214</v>
      </c>
      <c r="D4271">
        <v>0</v>
      </c>
      <c r="E4271">
        <v>35.0527</v>
      </c>
      <c r="F4271">
        <v>40.0017</v>
      </c>
      <c r="G4271">
        <v>15133.75</v>
      </c>
      <c r="H4271" s="1">
        <v>37460</v>
      </c>
      <c r="I4271" s="1">
        <v>37464</v>
      </c>
      <c r="J4271" t="s">
        <v>15</v>
      </c>
      <c r="K4271">
        <v>34</v>
      </c>
      <c r="L4271">
        <v>3000</v>
      </c>
      <c r="M4271" t="s">
        <v>23</v>
      </c>
      <c r="N4271">
        <v>1</v>
      </c>
    </row>
    <row r="4272" hidden="1" spans="1:14">
      <c r="A4272">
        <v>2174</v>
      </c>
      <c r="B4272">
        <v>0</v>
      </c>
      <c r="C4272" t="s">
        <v>214</v>
      </c>
      <c r="D4272" t="s">
        <v>217</v>
      </c>
      <c r="E4272">
        <v>26.7148</v>
      </c>
      <c r="F4272">
        <v>41.591</v>
      </c>
      <c r="G4272">
        <v>26936.78</v>
      </c>
      <c r="H4272" s="1">
        <v>37638</v>
      </c>
      <c r="I4272" s="1">
        <v>37683</v>
      </c>
      <c r="J4272" t="s">
        <v>15</v>
      </c>
      <c r="K4272">
        <v>0</v>
      </c>
      <c r="L4272">
        <v>0</v>
      </c>
      <c r="M4272" t="s">
        <v>16</v>
      </c>
      <c r="N4272">
        <v>1</v>
      </c>
    </row>
    <row r="4273" hidden="1" spans="1:14">
      <c r="A4273">
        <v>2175</v>
      </c>
      <c r="B4273">
        <v>0</v>
      </c>
      <c r="C4273" t="s">
        <v>214</v>
      </c>
      <c r="D4273">
        <v>0</v>
      </c>
      <c r="E4273">
        <v>28.312</v>
      </c>
      <c r="F4273">
        <v>38.0893</v>
      </c>
      <c r="G4273">
        <v>37809.06</v>
      </c>
      <c r="H4273" s="1">
        <v>37656</v>
      </c>
      <c r="I4273" s="1">
        <v>37692</v>
      </c>
      <c r="J4273" t="s">
        <v>15</v>
      </c>
      <c r="K4273">
        <v>0</v>
      </c>
      <c r="L4273">
        <v>0</v>
      </c>
      <c r="M4273" t="s">
        <v>16</v>
      </c>
      <c r="N4273">
        <v>1</v>
      </c>
    </row>
    <row r="4274" hidden="1" spans="1:14">
      <c r="A4274">
        <v>2351</v>
      </c>
      <c r="B4274">
        <v>0</v>
      </c>
      <c r="C4274" t="s">
        <v>214</v>
      </c>
      <c r="D4274">
        <v>0</v>
      </c>
      <c r="E4274">
        <v>41.9462</v>
      </c>
      <c r="F4274">
        <v>39.0305</v>
      </c>
      <c r="G4274">
        <v>6689.31</v>
      </c>
      <c r="H4274" s="1">
        <v>37882</v>
      </c>
      <c r="I4274" s="1">
        <v>37882</v>
      </c>
      <c r="J4274" t="s">
        <v>15</v>
      </c>
      <c r="K4274">
        <v>6</v>
      </c>
      <c r="L4274">
        <v>0</v>
      </c>
      <c r="M4274" t="s">
        <v>18</v>
      </c>
      <c r="N4274">
        <v>1</v>
      </c>
    </row>
    <row r="4275" hidden="1" spans="1:14">
      <c r="A4275">
        <v>2410</v>
      </c>
      <c r="B4275">
        <v>0</v>
      </c>
      <c r="C4275" t="s">
        <v>214</v>
      </c>
      <c r="D4275">
        <v>0</v>
      </c>
      <c r="E4275">
        <v>30.7881</v>
      </c>
      <c r="F4275">
        <v>37.0067</v>
      </c>
      <c r="G4275">
        <v>1305.97</v>
      </c>
      <c r="H4275" s="1">
        <v>37979</v>
      </c>
      <c r="I4275" s="1">
        <v>37981</v>
      </c>
      <c r="J4275" t="s">
        <v>15</v>
      </c>
      <c r="K4275">
        <v>6</v>
      </c>
      <c r="L4275">
        <v>0</v>
      </c>
      <c r="M4275" t="s">
        <v>16</v>
      </c>
      <c r="N4275">
        <v>1</v>
      </c>
    </row>
    <row r="4276" hidden="1" spans="1:14">
      <c r="A4276">
        <v>2433</v>
      </c>
      <c r="B4276">
        <v>0</v>
      </c>
      <c r="C4276" t="s">
        <v>214</v>
      </c>
      <c r="D4276">
        <v>0</v>
      </c>
      <c r="E4276">
        <v>27.9838</v>
      </c>
      <c r="F4276">
        <v>38.1568</v>
      </c>
      <c r="G4276">
        <v>23470.4</v>
      </c>
      <c r="H4276" s="1">
        <v>38010</v>
      </c>
      <c r="I4276" s="1">
        <v>38031</v>
      </c>
      <c r="J4276" t="s">
        <v>15</v>
      </c>
      <c r="K4276">
        <v>0</v>
      </c>
      <c r="L4276">
        <v>0</v>
      </c>
      <c r="M4276" t="s">
        <v>16</v>
      </c>
      <c r="N4276">
        <v>1</v>
      </c>
    </row>
    <row r="4277" hidden="1" spans="1:14">
      <c r="A4277">
        <v>2450</v>
      </c>
      <c r="B4277">
        <v>0</v>
      </c>
      <c r="C4277" t="s">
        <v>214</v>
      </c>
      <c r="D4277" t="s">
        <v>101</v>
      </c>
      <c r="E4277">
        <v>44.585</v>
      </c>
      <c r="F4277">
        <v>40.1622</v>
      </c>
      <c r="G4277">
        <v>353750.6</v>
      </c>
      <c r="H4277" s="1">
        <v>38051</v>
      </c>
      <c r="I4277" s="1">
        <v>38055</v>
      </c>
      <c r="J4277" t="s">
        <v>15</v>
      </c>
      <c r="K4277">
        <v>8</v>
      </c>
      <c r="L4277">
        <v>3000</v>
      </c>
      <c r="M4277" t="s">
        <v>38</v>
      </c>
      <c r="N4277">
        <v>1</v>
      </c>
    </row>
    <row r="4278" hidden="1" spans="1:14">
      <c r="A4278">
        <v>2552</v>
      </c>
      <c r="B4278">
        <v>0</v>
      </c>
      <c r="C4278" t="s">
        <v>214</v>
      </c>
      <c r="D4278">
        <v>0</v>
      </c>
      <c r="E4278">
        <v>32.0379</v>
      </c>
      <c r="F4278">
        <v>41.2272</v>
      </c>
      <c r="G4278">
        <v>16748.57</v>
      </c>
      <c r="H4278" s="1">
        <v>38215</v>
      </c>
      <c r="I4278" s="1">
        <v>38216</v>
      </c>
      <c r="J4278" t="s">
        <v>15</v>
      </c>
      <c r="K4278">
        <v>2</v>
      </c>
      <c r="L4278">
        <v>100</v>
      </c>
      <c r="M4278" t="s">
        <v>18</v>
      </c>
      <c r="N4278">
        <v>1</v>
      </c>
    </row>
    <row r="4279" hidden="1" spans="1:14">
      <c r="A4279">
        <v>2702</v>
      </c>
      <c r="B4279">
        <v>0</v>
      </c>
      <c r="C4279" t="s">
        <v>214</v>
      </c>
      <c r="D4279">
        <v>0</v>
      </c>
      <c r="E4279">
        <v>40.3862</v>
      </c>
      <c r="F4279">
        <v>40.8275</v>
      </c>
      <c r="G4279">
        <v>1667.49</v>
      </c>
      <c r="H4279" s="1">
        <v>38566</v>
      </c>
      <c r="I4279" s="1">
        <v>38567</v>
      </c>
      <c r="J4279" t="s">
        <v>15</v>
      </c>
      <c r="K4279">
        <v>7</v>
      </c>
      <c r="L4279">
        <v>0</v>
      </c>
      <c r="M4279" t="s">
        <v>16</v>
      </c>
      <c r="N4279">
        <v>1</v>
      </c>
    </row>
    <row r="4280" hidden="1" spans="1:14">
      <c r="A4280">
        <v>2904</v>
      </c>
      <c r="B4280">
        <v>0</v>
      </c>
      <c r="C4280" t="s">
        <v>214</v>
      </c>
      <c r="D4280">
        <v>0</v>
      </c>
      <c r="E4280">
        <v>41.097</v>
      </c>
      <c r="F4280">
        <v>39.738</v>
      </c>
      <c r="G4280">
        <v>69641.37</v>
      </c>
      <c r="H4280" s="1">
        <v>38899</v>
      </c>
      <c r="I4280" s="1">
        <v>38901</v>
      </c>
      <c r="J4280" t="s">
        <v>15</v>
      </c>
      <c r="K4280">
        <v>9</v>
      </c>
      <c r="L4280">
        <v>0</v>
      </c>
      <c r="M4280" t="s">
        <v>16</v>
      </c>
      <c r="N4280">
        <v>1</v>
      </c>
    </row>
    <row r="4281" hidden="1" spans="1:14">
      <c r="A4281">
        <v>2987</v>
      </c>
      <c r="B4281" t="s">
        <v>1026</v>
      </c>
      <c r="C4281" t="s">
        <v>214</v>
      </c>
      <c r="D4281" t="s">
        <v>561</v>
      </c>
      <c r="E4281">
        <v>39.6462</v>
      </c>
      <c r="F4281">
        <v>37.643</v>
      </c>
      <c r="G4281">
        <v>122344.52</v>
      </c>
      <c r="H4281" s="1">
        <v>39017</v>
      </c>
      <c r="I4281" s="1">
        <v>39028</v>
      </c>
      <c r="J4281" t="s">
        <v>15</v>
      </c>
      <c r="K4281">
        <v>46</v>
      </c>
      <c r="L4281">
        <v>63000</v>
      </c>
      <c r="M4281" t="s">
        <v>16</v>
      </c>
      <c r="N4281">
        <v>2</v>
      </c>
    </row>
    <row r="4282" hidden="1" spans="1:14">
      <c r="A4282">
        <v>3063</v>
      </c>
      <c r="B4282">
        <v>0</v>
      </c>
      <c r="C4282" t="s">
        <v>214</v>
      </c>
      <c r="D4282">
        <v>0</v>
      </c>
      <c r="E4282">
        <v>42.052</v>
      </c>
      <c r="F4282">
        <v>37.3217</v>
      </c>
      <c r="G4282">
        <v>2902.47</v>
      </c>
      <c r="H4282" s="1">
        <v>39201</v>
      </c>
      <c r="I4282" s="1">
        <v>39203</v>
      </c>
      <c r="J4282" t="s">
        <v>15</v>
      </c>
      <c r="K4282">
        <v>2</v>
      </c>
      <c r="L4282">
        <v>0</v>
      </c>
      <c r="M4282" t="s">
        <v>16</v>
      </c>
      <c r="N4282">
        <v>1</v>
      </c>
    </row>
    <row r="4283" hidden="1" spans="1:14">
      <c r="A4283">
        <v>3088</v>
      </c>
      <c r="B4283">
        <v>0</v>
      </c>
      <c r="C4283" t="s">
        <v>214</v>
      </c>
      <c r="D4283">
        <v>0</v>
      </c>
      <c r="E4283">
        <v>43.8014</v>
      </c>
      <c r="F4283">
        <v>39.4015</v>
      </c>
      <c r="G4283">
        <v>38494.75</v>
      </c>
      <c r="H4283" s="1">
        <v>39229</v>
      </c>
      <c r="I4283" s="1">
        <v>39234</v>
      </c>
      <c r="J4283" t="s">
        <v>15</v>
      </c>
      <c r="K4283">
        <v>13</v>
      </c>
      <c r="L4283">
        <v>0</v>
      </c>
      <c r="M4283" t="s">
        <v>16</v>
      </c>
      <c r="N4283">
        <v>1</v>
      </c>
    </row>
    <row r="4284" hidden="1" spans="1:14">
      <c r="A4284">
        <v>3513</v>
      </c>
      <c r="B4284">
        <v>0</v>
      </c>
      <c r="C4284" t="s">
        <v>214</v>
      </c>
      <c r="D4284">
        <v>0</v>
      </c>
      <c r="E4284">
        <v>38.1609</v>
      </c>
      <c r="F4284">
        <v>40.6869</v>
      </c>
      <c r="G4284">
        <v>13171.48</v>
      </c>
      <c r="H4284" s="1">
        <v>40014</v>
      </c>
      <c r="I4284" s="1">
        <v>40016</v>
      </c>
      <c r="J4284" t="s">
        <v>15</v>
      </c>
      <c r="K4284">
        <v>0</v>
      </c>
      <c r="L4284">
        <v>3000</v>
      </c>
      <c r="M4284" t="s">
        <v>52</v>
      </c>
      <c r="N4284">
        <v>1</v>
      </c>
    </row>
    <row r="4285" hidden="1" spans="1:14">
      <c r="A4285">
        <v>3517</v>
      </c>
      <c r="B4285">
        <v>0</v>
      </c>
      <c r="C4285" t="s">
        <v>214</v>
      </c>
      <c r="D4285">
        <v>0</v>
      </c>
      <c r="E4285">
        <v>38.1099</v>
      </c>
      <c r="F4285">
        <v>40.6971</v>
      </c>
      <c r="G4285">
        <v>9640.54</v>
      </c>
      <c r="H4285" s="1">
        <v>40022</v>
      </c>
      <c r="I4285" s="1">
        <v>40023</v>
      </c>
      <c r="J4285">
        <v>0</v>
      </c>
      <c r="K4285">
        <v>0</v>
      </c>
      <c r="L4285">
        <v>0</v>
      </c>
      <c r="M4285" t="s">
        <v>52</v>
      </c>
      <c r="N4285">
        <v>1</v>
      </c>
    </row>
    <row r="4286" hidden="1" spans="1:14">
      <c r="A4286">
        <v>3536</v>
      </c>
      <c r="B4286">
        <v>0</v>
      </c>
      <c r="C4286" t="s">
        <v>214</v>
      </c>
      <c r="D4286">
        <v>0</v>
      </c>
      <c r="E4286">
        <v>28.9505</v>
      </c>
      <c r="F4286">
        <v>41.09</v>
      </c>
      <c r="G4286">
        <v>3687.1</v>
      </c>
      <c r="H4286" s="1">
        <v>40063</v>
      </c>
      <c r="I4286" s="1">
        <v>40066</v>
      </c>
      <c r="J4286">
        <v>0</v>
      </c>
      <c r="K4286">
        <v>31</v>
      </c>
      <c r="L4286">
        <v>0</v>
      </c>
      <c r="M4286" t="s">
        <v>52</v>
      </c>
      <c r="N4286">
        <v>2</v>
      </c>
    </row>
    <row r="4287" hidden="1" spans="1:14">
      <c r="A4287">
        <v>3575</v>
      </c>
      <c r="B4287">
        <v>0</v>
      </c>
      <c r="C4287" t="s">
        <v>214</v>
      </c>
      <c r="D4287">
        <v>0</v>
      </c>
      <c r="E4287">
        <v>40.0139</v>
      </c>
      <c r="F4287">
        <v>40.8337</v>
      </c>
      <c r="G4287">
        <v>15625.3</v>
      </c>
      <c r="H4287" s="1">
        <v>40138</v>
      </c>
      <c r="I4287" s="1">
        <v>40139</v>
      </c>
      <c r="J4287">
        <v>0</v>
      </c>
      <c r="K4287">
        <v>4</v>
      </c>
      <c r="L4287">
        <v>0</v>
      </c>
      <c r="M4287" t="s">
        <v>52</v>
      </c>
      <c r="N4287">
        <v>1</v>
      </c>
    </row>
    <row r="4288" hidden="1" spans="1:14">
      <c r="A4288">
        <v>3870</v>
      </c>
      <c r="C4288" t="s">
        <v>214</v>
      </c>
      <c r="E4288">
        <v>27.9719</v>
      </c>
      <c r="F4288">
        <v>39.1045</v>
      </c>
      <c r="G4288">
        <v>32113.08</v>
      </c>
      <c r="H4288" s="1">
        <v>40824</v>
      </c>
      <c r="I4288" s="1">
        <v>40826</v>
      </c>
      <c r="J4288" t="s">
        <v>15</v>
      </c>
      <c r="K4288">
        <v>3</v>
      </c>
      <c r="L4288">
        <v>0</v>
      </c>
      <c r="M4288" t="s">
        <v>52</v>
      </c>
      <c r="N4288">
        <v>1</v>
      </c>
    </row>
    <row r="4289" hidden="1" spans="1:14">
      <c r="A4289">
        <v>3944</v>
      </c>
      <c r="C4289" t="s">
        <v>214</v>
      </c>
      <c r="E4289">
        <v>36.7667</v>
      </c>
      <c r="F4289">
        <v>41.0185</v>
      </c>
      <c r="G4289">
        <v>6084.92</v>
      </c>
      <c r="H4289" s="1">
        <v>41093</v>
      </c>
      <c r="I4289" s="1">
        <v>41099</v>
      </c>
      <c r="J4289" t="s">
        <v>15</v>
      </c>
      <c r="K4289">
        <v>10</v>
      </c>
      <c r="L4289">
        <v>0</v>
      </c>
      <c r="M4289" t="s">
        <v>52</v>
      </c>
      <c r="N4289">
        <v>1.5</v>
      </c>
    </row>
    <row r="4290" hidden="1" spans="1:14">
      <c r="A4290">
        <v>4006</v>
      </c>
      <c r="C4290" t="s">
        <v>214</v>
      </c>
      <c r="E4290">
        <v>28.7097</v>
      </c>
      <c r="F4290">
        <v>39.5093</v>
      </c>
      <c r="G4290">
        <v>15306.67</v>
      </c>
      <c r="H4290" s="1">
        <v>41245</v>
      </c>
      <c r="I4290" s="1">
        <v>41247</v>
      </c>
      <c r="J4290" t="s">
        <v>15</v>
      </c>
      <c r="K4290">
        <v>1</v>
      </c>
      <c r="L4290">
        <v>0</v>
      </c>
      <c r="M4290" t="s">
        <v>52</v>
      </c>
      <c r="N4290">
        <v>1</v>
      </c>
    </row>
    <row r="4291" hidden="1" spans="1:14">
      <c r="A4291">
        <v>4430</v>
      </c>
      <c r="C4291" t="s">
        <v>214</v>
      </c>
      <c r="E4291">
        <v>34.2182</v>
      </c>
      <c r="F4291">
        <v>38.4787</v>
      </c>
      <c r="G4291">
        <v>99220.22</v>
      </c>
      <c r="H4291" s="1">
        <v>42732</v>
      </c>
      <c r="I4291" s="1">
        <v>42740</v>
      </c>
      <c r="J4291" t="s">
        <v>15</v>
      </c>
      <c r="K4291">
        <v>2</v>
      </c>
      <c r="L4291">
        <v>0</v>
      </c>
      <c r="M4291" t="s">
        <v>49</v>
      </c>
      <c r="N4291">
        <v>1</v>
      </c>
    </row>
    <row r="4292" hidden="1" spans="1:14">
      <c r="A4292">
        <v>4616</v>
      </c>
      <c r="C4292" t="s">
        <v>214</v>
      </c>
      <c r="E4292">
        <v>35.1337</v>
      </c>
      <c r="F4292">
        <v>40.1393</v>
      </c>
      <c r="G4292">
        <v>81516.35</v>
      </c>
      <c r="H4292" s="1">
        <v>43226</v>
      </c>
      <c r="I4292" s="1">
        <v>43242</v>
      </c>
      <c r="J4292" t="s">
        <v>15</v>
      </c>
      <c r="K4292">
        <v>0</v>
      </c>
      <c r="L4292">
        <v>0</v>
      </c>
      <c r="M4292" t="s">
        <v>49</v>
      </c>
      <c r="N4292">
        <v>1.5</v>
      </c>
    </row>
    <row r="4293" hidden="1" spans="1:14">
      <c r="A4293">
        <v>4664</v>
      </c>
      <c r="C4293" t="s">
        <v>214</v>
      </c>
      <c r="E4293">
        <v>40.5211</v>
      </c>
      <c r="F4293">
        <v>40.9307</v>
      </c>
      <c r="G4293">
        <v>23112.35</v>
      </c>
      <c r="H4293" s="1">
        <v>43319</v>
      </c>
      <c r="I4293" s="1">
        <v>43322</v>
      </c>
      <c r="J4293" t="s">
        <v>56</v>
      </c>
      <c r="K4293">
        <v>0</v>
      </c>
      <c r="L4293">
        <v>300</v>
      </c>
      <c r="M4293" t="s">
        <v>49</v>
      </c>
      <c r="N4293">
        <v>1.5</v>
      </c>
    </row>
    <row r="4294" hidden="1" spans="1:14">
      <c r="A4294">
        <v>4764</v>
      </c>
      <c r="C4294" t="s">
        <v>214</v>
      </c>
      <c r="E4294">
        <v>41.0474</v>
      </c>
      <c r="F4294">
        <v>40.7062</v>
      </c>
      <c r="G4294">
        <v>12361.41</v>
      </c>
      <c r="H4294" s="1">
        <v>43634</v>
      </c>
      <c r="I4294" s="1">
        <v>43636</v>
      </c>
      <c r="J4294" t="s">
        <v>56</v>
      </c>
      <c r="K4294">
        <v>3</v>
      </c>
      <c r="L4294">
        <v>0</v>
      </c>
      <c r="M4294" t="s">
        <v>52</v>
      </c>
      <c r="N4294">
        <v>1.5</v>
      </c>
    </row>
    <row r="4295" hidden="1" spans="1:14">
      <c r="A4295">
        <v>4837</v>
      </c>
      <c r="C4295" t="s">
        <v>214</v>
      </c>
      <c r="E4295">
        <v>32.5109</v>
      </c>
      <c r="F4295">
        <v>36.8055</v>
      </c>
      <c r="G4295">
        <v>22878.53</v>
      </c>
      <c r="H4295" s="1">
        <v>43834</v>
      </c>
      <c r="I4295" s="1">
        <v>43839</v>
      </c>
      <c r="J4295" t="s">
        <v>56</v>
      </c>
      <c r="K4295">
        <v>2</v>
      </c>
      <c r="L4295">
        <v>0</v>
      </c>
      <c r="M4295" t="s">
        <v>52</v>
      </c>
      <c r="N4295">
        <v>1</v>
      </c>
    </row>
    <row r="4296" hidden="1" spans="1:14">
      <c r="A4296">
        <v>4933</v>
      </c>
      <c r="C4296" t="s">
        <v>214</v>
      </c>
      <c r="E4296">
        <v>29.455</v>
      </c>
      <c r="F4296">
        <v>40.9477</v>
      </c>
      <c r="G4296">
        <v>2780.13</v>
      </c>
      <c r="H4296" s="1">
        <v>44005</v>
      </c>
      <c r="I4296" s="1">
        <v>44007</v>
      </c>
      <c r="J4296" t="s">
        <v>58</v>
      </c>
      <c r="K4296">
        <v>1</v>
      </c>
      <c r="L4296">
        <v>0</v>
      </c>
      <c r="M4296" t="s">
        <v>52</v>
      </c>
      <c r="N4296">
        <v>1</v>
      </c>
    </row>
    <row r="4297" hidden="1" spans="1:14">
      <c r="A4297">
        <v>4994</v>
      </c>
      <c r="C4297" t="s">
        <v>214</v>
      </c>
      <c r="E4297">
        <v>27.6117</v>
      </c>
      <c r="F4297">
        <v>38.5808</v>
      </c>
      <c r="G4297">
        <v>17794.4</v>
      </c>
      <c r="H4297" s="1">
        <v>44178</v>
      </c>
      <c r="I4297" s="1">
        <v>44180</v>
      </c>
      <c r="J4297" t="s">
        <v>56</v>
      </c>
      <c r="K4297">
        <v>2</v>
      </c>
      <c r="L4297">
        <v>0</v>
      </c>
      <c r="M4297" t="s">
        <v>52</v>
      </c>
      <c r="N4297">
        <v>1</v>
      </c>
    </row>
    <row r="4298" hidden="1" spans="1:14">
      <c r="A4298">
        <v>5113</v>
      </c>
      <c r="C4298" t="s">
        <v>214</v>
      </c>
      <c r="E4298">
        <v>30.9768</v>
      </c>
      <c r="F4298">
        <v>41.0954</v>
      </c>
      <c r="G4298">
        <v>22929.74</v>
      </c>
      <c r="H4298" s="1">
        <v>44419</v>
      </c>
      <c r="I4298" s="1">
        <v>44425</v>
      </c>
      <c r="J4298" t="s">
        <v>56</v>
      </c>
      <c r="K4298">
        <v>59</v>
      </c>
      <c r="L4298">
        <v>2500</v>
      </c>
      <c r="M4298" t="s">
        <v>52</v>
      </c>
      <c r="N4298">
        <v>2</v>
      </c>
    </row>
    <row r="4299" hidden="1" spans="1:14">
      <c r="A4299">
        <v>174</v>
      </c>
      <c r="B4299">
        <v>0</v>
      </c>
      <c r="C4299" t="s">
        <v>1027</v>
      </c>
      <c r="D4299">
        <v>0</v>
      </c>
      <c r="E4299">
        <v>42.6368</v>
      </c>
      <c r="F4299">
        <v>37.441</v>
      </c>
      <c r="G4299">
        <v>1390.79</v>
      </c>
      <c r="H4299" s="1">
        <v>32247</v>
      </c>
      <c r="I4299" s="1">
        <v>32248</v>
      </c>
      <c r="J4299" t="s">
        <v>15</v>
      </c>
      <c r="K4299">
        <v>8</v>
      </c>
      <c r="L4299">
        <v>5000</v>
      </c>
      <c r="M4299" t="s">
        <v>64</v>
      </c>
      <c r="N4299">
        <v>1</v>
      </c>
    </row>
    <row r="4300" hidden="1" spans="1:14">
      <c r="A4300">
        <v>1702</v>
      </c>
      <c r="B4300">
        <v>0</v>
      </c>
      <c r="C4300" t="s">
        <v>1027</v>
      </c>
      <c r="D4300">
        <v>0</v>
      </c>
      <c r="E4300">
        <v>38.9544</v>
      </c>
      <c r="F4300">
        <v>37.5543</v>
      </c>
      <c r="G4300">
        <v>4916.89</v>
      </c>
      <c r="H4300" s="1">
        <v>36958</v>
      </c>
      <c r="I4300" s="1">
        <v>36958</v>
      </c>
      <c r="J4300" t="s">
        <v>15</v>
      </c>
      <c r="K4300">
        <v>4</v>
      </c>
      <c r="L4300">
        <v>600</v>
      </c>
      <c r="M4300" t="s">
        <v>16</v>
      </c>
      <c r="N4300">
        <v>1</v>
      </c>
    </row>
    <row r="4301" hidden="1" spans="1:14">
      <c r="A4301">
        <v>1831</v>
      </c>
      <c r="B4301">
        <v>0</v>
      </c>
      <c r="C4301" t="s">
        <v>1027</v>
      </c>
      <c r="D4301">
        <v>0</v>
      </c>
      <c r="E4301">
        <v>35.3204</v>
      </c>
      <c r="F4301">
        <v>36.7277</v>
      </c>
      <c r="G4301">
        <v>14875.04</v>
      </c>
      <c r="H4301" s="1">
        <v>37227</v>
      </c>
      <c r="I4301" s="1">
        <v>37234</v>
      </c>
      <c r="J4301" t="s">
        <v>15</v>
      </c>
      <c r="K4301">
        <v>5</v>
      </c>
      <c r="L4301">
        <v>570</v>
      </c>
      <c r="M4301" t="s">
        <v>16</v>
      </c>
      <c r="N4301">
        <v>1</v>
      </c>
    </row>
    <row r="4302" hidden="1" spans="1:14">
      <c r="A4302">
        <v>1849</v>
      </c>
      <c r="B4302">
        <v>0</v>
      </c>
      <c r="C4302" t="s">
        <v>1027</v>
      </c>
      <c r="D4302">
        <v>0</v>
      </c>
      <c r="E4302">
        <v>27.4119</v>
      </c>
      <c r="F4302">
        <v>41.1084</v>
      </c>
      <c r="G4302">
        <v>6714.07</v>
      </c>
      <c r="H4302" s="1">
        <v>37250</v>
      </c>
      <c r="I4302" s="1">
        <v>37251</v>
      </c>
      <c r="J4302" t="s">
        <v>15</v>
      </c>
      <c r="K4302">
        <v>1</v>
      </c>
      <c r="L4302">
        <v>0</v>
      </c>
      <c r="M4302" t="s">
        <v>16</v>
      </c>
      <c r="N4302">
        <v>1</v>
      </c>
    </row>
    <row r="4303" hidden="1" spans="1:14">
      <c r="A4303">
        <v>270</v>
      </c>
      <c r="B4303">
        <v>0</v>
      </c>
      <c r="C4303" t="s">
        <v>596</v>
      </c>
      <c r="D4303">
        <v>0</v>
      </c>
      <c r="E4303">
        <v>30.2586</v>
      </c>
      <c r="F4303">
        <v>0.179812</v>
      </c>
      <c r="G4303">
        <v>14344.36</v>
      </c>
      <c r="H4303" s="1">
        <v>32470</v>
      </c>
      <c r="I4303" s="1">
        <v>32484</v>
      </c>
      <c r="J4303" t="s">
        <v>15</v>
      </c>
      <c r="K4303">
        <v>0</v>
      </c>
      <c r="L4303">
        <v>5000</v>
      </c>
      <c r="M4303" t="s">
        <v>64</v>
      </c>
      <c r="N4303">
        <v>1</v>
      </c>
    </row>
    <row r="4304" hidden="1" spans="1:14">
      <c r="A4304">
        <v>843</v>
      </c>
      <c r="B4304">
        <v>0</v>
      </c>
      <c r="C4304" t="s">
        <v>596</v>
      </c>
      <c r="D4304">
        <v>0</v>
      </c>
      <c r="E4304">
        <v>30.1332</v>
      </c>
      <c r="F4304">
        <v>0.277229</v>
      </c>
      <c r="G4304">
        <v>9570.23</v>
      </c>
      <c r="H4304" s="1">
        <v>34454</v>
      </c>
      <c r="I4304" s="1">
        <v>34456</v>
      </c>
      <c r="J4304" t="s">
        <v>15</v>
      </c>
      <c r="K4304">
        <v>11</v>
      </c>
      <c r="L4304">
        <v>0</v>
      </c>
      <c r="M4304" t="s">
        <v>16</v>
      </c>
      <c r="N4304">
        <v>1</v>
      </c>
    </row>
    <row r="4305" hidden="1" spans="1:14">
      <c r="A4305">
        <v>1286</v>
      </c>
      <c r="B4305">
        <v>0</v>
      </c>
      <c r="C4305" t="s">
        <v>596</v>
      </c>
      <c r="D4305">
        <v>0</v>
      </c>
      <c r="E4305">
        <v>34.1226</v>
      </c>
      <c r="F4305">
        <v>1.18459</v>
      </c>
      <c r="G4305">
        <v>20737.67</v>
      </c>
      <c r="H4305" s="1">
        <v>35748</v>
      </c>
      <c r="I4305" s="1">
        <v>35762</v>
      </c>
      <c r="J4305" t="s">
        <v>15</v>
      </c>
      <c r="K4305">
        <v>35</v>
      </c>
      <c r="L4305">
        <v>20000</v>
      </c>
      <c r="M4305" t="s">
        <v>16</v>
      </c>
      <c r="N4305">
        <v>1</v>
      </c>
    </row>
    <row r="4306" hidden="1" spans="1:14">
      <c r="A4306">
        <v>1418</v>
      </c>
      <c r="B4306">
        <v>0</v>
      </c>
      <c r="C4306" t="s">
        <v>596</v>
      </c>
      <c r="D4306">
        <v>0</v>
      </c>
      <c r="E4306">
        <v>32.7263</v>
      </c>
      <c r="F4306">
        <v>0.648437</v>
      </c>
      <c r="G4306">
        <v>3408.41</v>
      </c>
      <c r="H4306" s="1">
        <v>35996</v>
      </c>
      <c r="I4306" s="1">
        <v>36000</v>
      </c>
      <c r="J4306" t="s">
        <v>15</v>
      </c>
      <c r="K4306">
        <v>0</v>
      </c>
      <c r="L4306">
        <v>20000</v>
      </c>
      <c r="M4306" t="s">
        <v>16</v>
      </c>
      <c r="N4306">
        <v>1</v>
      </c>
    </row>
    <row r="4307" hidden="1" spans="1:14">
      <c r="A4307">
        <v>1826</v>
      </c>
      <c r="B4307">
        <v>0</v>
      </c>
      <c r="C4307" t="s">
        <v>596</v>
      </c>
      <c r="D4307">
        <v>0</v>
      </c>
      <c r="E4307">
        <v>31.7964</v>
      </c>
      <c r="F4307">
        <v>-0.145811</v>
      </c>
      <c r="G4307">
        <v>1218.62</v>
      </c>
      <c r="H4307" s="1">
        <v>37210</v>
      </c>
      <c r="I4307" s="1">
        <v>37211</v>
      </c>
      <c r="J4307" t="s">
        <v>15</v>
      </c>
      <c r="K4307">
        <v>0</v>
      </c>
      <c r="L4307">
        <v>1200</v>
      </c>
      <c r="M4307" t="s">
        <v>16</v>
      </c>
      <c r="N4307">
        <v>1</v>
      </c>
    </row>
    <row r="4308" hidden="1" spans="1:14">
      <c r="A4308">
        <v>2092</v>
      </c>
      <c r="B4308">
        <v>0</v>
      </c>
      <c r="C4308" t="s">
        <v>596</v>
      </c>
      <c r="D4308" t="s">
        <v>595</v>
      </c>
      <c r="E4308">
        <v>34.0375</v>
      </c>
      <c r="F4308">
        <v>0.949211</v>
      </c>
      <c r="G4308">
        <v>15002.61</v>
      </c>
      <c r="H4308" s="1">
        <v>37576</v>
      </c>
      <c r="I4308" s="1">
        <v>37585</v>
      </c>
      <c r="J4308" t="s">
        <v>15</v>
      </c>
      <c r="K4308">
        <v>2</v>
      </c>
      <c r="L4308">
        <v>2300</v>
      </c>
      <c r="M4308" t="s">
        <v>16</v>
      </c>
      <c r="N4308">
        <v>1</v>
      </c>
    </row>
    <row r="4309" hidden="1" spans="1:14">
      <c r="A4309">
        <v>2270</v>
      </c>
      <c r="B4309">
        <v>0</v>
      </c>
      <c r="C4309" t="s">
        <v>596</v>
      </c>
      <c r="D4309">
        <v>0</v>
      </c>
      <c r="E4309">
        <v>34.1376</v>
      </c>
      <c r="F4309">
        <v>0.93959</v>
      </c>
      <c r="G4309">
        <v>962.615</v>
      </c>
      <c r="H4309" s="1">
        <v>37803</v>
      </c>
      <c r="I4309" s="1">
        <v>37805</v>
      </c>
      <c r="J4309" t="s">
        <v>15</v>
      </c>
      <c r="K4309">
        <v>20</v>
      </c>
      <c r="L4309">
        <v>700</v>
      </c>
      <c r="M4309" t="s">
        <v>16</v>
      </c>
      <c r="N4309">
        <v>1</v>
      </c>
    </row>
    <row r="4310" hidden="1" spans="1:14">
      <c r="A4310">
        <v>2573</v>
      </c>
      <c r="B4310">
        <v>0</v>
      </c>
      <c r="C4310" t="s">
        <v>596</v>
      </c>
      <c r="D4310">
        <v>0</v>
      </c>
      <c r="E4310">
        <v>30.15</v>
      </c>
      <c r="F4310">
        <v>0.312954</v>
      </c>
      <c r="G4310">
        <v>1127.99</v>
      </c>
      <c r="H4310" s="1">
        <v>38278</v>
      </c>
      <c r="I4310" s="1">
        <v>38280</v>
      </c>
      <c r="J4310" t="s">
        <v>15</v>
      </c>
      <c r="K4310">
        <v>0</v>
      </c>
      <c r="L4310">
        <v>1500</v>
      </c>
      <c r="M4310" t="s">
        <v>16</v>
      </c>
      <c r="N4310">
        <v>1</v>
      </c>
    </row>
    <row r="4311" hidden="1" spans="1:14">
      <c r="A4311">
        <v>2583</v>
      </c>
      <c r="B4311">
        <v>0</v>
      </c>
      <c r="C4311" t="s">
        <v>596</v>
      </c>
      <c r="D4311">
        <v>0</v>
      </c>
      <c r="E4311">
        <v>31.4996</v>
      </c>
      <c r="F4311">
        <v>2.46938</v>
      </c>
      <c r="G4311">
        <v>299.295</v>
      </c>
      <c r="H4311" s="1">
        <v>38299</v>
      </c>
      <c r="I4311" s="1">
        <v>38301</v>
      </c>
      <c r="J4311" t="s">
        <v>15</v>
      </c>
      <c r="K4311">
        <v>0</v>
      </c>
      <c r="L4311">
        <v>10000</v>
      </c>
      <c r="M4311" t="s">
        <v>16</v>
      </c>
      <c r="N4311">
        <v>1</v>
      </c>
    </row>
    <row r="4312" hidden="1" spans="1:14">
      <c r="A4312">
        <v>2952</v>
      </c>
      <c r="B4312" t="s">
        <v>1028</v>
      </c>
      <c r="C4312" t="s">
        <v>596</v>
      </c>
      <c r="D4312">
        <v>0</v>
      </c>
      <c r="E4312">
        <v>34.2758</v>
      </c>
      <c r="F4312">
        <v>1.38446</v>
      </c>
      <c r="G4312">
        <v>4902.34</v>
      </c>
      <c r="H4312" s="1">
        <v>38941</v>
      </c>
      <c r="I4312" s="1">
        <v>38950</v>
      </c>
      <c r="J4312" t="s">
        <v>15</v>
      </c>
      <c r="K4312">
        <v>3</v>
      </c>
      <c r="L4312">
        <v>1680</v>
      </c>
      <c r="M4312" t="s">
        <v>16</v>
      </c>
      <c r="N4312">
        <v>1</v>
      </c>
    </row>
    <row r="4313" hidden="1" spans="1:14">
      <c r="A4313">
        <v>3170</v>
      </c>
      <c r="B4313" t="s">
        <v>1029</v>
      </c>
      <c r="C4313" t="s">
        <v>596</v>
      </c>
      <c r="E4313">
        <v>34.2759</v>
      </c>
      <c r="F4313">
        <v>0.88127</v>
      </c>
      <c r="G4313">
        <v>107797.14</v>
      </c>
      <c r="H4313" s="1">
        <v>39309</v>
      </c>
      <c r="I4313" s="1">
        <v>39386</v>
      </c>
      <c r="J4313" t="s">
        <v>15</v>
      </c>
      <c r="K4313">
        <v>52</v>
      </c>
      <c r="L4313">
        <v>520000</v>
      </c>
      <c r="M4313" t="s">
        <v>16</v>
      </c>
      <c r="N4313">
        <v>1.5</v>
      </c>
    </row>
    <row r="4314" hidden="1" spans="1:14">
      <c r="A4314">
        <v>3227</v>
      </c>
      <c r="B4314">
        <v>0</v>
      </c>
      <c r="C4314" t="s">
        <v>596</v>
      </c>
      <c r="D4314">
        <v>0</v>
      </c>
      <c r="E4314">
        <v>32.5857</v>
      </c>
      <c r="F4314">
        <v>0.354526</v>
      </c>
      <c r="G4314">
        <v>552.247</v>
      </c>
      <c r="H4314" s="1">
        <v>39401</v>
      </c>
      <c r="I4314" s="1">
        <v>39404</v>
      </c>
      <c r="J4314" t="s">
        <v>15</v>
      </c>
      <c r="K4314">
        <v>4</v>
      </c>
      <c r="L4314">
        <v>3000</v>
      </c>
      <c r="M4314" t="s">
        <v>16</v>
      </c>
      <c r="N4314">
        <v>1</v>
      </c>
    </row>
    <row r="4315" hidden="1" spans="1:14">
      <c r="A4315">
        <v>3620</v>
      </c>
      <c r="B4315">
        <v>0</v>
      </c>
      <c r="C4315" t="s">
        <v>596</v>
      </c>
      <c r="D4315">
        <v>0</v>
      </c>
      <c r="E4315">
        <v>31.0638</v>
      </c>
      <c r="F4315">
        <v>1.13485</v>
      </c>
      <c r="G4315">
        <v>75196.57</v>
      </c>
      <c r="H4315" s="1">
        <v>40244</v>
      </c>
      <c r="I4315" s="1">
        <v>40249</v>
      </c>
      <c r="J4315">
        <v>0</v>
      </c>
      <c r="K4315">
        <v>0</v>
      </c>
      <c r="L4315">
        <v>20000</v>
      </c>
      <c r="M4315" t="s">
        <v>49</v>
      </c>
      <c r="N4315">
        <v>1</v>
      </c>
    </row>
    <row r="4316" hidden="1" spans="1:14">
      <c r="A4316">
        <v>3724</v>
      </c>
      <c r="B4316">
        <v>0</v>
      </c>
      <c r="C4316" t="s">
        <v>596</v>
      </c>
      <c r="D4316">
        <v>0</v>
      </c>
      <c r="E4316">
        <v>32.715</v>
      </c>
      <c r="F4316">
        <v>1.305</v>
      </c>
      <c r="G4316">
        <v>3303.97</v>
      </c>
      <c r="H4316" s="1">
        <v>40447</v>
      </c>
      <c r="I4316" s="1">
        <v>40451</v>
      </c>
      <c r="J4316" t="s">
        <v>15</v>
      </c>
      <c r="K4316">
        <v>0</v>
      </c>
      <c r="L4316">
        <v>600</v>
      </c>
      <c r="M4316" t="s">
        <v>49</v>
      </c>
      <c r="N4316">
        <v>1.5</v>
      </c>
    </row>
    <row r="4317" hidden="1" spans="1:14">
      <c r="A4317">
        <v>3863</v>
      </c>
      <c r="C4317" t="s">
        <v>596</v>
      </c>
      <c r="D4317" t="s">
        <v>595</v>
      </c>
      <c r="E4317">
        <v>33.6678</v>
      </c>
      <c r="F4317">
        <v>1.66044</v>
      </c>
      <c r="G4317">
        <v>37846.35</v>
      </c>
      <c r="H4317" s="1">
        <v>40775</v>
      </c>
      <c r="I4317" s="1">
        <v>40794</v>
      </c>
      <c r="J4317" t="s">
        <v>15</v>
      </c>
      <c r="K4317">
        <v>31</v>
      </c>
      <c r="L4317">
        <v>0</v>
      </c>
      <c r="M4317" t="s">
        <v>49</v>
      </c>
      <c r="N4317">
        <v>1.5</v>
      </c>
    </row>
    <row r="4318" hidden="1" spans="1:14">
      <c r="A4318">
        <v>3875</v>
      </c>
      <c r="C4318" t="s">
        <v>596</v>
      </c>
      <c r="E4318">
        <v>34.3836</v>
      </c>
      <c r="F4318">
        <v>2.57031</v>
      </c>
      <c r="G4318">
        <v>22324.63</v>
      </c>
      <c r="H4318" s="1">
        <v>40856</v>
      </c>
      <c r="I4318" s="1">
        <v>40897</v>
      </c>
      <c r="J4318" t="s">
        <v>15</v>
      </c>
      <c r="K4318">
        <v>0</v>
      </c>
      <c r="L4318">
        <v>15000</v>
      </c>
      <c r="M4318" t="s">
        <v>52</v>
      </c>
      <c r="N4318">
        <v>1.5</v>
      </c>
    </row>
    <row r="4319" hidden="1" spans="1:14">
      <c r="A4319">
        <v>3930</v>
      </c>
      <c r="C4319" t="s">
        <v>596</v>
      </c>
      <c r="E4319">
        <v>33.3224</v>
      </c>
      <c r="F4319">
        <v>1.00099</v>
      </c>
      <c r="G4319">
        <v>43315.84</v>
      </c>
      <c r="H4319" s="1">
        <v>41049</v>
      </c>
      <c r="I4319" s="1">
        <v>41058</v>
      </c>
      <c r="J4319" t="s">
        <v>15</v>
      </c>
      <c r="K4319">
        <v>0</v>
      </c>
      <c r="L4319">
        <v>3000</v>
      </c>
      <c r="M4319" t="s">
        <v>49</v>
      </c>
      <c r="N4319">
        <v>1</v>
      </c>
    </row>
    <row r="4320" hidden="1" spans="1:14">
      <c r="A4320">
        <v>3980</v>
      </c>
      <c r="C4320" t="s">
        <v>596</v>
      </c>
      <c r="E4320">
        <v>32.726</v>
      </c>
      <c r="F4320">
        <v>2.65647</v>
      </c>
      <c r="G4320">
        <v>57981.45</v>
      </c>
      <c r="H4320" s="1">
        <v>41141</v>
      </c>
      <c r="I4320" s="1">
        <v>41159</v>
      </c>
      <c r="J4320" t="s">
        <v>15</v>
      </c>
      <c r="K4320">
        <v>0</v>
      </c>
      <c r="L4320">
        <v>15000</v>
      </c>
      <c r="M4320" t="s">
        <v>49</v>
      </c>
      <c r="N4320">
        <v>1</v>
      </c>
    </row>
    <row r="4321" hidden="1" spans="1:14">
      <c r="A4321">
        <v>4512</v>
      </c>
      <c r="C4321" t="s">
        <v>596</v>
      </c>
      <c r="E4321">
        <v>33.0057</v>
      </c>
      <c r="F4321">
        <v>2.72692</v>
      </c>
      <c r="G4321">
        <v>59267.62</v>
      </c>
      <c r="H4321" s="1">
        <v>42971</v>
      </c>
      <c r="I4321" s="1">
        <v>42973</v>
      </c>
      <c r="J4321" t="s">
        <v>15</v>
      </c>
      <c r="K4321">
        <v>0</v>
      </c>
      <c r="L4321">
        <v>2000</v>
      </c>
      <c r="M4321" t="s">
        <v>49</v>
      </c>
      <c r="N4321">
        <v>1</v>
      </c>
    </row>
    <row r="4322" hidden="1" spans="1:14">
      <c r="A4322">
        <v>4623</v>
      </c>
      <c r="C4322" t="s">
        <v>596</v>
      </c>
      <c r="E4322">
        <v>34.0697</v>
      </c>
      <c r="F4322">
        <v>1.36283</v>
      </c>
      <c r="G4322">
        <v>10889.53</v>
      </c>
      <c r="H4322" s="1">
        <v>43242</v>
      </c>
      <c r="I4322" s="1">
        <v>43247</v>
      </c>
      <c r="J4322" t="s">
        <v>56</v>
      </c>
      <c r="K4322">
        <v>0</v>
      </c>
      <c r="L4322">
        <v>600</v>
      </c>
      <c r="M4322" t="s">
        <v>49</v>
      </c>
      <c r="N4322">
        <v>1</v>
      </c>
    </row>
    <row r="4323" hidden="1" spans="1:14">
      <c r="A4323">
        <v>4685</v>
      </c>
      <c r="C4323" t="s">
        <v>596</v>
      </c>
      <c r="E4323">
        <v>34.1934</v>
      </c>
      <c r="F4323">
        <v>1.63561</v>
      </c>
      <c r="G4323">
        <v>25613.41</v>
      </c>
      <c r="H4323" s="1">
        <v>43384</v>
      </c>
      <c r="I4323" s="1">
        <v>43385</v>
      </c>
      <c r="J4323" t="s">
        <v>58</v>
      </c>
      <c r="K4323">
        <v>34</v>
      </c>
      <c r="L4323">
        <v>0</v>
      </c>
      <c r="M4323" t="s">
        <v>52</v>
      </c>
      <c r="N4323">
        <v>1</v>
      </c>
    </row>
    <row r="4324" hidden="1" spans="1:14">
      <c r="A4324">
        <v>4829</v>
      </c>
      <c r="C4324" t="s">
        <v>596</v>
      </c>
      <c r="E4324">
        <v>33.3521</v>
      </c>
      <c r="F4324">
        <v>2.39222</v>
      </c>
      <c r="G4324">
        <v>78161.92</v>
      </c>
      <c r="H4324" s="1">
        <v>43784</v>
      </c>
      <c r="I4324" s="1">
        <v>43805</v>
      </c>
      <c r="J4324" t="s">
        <v>56</v>
      </c>
      <c r="K4324">
        <v>4</v>
      </c>
      <c r="L4324">
        <v>1000</v>
      </c>
      <c r="M4324" t="s">
        <v>49</v>
      </c>
      <c r="N4324">
        <v>1.5</v>
      </c>
    </row>
    <row r="4325" hidden="1" spans="1:14">
      <c r="A4325">
        <v>4847</v>
      </c>
      <c r="C4325" t="s">
        <v>596</v>
      </c>
      <c r="E4325">
        <v>32.8573</v>
      </c>
      <c r="F4325">
        <v>2.14484</v>
      </c>
      <c r="G4325">
        <v>93390.88</v>
      </c>
      <c r="H4325" s="1">
        <v>43812</v>
      </c>
      <c r="I4325" s="1">
        <v>43819</v>
      </c>
      <c r="J4325" t="s">
        <v>56</v>
      </c>
      <c r="K4325">
        <v>7</v>
      </c>
      <c r="L4325">
        <v>300</v>
      </c>
      <c r="M4325" t="s">
        <v>49</v>
      </c>
      <c r="N4325">
        <v>1.5</v>
      </c>
    </row>
    <row r="4326" hidden="1" spans="1:14">
      <c r="A4326">
        <v>4852</v>
      </c>
      <c r="C4326" t="s">
        <v>596</v>
      </c>
      <c r="E4326">
        <v>31.5459</v>
      </c>
      <c r="F4326">
        <v>1.93421</v>
      </c>
      <c r="G4326">
        <v>50519.47</v>
      </c>
      <c r="H4326" s="1">
        <v>43803</v>
      </c>
      <c r="I4326" s="1">
        <v>43806</v>
      </c>
      <c r="J4326" t="s">
        <v>56</v>
      </c>
      <c r="K4326">
        <v>16</v>
      </c>
      <c r="L4326">
        <v>150</v>
      </c>
      <c r="M4326" t="s">
        <v>52</v>
      </c>
      <c r="N4326">
        <v>1.5</v>
      </c>
    </row>
    <row r="4327" hidden="1" spans="1:14">
      <c r="A4327">
        <v>4925</v>
      </c>
      <c r="C4327" t="s">
        <v>596</v>
      </c>
      <c r="E4327">
        <v>31.0263</v>
      </c>
      <c r="F4327">
        <v>0.013018</v>
      </c>
      <c r="G4327">
        <v>47454.12</v>
      </c>
      <c r="H4327" s="1">
        <v>43972</v>
      </c>
      <c r="I4327" s="1">
        <v>43976</v>
      </c>
      <c r="J4327" t="s">
        <v>58</v>
      </c>
      <c r="K4327">
        <v>8</v>
      </c>
      <c r="L4327">
        <v>300</v>
      </c>
      <c r="M4327" t="s">
        <v>52</v>
      </c>
      <c r="N4327">
        <v>1.5</v>
      </c>
    </row>
    <row r="4328" hidden="1" spans="1:14">
      <c r="A4328">
        <v>4957</v>
      </c>
      <c r="C4328" t="s">
        <v>596</v>
      </c>
      <c r="E4328">
        <v>30.3334</v>
      </c>
      <c r="F4328">
        <v>0.385265</v>
      </c>
      <c r="G4328">
        <v>23665.6</v>
      </c>
      <c r="H4328" s="1">
        <v>44062</v>
      </c>
      <c r="I4328" s="1">
        <v>44065</v>
      </c>
      <c r="J4328" t="s">
        <v>56</v>
      </c>
      <c r="K4328">
        <v>1</v>
      </c>
      <c r="L4328">
        <v>0</v>
      </c>
      <c r="M4328" t="s">
        <v>52</v>
      </c>
      <c r="N4328">
        <v>1</v>
      </c>
    </row>
    <row r="4329" hidden="1" spans="1:14">
      <c r="A4329">
        <v>4974</v>
      </c>
      <c r="C4329" t="s">
        <v>596</v>
      </c>
      <c r="E4329">
        <v>30.7541</v>
      </c>
      <c r="F4329">
        <v>0.943119</v>
      </c>
      <c r="G4329">
        <v>39102.48</v>
      </c>
      <c r="H4329" s="1">
        <v>44141</v>
      </c>
      <c r="I4329" s="1">
        <v>44144</v>
      </c>
      <c r="J4329" t="s">
        <v>56</v>
      </c>
      <c r="K4329">
        <v>1</v>
      </c>
      <c r="L4329">
        <v>800</v>
      </c>
      <c r="M4329" t="s">
        <v>52</v>
      </c>
      <c r="N4329">
        <v>1</v>
      </c>
    </row>
    <row r="4330" hidden="1" spans="1:14">
      <c r="A4330">
        <v>4976</v>
      </c>
      <c r="C4330" t="s">
        <v>596</v>
      </c>
      <c r="E4330">
        <v>30.6551</v>
      </c>
      <c r="F4330">
        <v>1.01748</v>
      </c>
      <c r="G4330">
        <v>17977.2</v>
      </c>
      <c r="H4330" s="1">
        <v>44094</v>
      </c>
      <c r="I4330" s="1">
        <v>44139</v>
      </c>
      <c r="J4330" t="s">
        <v>56</v>
      </c>
      <c r="K4330">
        <v>12000</v>
      </c>
      <c r="L4330">
        <v>2</v>
      </c>
      <c r="M4330" t="s">
        <v>52</v>
      </c>
      <c r="N4330">
        <v>1</v>
      </c>
    </row>
    <row r="4331" hidden="1" spans="1:14">
      <c r="A4331">
        <v>5063</v>
      </c>
      <c r="C4331" t="s">
        <v>596</v>
      </c>
      <c r="E4331">
        <v>31.6943</v>
      </c>
      <c r="F4331">
        <v>-0.272389</v>
      </c>
      <c r="G4331">
        <v>16049.97</v>
      </c>
      <c r="H4331" s="1">
        <v>44320</v>
      </c>
      <c r="I4331" s="1">
        <v>44325</v>
      </c>
      <c r="J4331" t="s">
        <v>56</v>
      </c>
      <c r="K4331">
        <v>0</v>
      </c>
      <c r="L4331">
        <v>0</v>
      </c>
      <c r="M4331" t="s">
        <v>49</v>
      </c>
      <c r="N4331">
        <v>1</v>
      </c>
    </row>
    <row r="4332" hidden="1" spans="1:14">
      <c r="A4332">
        <v>229</v>
      </c>
      <c r="B4332">
        <v>0</v>
      </c>
      <c r="C4332" t="s">
        <v>1030</v>
      </c>
      <c r="D4332">
        <v>0</v>
      </c>
      <c r="E4332">
        <v>32.9238</v>
      </c>
      <c r="F4332">
        <v>2.6893</v>
      </c>
      <c r="G4332">
        <v>55984.41</v>
      </c>
      <c r="H4332" s="1">
        <v>32366</v>
      </c>
      <c r="I4332" s="1">
        <v>32380</v>
      </c>
      <c r="J4332" t="s">
        <v>15</v>
      </c>
      <c r="K4332">
        <v>5</v>
      </c>
      <c r="L4332">
        <v>0</v>
      </c>
      <c r="M4332" t="s">
        <v>64</v>
      </c>
      <c r="N4332">
        <v>1</v>
      </c>
    </row>
    <row r="4333" hidden="1" spans="1:14">
      <c r="A4333">
        <v>1785</v>
      </c>
      <c r="B4333">
        <v>0</v>
      </c>
      <c r="C4333" t="s">
        <v>1030</v>
      </c>
      <c r="D4333">
        <v>0</v>
      </c>
      <c r="E4333">
        <v>30.0151</v>
      </c>
      <c r="F4333">
        <v>0.652639</v>
      </c>
      <c r="G4333">
        <v>15804.14</v>
      </c>
      <c r="H4333" s="1">
        <v>37123</v>
      </c>
      <c r="I4333" s="1">
        <v>37132</v>
      </c>
      <c r="J4333" t="s">
        <v>15</v>
      </c>
      <c r="K4333">
        <v>0</v>
      </c>
      <c r="L4333">
        <v>4000</v>
      </c>
      <c r="M4333" t="s">
        <v>16</v>
      </c>
      <c r="N4333">
        <v>1</v>
      </c>
    </row>
    <row r="4334" hidden="1" spans="1:14">
      <c r="A4334">
        <v>392</v>
      </c>
      <c r="B4334">
        <v>0</v>
      </c>
      <c r="C4334" t="s">
        <v>1031</v>
      </c>
      <c r="D4334">
        <v>0</v>
      </c>
      <c r="E4334">
        <v>-3.22846</v>
      </c>
      <c r="F4334">
        <v>52.8007</v>
      </c>
      <c r="G4334">
        <v>46967.96</v>
      </c>
      <c r="H4334" s="1">
        <v>32899</v>
      </c>
      <c r="I4334" s="1">
        <v>32914</v>
      </c>
      <c r="J4334" t="s">
        <v>15</v>
      </c>
      <c r="K4334">
        <v>47</v>
      </c>
      <c r="L4334">
        <v>0</v>
      </c>
      <c r="M4334" t="s">
        <v>16</v>
      </c>
      <c r="N4334">
        <v>2</v>
      </c>
    </row>
    <row r="4335" hidden="1" spans="1:14">
      <c r="A4335">
        <v>398</v>
      </c>
      <c r="B4335">
        <v>0</v>
      </c>
      <c r="C4335" t="s">
        <v>1031</v>
      </c>
      <c r="D4335">
        <v>0</v>
      </c>
      <c r="E4335">
        <v>-1.24529</v>
      </c>
      <c r="F4335">
        <v>52.257</v>
      </c>
      <c r="G4335">
        <v>118150.21</v>
      </c>
      <c r="H4335" s="1">
        <v>32930</v>
      </c>
      <c r="I4335" s="1">
        <v>32932</v>
      </c>
      <c r="J4335" t="s">
        <v>15</v>
      </c>
      <c r="K4335">
        <v>17</v>
      </c>
      <c r="L4335">
        <v>2000</v>
      </c>
      <c r="M4335" t="s">
        <v>16</v>
      </c>
      <c r="N4335">
        <v>2</v>
      </c>
    </row>
    <row r="4336" hidden="1" spans="1:14">
      <c r="A4336">
        <v>477</v>
      </c>
      <c r="B4336">
        <v>0</v>
      </c>
      <c r="C4336" t="s">
        <v>1031</v>
      </c>
      <c r="D4336">
        <v>0</v>
      </c>
      <c r="E4336">
        <v>-1.96504</v>
      </c>
      <c r="F4336">
        <v>51.9507</v>
      </c>
      <c r="G4336">
        <v>147968.82</v>
      </c>
      <c r="H4336" s="1">
        <v>33174</v>
      </c>
      <c r="I4336" s="1">
        <v>33176</v>
      </c>
      <c r="J4336" t="s">
        <v>15</v>
      </c>
      <c r="K4336">
        <v>7</v>
      </c>
      <c r="L4336">
        <v>100</v>
      </c>
      <c r="M4336" t="s">
        <v>16</v>
      </c>
      <c r="N4336">
        <v>1</v>
      </c>
    </row>
    <row r="4337" hidden="1" spans="1:14">
      <c r="A4337">
        <v>639</v>
      </c>
      <c r="B4337">
        <v>0</v>
      </c>
      <c r="C4337" t="s">
        <v>1031</v>
      </c>
      <c r="D4337">
        <v>0</v>
      </c>
      <c r="E4337">
        <v>-2.4015</v>
      </c>
      <c r="F4337">
        <v>55.3734</v>
      </c>
      <c r="G4337">
        <v>14728.76</v>
      </c>
      <c r="H4337" s="1">
        <v>33695</v>
      </c>
      <c r="I4337" s="1">
        <v>33697</v>
      </c>
      <c r="J4337" t="s">
        <v>15</v>
      </c>
      <c r="K4337">
        <v>0</v>
      </c>
      <c r="L4337">
        <v>100</v>
      </c>
      <c r="M4337" t="s">
        <v>16</v>
      </c>
      <c r="N4337">
        <v>1</v>
      </c>
    </row>
    <row r="4338" hidden="1" spans="1:14">
      <c r="A4338">
        <v>697</v>
      </c>
      <c r="B4338">
        <v>0</v>
      </c>
      <c r="C4338" t="s">
        <v>1031</v>
      </c>
      <c r="D4338">
        <v>0</v>
      </c>
      <c r="E4338">
        <v>-1.62812</v>
      </c>
      <c r="F4338">
        <v>52.571</v>
      </c>
      <c r="G4338">
        <v>111333.72</v>
      </c>
      <c r="H4338" s="1">
        <v>33868</v>
      </c>
      <c r="I4338" s="1">
        <v>33873</v>
      </c>
      <c r="J4338" t="s">
        <v>15</v>
      </c>
      <c r="K4338">
        <v>0</v>
      </c>
      <c r="L4338">
        <v>0</v>
      </c>
      <c r="M4338" t="s">
        <v>16</v>
      </c>
      <c r="N4338">
        <v>2</v>
      </c>
    </row>
    <row r="4339" hidden="1" spans="1:14">
      <c r="A4339">
        <v>716</v>
      </c>
      <c r="B4339">
        <v>0</v>
      </c>
      <c r="C4339" t="s">
        <v>1031</v>
      </c>
      <c r="D4339">
        <v>0</v>
      </c>
      <c r="E4339">
        <v>-2.97961</v>
      </c>
      <c r="F4339">
        <v>51.5066</v>
      </c>
      <c r="G4339">
        <v>25631.18</v>
      </c>
      <c r="H4339" s="1">
        <v>33938</v>
      </c>
      <c r="I4339" s="1">
        <v>33941</v>
      </c>
      <c r="J4339" t="s">
        <v>15</v>
      </c>
      <c r="K4339">
        <v>0</v>
      </c>
      <c r="L4339">
        <v>400</v>
      </c>
      <c r="M4339" t="s">
        <v>16</v>
      </c>
      <c r="N4339">
        <v>1</v>
      </c>
    </row>
    <row r="4340" hidden="1" spans="1:14">
      <c r="A4340">
        <v>717</v>
      </c>
      <c r="B4340">
        <v>0</v>
      </c>
      <c r="C4340" t="s">
        <v>1031</v>
      </c>
      <c r="D4340">
        <v>0</v>
      </c>
      <c r="E4340">
        <v>80.8649</v>
      </c>
      <c r="F4340">
        <v>8.40517</v>
      </c>
      <c r="G4340">
        <v>29673.6</v>
      </c>
      <c r="H4340" s="1">
        <v>33955</v>
      </c>
      <c r="I4340" s="1">
        <v>33957</v>
      </c>
      <c r="J4340" t="s">
        <v>15</v>
      </c>
      <c r="K4340">
        <v>0</v>
      </c>
      <c r="L4340">
        <v>0</v>
      </c>
      <c r="M4340" t="s">
        <v>23</v>
      </c>
      <c r="N4340">
        <v>1</v>
      </c>
    </row>
    <row r="4341" hidden="1" spans="1:14">
      <c r="A4341">
        <v>725</v>
      </c>
      <c r="B4341">
        <v>0</v>
      </c>
      <c r="C4341" t="s">
        <v>1031</v>
      </c>
      <c r="D4341">
        <v>0</v>
      </c>
      <c r="E4341">
        <v>-3.70463</v>
      </c>
      <c r="F4341">
        <v>56.3141</v>
      </c>
      <c r="G4341">
        <v>2044.83</v>
      </c>
      <c r="H4341" s="1">
        <v>33984</v>
      </c>
      <c r="I4341" s="1">
        <v>33987</v>
      </c>
      <c r="J4341" t="s">
        <v>15</v>
      </c>
      <c r="K4341">
        <v>0</v>
      </c>
      <c r="L4341">
        <v>500</v>
      </c>
      <c r="M4341" t="s">
        <v>39</v>
      </c>
      <c r="N4341">
        <v>1</v>
      </c>
    </row>
    <row r="4342" hidden="1" spans="1:14">
      <c r="A4342">
        <v>1312</v>
      </c>
      <c r="B4342">
        <v>0</v>
      </c>
      <c r="C4342" t="s">
        <v>1031</v>
      </c>
      <c r="D4342">
        <v>0</v>
      </c>
      <c r="E4342">
        <v>-3.59305</v>
      </c>
      <c r="F4342">
        <v>52.8983</v>
      </c>
      <c r="G4342">
        <v>2149.31</v>
      </c>
      <c r="H4342" s="1">
        <v>35861</v>
      </c>
      <c r="I4342" s="1">
        <v>35862</v>
      </c>
      <c r="J4342" t="s">
        <v>15</v>
      </c>
      <c r="K4342">
        <v>0</v>
      </c>
      <c r="L4342">
        <v>2</v>
      </c>
      <c r="M4342" t="s">
        <v>16</v>
      </c>
      <c r="N4342">
        <v>1</v>
      </c>
    </row>
    <row r="4343" hidden="1" spans="1:14">
      <c r="A4343">
        <v>1333</v>
      </c>
      <c r="B4343">
        <v>0</v>
      </c>
      <c r="C4343" t="s">
        <v>1031</v>
      </c>
      <c r="D4343">
        <v>0</v>
      </c>
      <c r="E4343">
        <v>-0.487124</v>
      </c>
      <c r="F4343">
        <v>52.4385</v>
      </c>
      <c r="G4343">
        <v>16143.46</v>
      </c>
      <c r="H4343" s="1">
        <v>35895</v>
      </c>
      <c r="I4343" s="1">
        <v>35898</v>
      </c>
      <c r="J4343" t="s">
        <v>15</v>
      </c>
      <c r="K4343">
        <v>5</v>
      </c>
      <c r="L4343">
        <v>300</v>
      </c>
      <c r="M4343" t="s">
        <v>18</v>
      </c>
      <c r="N4343">
        <v>2</v>
      </c>
    </row>
    <row r="4344" hidden="1" spans="1:14">
      <c r="A4344">
        <v>1403</v>
      </c>
      <c r="B4344">
        <v>0</v>
      </c>
      <c r="C4344" t="s">
        <v>1031</v>
      </c>
      <c r="D4344">
        <v>0</v>
      </c>
      <c r="E4344">
        <v>-3.96748</v>
      </c>
      <c r="F4344">
        <v>57.6109</v>
      </c>
      <c r="G4344">
        <v>3551.22</v>
      </c>
      <c r="H4344" s="1">
        <v>35959</v>
      </c>
      <c r="I4344" s="1">
        <v>35960</v>
      </c>
      <c r="J4344" t="s">
        <v>15</v>
      </c>
      <c r="K4344">
        <v>0</v>
      </c>
      <c r="L4344">
        <v>120</v>
      </c>
      <c r="M4344" t="s">
        <v>18</v>
      </c>
      <c r="N4344">
        <v>1</v>
      </c>
    </row>
    <row r="4345" hidden="1" spans="1:14">
      <c r="A4345">
        <v>1461</v>
      </c>
      <c r="B4345">
        <v>0</v>
      </c>
      <c r="C4345" t="s">
        <v>1031</v>
      </c>
      <c r="D4345">
        <v>0</v>
      </c>
      <c r="E4345">
        <v>-3.35863</v>
      </c>
      <c r="F4345">
        <v>51.6904</v>
      </c>
      <c r="G4345">
        <v>52224.22</v>
      </c>
      <c r="H4345" s="1">
        <v>36090</v>
      </c>
      <c r="I4345" s="1">
        <v>36092</v>
      </c>
      <c r="J4345" t="s">
        <v>15</v>
      </c>
      <c r="K4345">
        <v>11</v>
      </c>
      <c r="L4345">
        <v>400</v>
      </c>
      <c r="M4345" t="s">
        <v>16</v>
      </c>
      <c r="N4345">
        <v>1</v>
      </c>
    </row>
    <row r="4346" hidden="1" spans="1:14">
      <c r="A4346">
        <v>1483</v>
      </c>
      <c r="B4346">
        <v>0</v>
      </c>
      <c r="C4346" t="s">
        <v>1031</v>
      </c>
      <c r="E4346">
        <v>-2.92996</v>
      </c>
      <c r="F4346">
        <v>56.0881</v>
      </c>
      <c r="G4346">
        <v>8195.08</v>
      </c>
      <c r="H4346" s="1">
        <v>36149</v>
      </c>
      <c r="I4346" s="1">
        <v>36150</v>
      </c>
      <c r="J4346" t="s">
        <v>15</v>
      </c>
      <c r="K4346">
        <v>0</v>
      </c>
      <c r="L4346">
        <v>0</v>
      </c>
      <c r="M4346">
        <v>0</v>
      </c>
      <c r="N4346">
        <v>1</v>
      </c>
    </row>
    <row r="4347" hidden="1" spans="1:14">
      <c r="A4347">
        <v>1498</v>
      </c>
      <c r="B4347">
        <v>0</v>
      </c>
      <c r="C4347" t="s">
        <v>1031</v>
      </c>
      <c r="D4347">
        <v>0</v>
      </c>
      <c r="E4347">
        <v>-0.566246</v>
      </c>
      <c r="F4347">
        <v>54.0603</v>
      </c>
      <c r="G4347">
        <v>8304.1</v>
      </c>
      <c r="H4347" s="1">
        <v>36226</v>
      </c>
      <c r="I4347" s="1">
        <v>36232</v>
      </c>
      <c r="J4347" t="s">
        <v>15</v>
      </c>
      <c r="K4347">
        <v>0</v>
      </c>
      <c r="L4347">
        <v>800</v>
      </c>
      <c r="M4347" t="s">
        <v>16</v>
      </c>
      <c r="N4347">
        <v>2</v>
      </c>
    </row>
    <row r="4348" hidden="1" spans="1:14">
      <c r="A4348">
        <v>1579</v>
      </c>
      <c r="B4348">
        <v>0</v>
      </c>
      <c r="C4348" t="s">
        <v>1031</v>
      </c>
      <c r="D4348">
        <v>0</v>
      </c>
      <c r="E4348">
        <v>-2.19884</v>
      </c>
      <c r="F4348">
        <v>52.2254</v>
      </c>
      <c r="G4348">
        <v>23629.19</v>
      </c>
      <c r="H4348" s="1">
        <v>36519</v>
      </c>
      <c r="I4348" s="1">
        <v>36521</v>
      </c>
      <c r="J4348" t="s">
        <v>15</v>
      </c>
      <c r="K4348">
        <v>2</v>
      </c>
      <c r="L4348">
        <v>200</v>
      </c>
      <c r="M4348" t="s">
        <v>16</v>
      </c>
      <c r="N4348">
        <v>1</v>
      </c>
    </row>
    <row r="4349" hidden="1" spans="1:14">
      <c r="A4349">
        <v>1657</v>
      </c>
      <c r="B4349">
        <v>0</v>
      </c>
      <c r="C4349" t="s">
        <v>1031</v>
      </c>
      <c r="D4349" t="s">
        <v>557</v>
      </c>
      <c r="E4349">
        <v>-0.67815</v>
      </c>
      <c r="F4349">
        <v>52.675</v>
      </c>
      <c r="G4349">
        <v>96949.62</v>
      </c>
      <c r="H4349" s="1">
        <v>36828</v>
      </c>
      <c r="I4349" s="1">
        <v>36829</v>
      </c>
      <c r="J4349" t="s">
        <v>15</v>
      </c>
      <c r="K4349">
        <v>13</v>
      </c>
      <c r="L4349">
        <v>6000</v>
      </c>
      <c r="M4349" t="s">
        <v>16</v>
      </c>
      <c r="N4349">
        <v>2</v>
      </c>
    </row>
    <row r="4350" hidden="1" spans="1:14">
      <c r="A4350">
        <v>1876</v>
      </c>
      <c r="B4350">
        <v>0</v>
      </c>
      <c r="C4350" t="s">
        <v>1031</v>
      </c>
      <c r="D4350">
        <v>0</v>
      </c>
      <c r="E4350">
        <v>-3.0139</v>
      </c>
      <c r="F4350">
        <v>52.6695</v>
      </c>
      <c r="G4350">
        <v>2096.93</v>
      </c>
      <c r="H4350" s="1">
        <v>37299</v>
      </c>
      <c r="I4350" s="1">
        <v>37303</v>
      </c>
      <c r="J4350" t="s">
        <v>15</v>
      </c>
      <c r="K4350">
        <v>0</v>
      </c>
      <c r="L4350">
        <v>0</v>
      </c>
      <c r="M4350" t="s">
        <v>16</v>
      </c>
      <c r="N4350">
        <v>1</v>
      </c>
    </row>
    <row r="4351" hidden="1" spans="1:14">
      <c r="A4351">
        <v>2011</v>
      </c>
      <c r="B4351">
        <v>0</v>
      </c>
      <c r="C4351" t="s">
        <v>1031</v>
      </c>
      <c r="D4351">
        <v>0</v>
      </c>
      <c r="E4351">
        <v>-1.44462</v>
      </c>
      <c r="F4351">
        <v>53.9096</v>
      </c>
      <c r="G4351">
        <v>1325.62</v>
      </c>
      <c r="H4351" s="1">
        <v>37467</v>
      </c>
      <c r="I4351" s="1">
        <v>37469</v>
      </c>
      <c r="J4351" t="s">
        <v>15</v>
      </c>
      <c r="K4351">
        <v>0</v>
      </c>
      <c r="L4351">
        <v>300</v>
      </c>
      <c r="M4351" t="s">
        <v>16</v>
      </c>
      <c r="N4351">
        <v>1</v>
      </c>
    </row>
    <row r="4352" hidden="1" spans="1:14">
      <c r="A4352">
        <v>2026</v>
      </c>
      <c r="B4352">
        <v>0</v>
      </c>
      <c r="C4352" t="s">
        <v>1031</v>
      </c>
      <c r="D4352">
        <v>0</v>
      </c>
      <c r="E4352">
        <v>-0.327314</v>
      </c>
      <c r="F4352">
        <v>54.1958</v>
      </c>
      <c r="G4352">
        <v>61.3685</v>
      </c>
      <c r="H4352" s="1">
        <v>37478</v>
      </c>
      <c r="I4352" s="1">
        <v>37480</v>
      </c>
      <c r="J4352" t="s">
        <v>15</v>
      </c>
      <c r="K4352">
        <v>0</v>
      </c>
      <c r="L4352">
        <v>250</v>
      </c>
      <c r="M4352" t="s">
        <v>16</v>
      </c>
      <c r="N4352">
        <v>1</v>
      </c>
    </row>
    <row r="4353" hidden="1" spans="1:14">
      <c r="A4353">
        <v>2074</v>
      </c>
      <c r="B4353">
        <v>0</v>
      </c>
      <c r="C4353" t="s">
        <v>1031</v>
      </c>
      <c r="D4353">
        <v>0</v>
      </c>
      <c r="E4353">
        <v>-2.78675</v>
      </c>
      <c r="F4353">
        <v>55.6032</v>
      </c>
      <c r="G4353">
        <v>7597.36</v>
      </c>
      <c r="H4353" s="1">
        <v>37551</v>
      </c>
      <c r="I4353" s="1">
        <v>37554</v>
      </c>
      <c r="J4353" t="s">
        <v>15</v>
      </c>
      <c r="K4353">
        <v>0</v>
      </c>
      <c r="L4353">
        <v>100</v>
      </c>
      <c r="M4353" t="s">
        <v>16</v>
      </c>
      <c r="N4353">
        <v>2</v>
      </c>
    </row>
    <row r="4354" hidden="1" spans="1:14">
      <c r="A4354">
        <v>2085</v>
      </c>
      <c r="B4354">
        <v>0</v>
      </c>
      <c r="C4354" t="s">
        <v>1031</v>
      </c>
      <c r="D4354">
        <v>0</v>
      </c>
      <c r="E4354">
        <v>-6.11673</v>
      </c>
      <c r="F4354">
        <v>53.0005</v>
      </c>
      <c r="G4354">
        <v>11753.31</v>
      </c>
      <c r="H4354" s="1">
        <v>37574</v>
      </c>
      <c r="I4354" s="1">
        <v>37585</v>
      </c>
      <c r="J4354" t="s">
        <v>15</v>
      </c>
      <c r="K4354">
        <v>1</v>
      </c>
      <c r="L4354">
        <v>400</v>
      </c>
      <c r="M4354" t="s">
        <v>16</v>
      </c>
      <c r="N4354">
        <v>2</v>
      </c>
    </row>
    <row r="4355" hidden="1" spans="1:14">
      <c r="A4355">
        <v>2116</v>
      </c>
      <c r="B4355">
        <v>0</v>
      </c>
      <c r="C4355" t="s">
        <v>1031</v>
      </c>
      <c r="D4355">
        <v>0</v>
      </c>
      <c r="E4355">
        <v>-0.543564</v>
      </c>
      <c r="F4355">
        <v>51.2646</v>
      </c>
      <c r="G4355">
        <v>48599.81</v>
      </c>
      <c r="H4355" s="1">
        <v>37622</v>
      </c>
      <c r="I4355" s="1">
        <v>37627</v>
      </c>
      <c r="J4355" t="s">
        <v>15</v>
      </c>
      <c r="K4355">
        <v>0</v>
      </c>
      <c r="L4355">
        <v>0</v>
      </c>
      <c r="M4355" t="s">
        <v>16</v>
      </c>
      <c r="N4355">
        <v>1</v>
      </c>
    </row>
    <row r="4356" hidden="1" spans="1:14">
      <c r="A4356">
        <v>2136</v>
      </c>
      <c r="B4356">
        <v>0</v>
      </c>
      <c r="C4356" t="s">
        <v>1031</v>
      </c>
      <c r="D4356">
        <v>0</v>
      </c>
      <c r="E4356">
        <v>-2.49865</v>
      </c>
      <c r="F4356">
        <v>57.049</v>
      </c>
      <c r="G4356">
        <v>292.004</v>
      </c>
      <c r="H4356" s="1">
        <v>37643</v>
      </c>
      <c r="I4356" s="1">
        <v>37644</v>
      </c>
      <c r="J4356" t="s">
        <v>15</v>
      </c>
      <c r="K4356">
        <v>0</v>
      </c>
      <c r="L4356">
        <v>0</v>
      </c>
      <c r="M4356" t="s">
        <v>16</v>
      </c>
      <c r="N4356">
        <v>1</v>
      </c>
    </row>
    <row r="4357" hidden="1" spans="1:14">
      <c r="A4357">
        <v>2428</v>
      </c>
      <c r="B4357">
        <v>0</v>
      </c>
      <c r="C4357" t="s">
        <v>1031</v>
      </c>
      <c r="D4357">
        <v>0</v>
      </c>
      <c r="E4357">
        <v>-3.78196</v>
      </c>
      <c r="F4357">
        <v>53.1328</v>
      </c>
      <c r="G4357">
        <v>385.603</v>
      </c>
      <c r="H4357" s="1">
        <v>38020</v>
      </c>
      <c r="I4357" s="1">
        <v>38024</v>
      </c>
      <c r="J4357" t="s">
        <v>15</v>
      </c>
      <c r="K4357">
        <v>0</v>
      </c>
      <c r="L4357">
        <v>0</v>
      </c>
      <c r="M4357" t="s">
        <v>38</v>
      </c>
      <c r="N4357">
        <v>1</v>
      </c>
    </row>
    <row r="4358" hidden="1" spans="1:14">
      <c r="A4358">
        <v>2549</v>
      </c>
      <c r="B4358">
        <v>0</v>
      </c>
      <c r="C4358" t="s">
        <v>1031</v>
      </c>
      <c r="D4358">
        <v>0</v>
      </c>
      <c r="E4358">
        <v>-4.67383</v>
      </c>
      <c r="F4358">
        <v>50.68</v>
      </c>
      <c r="G4358">
        <v>140.962</v>
      </c>
      <c r="H4358" s="1">
        <v>38215</v>
      </c>
      <c r="I4358" s="1">
        <v>38216</v>
      </c>
      <c r="J4358" t="s">
        <v>15</v>
      </c>
      <c r="K4358">
        <v>0</v>
      </c>
      <c r="L4358">
        <v>150</v>
      </c>
      <c r="M4358" t="s">
        <v>16</v>
      </c>
      <c r="N4358">
        <v>2</v>
      </c>
    </row>
    <row r="4359" hidden="1" spans="1:14">
      <c r="A4359">
        <v>2609</v>
      </c>
      <c r="B4359">
        <v>0</v>
      </c>
      <c r="C4359" t="s">
        <v>1031</v>
      </c>
      <c r="D4359">
        <v>0</v>
      </c>
      <c r="E4359">
        <v>-2.72643</v>
      </c>
      <c r="F4359">
        <v>55.1831</v>
      </c>
      <c r="G4359">
        <v>4747.18</v>
      </c>
      <c r="H4359" s="1">
        <v>38360</v>
      </c>
      <c r="I4359" s="1">
        <v>38362</v>
      </c>
      <c r="J4359" t="s">
        <v>15</v>
      </c>
      <c r="K4359">
        <v>3</v>
      </c>
      <c r="L4359">
        <v>3000</v>
      </c>
      <c r="M4359" t="s">
        <v>16</v>
      </c>
      <c r="N4359">
        <v>2</v>
      </c>
    </row>
    <row r="4360" hidden="1" spans="1:14">
      <c r="A4360">
        <v>2673</v>
      </c>
      <c r="B4360">
        <v>0</v>
      </c>
      <c r="C4360" t="s">
        <v>1031</v>
      </c>
      <c r="D4360">
        <v>0</v>
      </c>
      <c r="E4360">
        <v>-1.02334</v>
      </c>
      <c r="F4360">
        <v>54.2588</v>
      </c>
      <c r="G4360">
        <v>1055.41</v>
      </c>
      <c r="H4360" s="1">
        <v>38522</v>
      </c>
      <c r="I4360" s="1">
        <v>38523</v>
      </c>
      <c r="J4360" t="s">
        <v>15</v>
      </c>
      <c r="K4360">
        <v>0</v>
      </c>
      <c r="L4360">
        <v>0</v>
      </c>
      <c r="M4360" t="s">
        <v>18</v>
      </c>
      <c r="N4360">
        <v>2</v>
      </c>
    </row>
    <row r="4361" hidden="1" spans="1:14">
      <c r="A4361">
        <v>2750</v>
      </c>
      <c r="B4361">
        <v>0</v>
      </c>
      <c r="C4361" t="s">
        <v>1031</v>
      </c>
      <c r="D4361">
        <v>0</v>
      </c>
      <c r="E4361">
        <v>-2.89794</v>
      </c>
      <c r="F4361">
        <v>55.5114</v>
      </c>
      <c r="G4361">
        <v>8925.77</v>
      </c>
      <c r="H4361" s="1">
        <v>38637</v>
      </c>
      <c r="I4361" s="1">
        <v>38639</v>
      </c>
      <c r="J4361" t="s">
        <v>15</v>
      </c>
      <c r="K4361">
        <v>2</v>
      </c>
      <c r="L4361">
        <v>0</v>
      </c>
      <c r="M4361" t="s">
        <v>16</v>
      </c>
      <c r="N4361">
        <v>1</v>
      </c>
    </row>
    <row r="4362" hidden="1" spans="1:14">
      <c r="A4362">
        <v>2764</v>
      </c>
      <c r="B4362">
        <v>0</v>
      </c>
      <c r="C4362" t="s">
        <v>1031</v>
      </c>
      <c r="D4362">
        <v>0</v>
      </c>
      <c r="E4362">
        <v>-4.30097</v>
      </c>
      <c r="F4362">
        <v>51.9151</v>
      </c>
      <c r="G4362">
        <v>213.269</v>
      </c>
      <c r="H4362" s="1">
        <v>38667</v>
      </c>
      <c r="I4362" s="1">
        <v>38667</v>
      </c>
      <c r="J4362" t="s">
        <v>15</v>
      </c>
      <c r="K4362">
        <v>0</v>
      </c>
      <c r="L4362">
        <v>0</v>
      </c>
      <c r="M4362" t="s">
        <v>16</v>
      </c>
      <c r="N4362">
        <v>2</v>
      </c>
    </row>
    <row r="4363" hidden="1" spans="1:14">
      <c r="A4363">
        <v>2983</v>
      </c>
      <c r="B4363">
        <v>0</v>
      </c>
      <c r="C4363" t="s">
        <v>1031</v>
      </c>
      <c r="D4363">
        <v>0</v>
      </c>
      <c r="E4363">
        <v>-4.18243</v>
      </c>
      <c r="F4363">
        <v>57.7042</v>
      </c>
      <c r="G4363">
        <v>2299.58</v>
      </c>
      <c r="H4363" s="1">
        <v>39016</v>
      </c>
      <c r="I4363" s="1">
        <v>39018</v>
      </c>
      <c r="J4363" t="s">
        <v>15</v>
      </c>
      <c r="K4363">
        <v>1</v>
      </c>
      <c r="L4363">
        <v>300</v>
      </c>
      <c r="M4363" t="s">
        <v>16</v>
      </c>
      <c r="N4363">
        <v>2</v>
      </c>
    </row>
    <row r="4364" hidden="1" spans="1:14">
      <c r="A4364">
        <v>3099</v>
      </c>
      <c r="B4364">
        <v>0</v>
      </c>
      <c r="C4364" t="s">
        <v>1031</v>
      </c>
      <c r="D4364">
        <v>0</v>
      </c>
      <c r="E4364">
        <v>-0.759207</v>
      </c>
      <c r="F4364">
        <v>52.5232</v>
      </c>
      <c r="G4364">
        <v>23106.13</v>
      </c>
      <c r="H4364" s="1">
        <v>39248</v>
      </c>
      <c r="I4364" s="1">
        <v>39254</v>
      </c>
      <c r="J4364" t="s">
        <v>15</v>
      </c>
      <c r="K4364">
        <v>1</v>
      </c>
      <c r="L4364">
        <v>200</v>
      </c>
      <c r="M4364" t="s">
        <v>16</v>
      </c>
      <c r="N4364">
        <v>1</v>
      </c>
    </row>
    <row r="4365" hidden="1" spans="1:14">
      <c r="A4365">
        <v>3110</v>
      </c>
      <c r="B4365">
        <v>0</v>
      </c>
      <c r="C4365" t="s">
        <v>1031</v>
      </c>
      <c r="D4365">
        <v>0</v>
      </c>
      <c r="E4365">
        <v>-0.913693</v>
      </c>
      <c r="F4365">
        <v>53.8814</v>
      </c>
      <c r="G4365">
        <v>27719.5</v>
      </c>
      <c r="H4365" s="1">
        <v>39258</v>
      </c>
      <c r="I4365" s="1">
        <v>39266</v>
      </c>
      <c r="J4365" t="s">
        <v>15</v>
      </c>
      <c r="K4365">
        <v>6</v>
      </c>
      <c r="L4365">
        <v>30000</v>
      </c>
      <c r="M4365" t="s">
        <v>16</v>
      </c>
      <c r="N4365">
        <v>1.5</v>
      </c>
    </row>
    <row r="4366" hidden="1" spans="1:14">
      <c r="A4366">
        <v>3137</v>
      </c>
      <c r="B4366" t="s">
        <v>1032</v>
      </c>
      <c r="C4366" t="s">
        <v>1031</v>
      </c>
      <c r="D4366">
        <v>0</v>
      </c>
      <c r="E4366">
        <v>-2.10193</v>
      </c>
      <c r="F4366">
        <v>52.072</v>
      </c>
      <c r="G4366">
        <v>24651.23</v>
      </c>
      <c r="H4366" s="1">
        <v>39284</v>
      </c>
      <c r="I4366" s="1">
        <v>39293</v>
      </c>
      <c r="J4366" t="s">
        <v>15</v>
      </c>
      <c r="K4366">
        <v>7</v>
      </c>
      <c r="L4366">
        <v>2100</v>
      </c>
      <c r="M4366" t="s">
        <v>16</v>
      </c>
      <c r="N4366">
        <v>1.5</v>
      </c>
    </row>
    <row r="4367" hidden="1" spans="1:14">
      <c r="A4367">
        <v>3259</v>
      </c>
      <c r="B4367">
        <v>0</v>
      </c>
      <c r="C4367" t="s">
        <v>1031</v>
      </c>
      <c r="D4367">
        <v>0</v>
      </c>
      <c r="E4367">
        <v>-1.64786</v>
      </c>
      <c r="F4367">
        <v>52.9158</v>
      </c>
      <c r="G4367">
        <v>55862.29</v>
      </c>
      <c r="H4367" s="1">
        <v>39462</v>
      </c>
      <c r="I4367" s="1">
        <v>39473</v>
      </c>
      <c r="J4367" t="s">
        <v>15</v>
      </c>
      <c r="K4367">
        <v>0</v>
      </c>
      <c r="L4367">
        <v>300</v>
      </c>
      <c r="M4367" t="s">
        <v>16</v>
      </c>
      <c r="N4367">
        <v>2</v>
      </c>
    </row>
    <row r="4368" hidden="1" spans="1:14">
      <c r="A4368">
        <v>3329</v>
      </c>
      <c r="B4368">
        <v>0</v>
      </c>
      <c r="C4368" t="s">
        <v>1031</v>
      </c>
      <c r="D4368">
        <v>0</v>
      </c>
      <c r="E4368">
        <v>-1.77849</v>
      </c>
      <c r="F4368">
        <v>52.8629</v>
      </c>
      <c r="G4368">
        <v>75683.74</v>
      </c>
      <c r="H4368" s="1">
        <v>39637</v>
      </c>
      <c r="I4368" s="1">
        <v>39641</v>
      </c>
      <c r="J4368" t="s">
        <v>15</v>
      </c>
      <c r="K4368">
        <v>0</v>
      </c>
      <c r="L4368">
        <v>0</v>
      </c>
      <c r="M4368" t="s">
        <v>49</v>
      </c>
      <c r="N4368">
        <v>1</v>
      </c>
    </row>
    <row r="4369" hidden="1" spans="1:14">
      <c r="A4369">
        <v>3352</v>
      </c>
      <c r="B4369">
        <v>0</v>
      </c>
      <c r="C4369" t="s">
        <v>1031</v>
      </c>
      <c r="D4369">
        <v>0</v>
      </c>
      <c r="E4369">
        <v>-3.88566</v>
      </c>
      <c r="F4369">
        <v>56.2261</v>
      </c>
      <c r="G4369">
        <v>27718.41</v>
      </c>
      <c r="H4369" s="1">
        <v>39666</v>
      </c>
      <c r="I4369" s="1">
        <v>39668</v>
      </c>
      <c r="J4369" t="s">
        <v>15</v>
      </c>
      <c r="K4369">
        <v>0</v>
      </c>
      <c r="L4369">
        <v>0</v>
      </c>
      <c r="M4369" t="s">
        <v>64</v>
      </c>
      <c r="N4369">
        <v>1.5</v>
      </c>
    </row>
    <row r="4370" hidden="1" spans="1:14">
      <c r="A4370">
        <v>3361</v>
      </c>
      <c r="B4370" t="s">
        <v>1033</v>
      </c>
      <c r="C4370" t="s">
        <v>1031</v>
      </c>
      <c r="D4370">
        <v>0</v>
      </c>
      <c r="E4370">
        <v>-7.22906</v>
      </c>
      <c r="F4370">
        <v>54.4878</v>
      </c>
      <c r="G4370">
        <v>23128.5</v>
      </c>
      <c r="H4370" s="1">
        <v>39675</v>
      </c>
      <c r="I4370" s="1">
        <v>39676</v>
      </c>
      <c r="J4370" t="s">
        <v>15</v>
      </c>
      <c r="K4370">
        <v>0</v>
      </c>
      <c r="L4370">
        <v>0</v>
      </c>
      <c r="M4370" t="s">
        <v>64</v>
      </c>
      <c r="N4370">
        <v>2</v>
      </c>
    </row>
    <row r="4371" hidden="1" spans="1:14">
      <c r="A4371">
        <v>3376</v>
      </c>
      <c r="B4371">
        <v>0</v>
      </c>
      <c r="C4371" t="s">
        <v>1031</v>
      </c>
      <c r="D4371">
        <v>0</v>
      </c>
      <c r="E4371">
        <v>-1.80548</v>
      </c>
      <c r="F4371">
        <v>53.2606</v>
      </c>
      <c r="G4371">
        <v>47366.17</v>
      </c>
      <c r="H4371" s="1">
        <v>39697</v>
      </c>
      <c r="I4371" s="1">
        <v>39699</v>
      </c>
      <c r="J4371" t="s">
        <v>15</v>
      </c>
      <c r="K4371">
        <v>0</v>
      </c>
      <c r="L4371">
        <v>200</v>
      </c>
      <c r="M4371" t="s">
        <v>64</v>
      </c>
      <c r="N4371">
        <v>1.5</v>
      </c>
    </row>
    <row r="4372" hidden="1" spans="1:14">
      <c r="A4372">
        <v>3573</v>
      </c>
      <c r="B4372">
        <v>0</v>
      </c>
      <c r="C4372" t="s">
        <v>1031</v>
      </c>
      <c r="E4372">
        <v>-1.675</v>
      </c>
      <c r="F4372">
        <v>53.9986</v>
      </c>
      <c r="G4372">
        <v>106621.91</v>
      </c>
      <c r="H4372" s="1">
        <v>40136</v>
      </c>
      <c r="I4372" s="1">
        <v>40152</v>
      </c>
      <c r="J4372">
        <v>0</v>
      </c>
      <c r="K4372">
        <v>0</v>
      </c>
      <c r="L4372">
        <v>0</v>
      </c>
      <c r="M4372" t="s">
        <v>49</v>
      </c>
      <c r="N4372">
        <v>2</v>
      </c>
    </row>
    <row r="4373" hidden="1" spans="1:14">
      <c r="A4373">
        <v>749</v>
      </c>
      <c r="B4373">
        <v>0</v>
      </c>
      <c r="C4373" t="s">
        <v>1034</v>
      </c>
      <c r="D4373">
        <v>0</v>
      </c>
      <c r="E4373">
        <v>-6.32855</v>
      </c>
      <c r="F4373">
        <v>53.6271</v>
      </c>
      <c r="G4373">
        <v>4408.82</v>
      </c>
      <c r="H4373" s="1">
        <v>34131</v>
      </c>
      <c r="I4373" s="1">
        <v>34133</v>
      </c>
      <c r="J4373" t="s">
        <v>15</v>
      </c>
      <c r="K4373">
        <v>8</v>
      </c>
      <c r="L4373">
        <v>2500</v>
      </c>
      <c r="M4373" t="s">
        <v>16</v>
      </c>
      <c r="N4373">
        <v>2</v>
      </c>
    </row>
    <row r="4374" hidden="1" spans="1:14">
      <c r="A4374">
        <v>819</v>
      </c>
      <c r="B4374">
        <v>0</v>
      </c>
      <c r="C4374" t="s">
        <v>1034</v>
      </c>
      <c r="D4374">
        <v>0</v>
      </c>
      <c r="E4374">
        <v>0.83137</v>
      </c>
      <c r="F4374">
        <v>51.0549</v>
      </c>
      <c r="G4374">
        <v>5379.22</v>
      </c>
      <c r="H4374" s="1">
        <v>34333</v>
      </c>
      <c r="I4374" s="1">
        <v>34334</v>
      </c>
      <c r="J4374" t="s">
        <v>15</v>
      </c>
      <c r="K4374">
        <v>0</v>
      </c>
      <c r="L4374">
        <v>300</v>
      </c>
      <c r="M4374" t="s">
        <v>16</v>
      </c>
      <c r="N4374">
        <v>1</v>
      </c>
    </row>
    <row r="4375" hidden="1" spans="1:14">
      <c r="A4375">
        <v>1646</v>
      </c>
      <c r="B4375">
        <v>0</v>
      </c>
      <c r="C4375" t="s">
        <v>1034</v>
      </c>
      <c r="D4375">
        <v>0</v>
      </c>
      <c r="E4375">
        <v>0.222568</v>
      </c>
      <c r="F4375">
        <v>51.0974</v>
      </c>
      <c r="G4375">
        <v>5378.47</v>
      </c>
      <c r="H4375" s="1">
        <v>36810</v>
      </c>
      <c r="I4375" s="1">
        <v>36813</v>
      </c>
      <c r="J4375" t="s">
        <v>15</v>
      </c>
      <c r="K4375">
        <v>0</v>
      </c>
      <c r="L4375">
        <v>1000</v>
      </c>
      <c r="M4375" t="s">
        <v>16</v>
      </c>
      <c r="N4375">
        <v>1</v>
      </c>
    </row>
    <row r="4376" hidden="1" spans="1:14">
      <c r="A4376">
        <v>1816</v>
      </c>
      <c r="B4376">
        <v>0</v>
      </c>
      <c r="C4376" t="s">
        <v>1034</v>
      </c>
      <c r="D4376">
        <v>0</v>
      </c>
      <c r="E4376">
        <v>0.482377</v>
      </c>
      <c r="F4376">
        <v>52.0555</v>
      </c>
      <c r="G4376">
        <v>5678.73</v>
      </c>
      <c r="H4376" s="1">
        <v>37185</v>
      </c>
      <c r="I4376" s="1">
        <v>37187</v>
      </c>
      <c r="J4376" t="s">
        <v>15</v>
      </c>
      <c r="K4376">
        <v>0</v>
      </c>
      <c r="L4376">
        <v>0</v>
      </c>
      <c r="M4376" t="s">
        <v>18</v>
      </c>
      <c r="N4376">
        <v>2</v>
      </c>
    </row>
    <row r="4377" hidden="1" spans="1:14">
      <c r="A4377">
        <v>965</v>
      </c>
      <c r="B4377">
        <v>0</v>
      </c>
      <c r="C4377" t="s">
        <v>152</v>
      </c>
      <c r="D4377">
        <v>0</v>
      </c>
      <c r="E4377">
        <v>36.2744</v>
      </c>
      <c r="F4377">
        <v>49.9115</v>
      </c>
      <c r="G4377">
        <v>5183.65</v>
      </c>
      <c r="H4377" s="1">
        <v>34879</v>
      </c>
      <c r="I4377" s="1">
        <v>34891</v>
      </c>
      <c r="J4377" t="s">
        <v>15</v>
      </c>
      <c r="K4377">
        <v>0</v>
      </c>
      <c r="L4377">
        <v>0</v>
      </c>
      <c r="M4377" t="s">
        <v>16</v>
      </c>
      <c r="N4377">
        <v>1</v>
      </c>
    </row>
    <row r="4378" hidden="1" spans="1:14">
      <c r="A4378">
        <v>1063</v>
      </c>
      <c r="B4378">
        <v>0</v>
      </c>
      <c r="C4378" t="s">
        <v>152</v>
      </c>
      <c r="D4378">
        <v>0</v>
      </c>
      <c r="E4378">
        <v>31.223</v>
      </c>
      <c r="F4378">
        <v>49.6247</v>
      </c>
      <c r="G4378">
        <v>592492.67</v>
      </c>
      <c r="H4378" s="1">
        <v>35165</v>
      </c>
      <c r="I4378" s="1">
        <v>35177</v>
      </c>
      <c r="J4378" t="s">
        <v>15</v>
      </c>
      <c r="K4378">
        <v>0</v>
      </c>
      <c r="L4378">
        <v>10000</v>
      </c>
      <c r="M4378" t="s">
        <v>39</v>
      </c>
      <c r="N4378">
        <v>1</v>
      </c>
    </row>
    <row r="4379" hidden="1" spans="1:14">
      <c r="A4379">
        <v>1467</v>
      </c>
      <c r="B4379">
        <v>0</v>
      </c>
      <c r="C4379" t="s">
        <v>152</v>
      </c>
      <c r="D4379" t="s">
        <v>877</v>
      </c>
      <c r="E4379">
        <v>23.4563</v>
      </c>
      <c r="F4379">
        <v>48.1222</v>
      </c>
      <c r="G4379">
        <v>91277.04</v>
      </c>
      <c r="H4379" s="1">
        <v>36104</v>
      </c>
      <c r="I4379" s="1">
        <v>36122</v>
      </c>
      <c r="J4379" t="s">
        <v>15</v>
      </c>
      <c r="K4379">
        <v>16</v>
      </c>
      <c r="L4379">
        <v>25000</v>
      </c>
      <c r="M4379" t="s">
        <v>16</v>
      </c>
      <c r="N4379">
        <v>2</v>
      </c>
    </row>
    <row r="4380" hidden="1" spans="1:14">
      <c r="A4380">
        <v>2187</v>
      </c>
      <c r="B4380">
        <v>0</v>
      </c>
      <c r="C4380" t="s">
        <v>152</v>
      </c>
      <c r="D4380">
        <v>0</v>
      </c>
      <c r="E4380">
        <v>33.3194</v>
      </c>
      <c r="F4380">
        <v>48.241</v>
      </c>
      <c r="G4380">
        <v>220029.06</v>
      </c>
      <c r="H4380" s="1">
        <v>37702</v>
      </c>
      <c r="I4380" s="1">
        <v>37715</v>
      </c>
      <c r="J4380" t="s">
        <v>15</v>
      </c>
      <c r="K4380">
        <v>0</v>
      </c>
      <c r="L4380">
        <v>130</v>
      </c>
      <c r="M4380" t="s">
        <v>153</v>
      </c>
      <c r="N4380">
        <v>1</v>
      </c>
    </row>
    <row r="4381" hidden="1" spans="1:14">
      <c r="A4381">
        <v>2662</v>
      </c>
      <c r="B4381">
        <v>0</v>
      </c>
      <c r="C4381" t="s">
        <v>152</v>
      </c>
      <c r="D4381">
        <v>0</v>
      </c>
      <c r="E4381">
        <v>35.8842</v>
      </c>
      <c r="F4381">
        <v>47.0515</v>
      </c>
      <c r="G4381">
        <v>8129.39</v>
      </c>
      <c r="H4381" s="1">
        <v>38500</v>
      </c>
      <c r="I4381" s="1">
        <v>38502</v>
      </c>
      <c r="J4381" t="s">
        <v>15</v>
      </c>
      <c r="K4381">
        <v>0</v>
      </c>
      <c r="L4381">
        <v>50</v>
      </c>
      <c r="M4381" t="s">
        <v>16</v>
      </c>
      <c r="N4381">
        <v>1</v>
      </c>
    </row>
    <row r="4382" hidden="1" spans="1:14">
      <c r="A4382">
        <v>2905</v>
      </c>
      <c r="B4382" t="s">
        <v>1035</v>
      </c>
      <c r="C4382" t="s">
        <v>152</v>
      </c>
      <c r="D4382">
        <v>0</v>
      </c>
      <c r="E4382">
        <v>34.6157</v>
      </c>
      <c r="F4382">
        <v>45.0873</v>
      </c>
      <c r="G4382">
        <v>599.603</v>
      </c>
      <c r="H4382" s="1">
        <v>38900</v>
      </c>
      <c r="I4382" s="1">
        <v>38901</v>
      </c>
      <c r="J4382" t="s">
        <v>15</v>
      </c>
      <c r="K4382">
        <v>2</v>
      </c>
      <c r="L4382">
        <v>0</v>
      </c>
      <c r="M4382" t="s">
        <v>16</v>
      </c>
      <c r="N4382">
        <v>1</v>
      </c>
    </row>
    <row r="4383" hidden="1" spans="1:14">
      <c r="A4383">
        <v>3337</v>
      </c>
      <c r="B4383">
        <v>0</v>
      </c>
      <c r="C4383" t="s">
        <v>152</v>
      </c>
      <c r="E4383">
        <v>24.3875</v>
      </c>
      <c r="F4383">
        <v>48.1717</v>
      </c>
      <c r="G4383">
        <v>55713.9</v>
      </c>
      <c r="H4383" s="1">
        <v>39651</v>
      </c>
      <c r="I4383" s="1">
        <v>39659</v>
      </c>
      <c r="J4383" t="s">
        <v>15</v>
      </c>
      <c r="K4383">
        <v>40</v>
      </c>
      <c r="L4383">
        <v>172000</v>
      </c>
      <c r="M4383" t="s">
        <v>661</v>
      </c>
      <c r="N4383">
        <v>2</v>
      </c>
    </row>
    <row r="4384" hidden="1" spans="1:14">
      <c r="A4384">
        <v>3672</v>
      </c>
      <c r="B4384" t="s">
        <v>1036</v>
      </c>
      <c r="C4384" t="s">
        <v>152</v>
      </c>
      <c r="D4384">
        <v>0</v>
      </c>
      <c r="E4384">
        <v>24.7926</v>
      </c>
      <c r="F4384">
        <v>48.5898</v>
      </c>
      <c r="G4384">
        <v>34504.42</v>
      </c>
      <c r="H4384" s="1">
        <v>40356</v>
      </c>
      <c r="I4384" s="1">
        <v>40361</v>
      </c>
      <c r="J4384">
        <v>0</v>
      </c>
      <c r="K4384">
        <v>2</v>
      </c>
      <c r="L4384">
        <v>0</v>
      </c>
      <c r="M4384" t="s">
        <v>49</v>
      </c>
      <c r="N4384">
        <v>1.5</v>
      </c>
    </row>
    <row r="4385" hidden="1" spans="1:14">
      <c r="A4385">
        <v>3760</v>
      </c>
      <c r="B4385">
        <v>0</v>
      </c>
      <c r="C4385" t="s">
        <v>152</v>
      </c>
      <c r="E4385">
        <v>23.3257</v>
      </c>
      <c r="F4385">
        <v>48.5418</v>
      </c>
      <c r="G4385">
        <v>23546.82</v>
      </c>
      <c r="H4385" s="1">
        <v>40525</v>
      </c>
      <c r="I4385" s="1">
        <v>40529</v>
      </c>
      <c r="J4385" t="s">
        <v>15</v>
      </c>
      <c r="K4385">
        <v>0</v>
      </c>
      <c r="L4385">
        <v>4000</v>
      </c>
      <c r="M4385" t="s">
        <v>49</v>
      </c>
      <c r="N4385">
        <v>1</v>
      </c>
    </row>
    <row r="4386" hidden="1" spans="1:14">
      <c r="A4386">
        <v>4406</v>
      </c>
      <c r="C4386" t="s">
        <v>152</v>
      </c>
      <c r="E4386">
        <v>31.3479</v>
      </c>
      <c r="F4386">
        <v>47.2563</v>
      </c>
      <c r="G4386">
        <v>19889.49</v>
      </c>
      <c r="H4386" s="1">
        <v>42655</v>
      </c>
      <c r="I4386" s="1">
        <v>42659</v>
      </c>
      <c r="J4386" t="s">
        <v>15</v>
      </c>
      <c r="K4386">
        <v>3</v>
      </c>
      <c r="L4386">
        <v>200</v>
      </c>
      <c r="M4386" t="s">
        <v>49</v>
      </c>
      <c r="N4386">
        <v>1</v>
      </c>
    </row>
    <row r="4387" hidden="1" spans="1:14">
      <c r="A4387">
        <v>4932</v>
      </c>
      <c r="C4387" t="s">
        <v>152</v>
      </c>
      <c r="E4387">
        <v>30.0613</v>
      </c>
      <c r="F4387">
        <v>49.3154</v>
      </c>
      <c r="G4387">
        <v>195643.94</v>
      </c>
      <c r="H4387" s="1">
        <v>44004</v>
      </c>
      <c r="I4387" s="1">
        <v>44008</v>
      </c>
      <c r="J4387" t="s">
        <v>56</v>
      </c>
      <c r="K4387">
        <v>3</v>
      </c>
      <c r="L4387">
        <v>470</v>
      </c>
      <c r="M4387" t="s">
        <v>49</v>
      </c>
      <c r="N4387">
        <v>1.5</v>
      </c>
    </row>
    <row r="4388" hidden="1" spans="1:14">
      <c r="A4388">
        <v>4941</v>
      </c>
      <c r="C4388" t="s">
        <v>152</v>
      </c>
      <c r="E4388">
        <v>23.628</v>
      </c>
      <c r="F4388">
        <v>49.2688</v>
      </c>
      <c r="G4388">
        <v>33791.16</v>
      </c>
      <c r="H4388" s="1">
        <v>44004</v>
      </c>
      <c r="I4388" s="1">
        <v>44017</v>
      </c>
      <c r="J4388" t="s">
        <v>56</v>
      </c>
      <c r="K4388">
        <v>3</v>
      </c>
      <c r="L4388">
        <v>775</v>
      </c>
      <c r="M4388" t="s">
        <v>49</v>
      </c>
      <c r="N4388">
        <v>1.5</v>
      </c>
    </row>
    <row r="4389" hidden="1" spans="1:14">
      <c r="A4389">
        <v>5085</v>
      </c>
      <c r="C4389" t="s">
        <v>152</v>
      </c>
      <c r="E4389">
        <v>36.1977</v>
      </c>
      <c r="F4389">
        <v>45.2459</v>
      </c>
      <c r="G4389">
        <v>2832.21</v>
      </c>
      <c r="H4389" s="1">
        <v>44362</v>
      </c>
      <c r="I4389" s="1">
        <v>44368</v>
      </c>
      <c r="J4389" t="s">
        <v>56</v>
      </c>
      <c r="K4389">
        <v>0</v>
      </c>
      <c r="L4389">
        <v>1490</v>
      </c>
      <c r="M4389" t="s">
        <v>49</v>
      </c>
      <c r="N4389">
        <v>1.5</v>
      </c>
    </row>
    <row r="4390" hidden="1" spans="1:14">
      <c r="A4390">
        <v>191</v>
      </c>
      <c r="B4390">
        <v>0</v>
      </c>
      <c r="C4390" t="s">
        <v>1037</v>
      </c>
      <c r="D4390">
        <v>0</v>
      </c>
      <c r="E4390">
        <v>24.7132</v>
      </c>
      <c r="F4390">
        <v>51.4768</v>
      </c>
      <c r="G4390">
        <v>14288.09</v>
      </c>
      <c r="H4390" s="1">
        <v>32314</v>
      </c>
      <c r="I4390" s="1">
        <v>32325</v>
      </c>
      <c r="J4390" t="s">
        <v>15</v>
      </c>
      <c r="K4390">
        <v>0</v>
      </c>
      <c r="L4390">
        <v>0</v>
      </c>
      <c r="M4390" t="s">
        <v>16</v>
      </c>
      <c r="N4390">
        <v>1</v>
      </c>
    </row>
    <row r="4391" hidden="1" spans="1:14">
      <c r="A4391">
        <v>814</v>
      </c>
      <c r="B4391">
        <v>0</v>
      </c>
      <c r="C4391" t="s">
        <v>1037</v>
      </c>
      <c r="D4391">
        <v>0</v>
      </c>
      <c r="E4391">
        <v>22.7867</v>
      </c>
      <c r="F4391">
        <v>48.3884</v>
      </c>
      <c r="G4391">
        <v>4267.45</v>
      </c>
      <c r="H4391" s="1">
        <v>34323</v>
      </c>
      <c r="I4391" s="1">
        <v>34327</v>
      </c>
      <c r="J4391" t="s">
        <v>15</v>
      </c>
      <c r="K4391">
        <v>5</v>
      </c>
      <c r="L4391">
        <v>25000</v>
      </c>
      <c r="M4391" t="s">
        <v>16</v>
      </c>
      <c r="N4391">
        <v>1</v>
      </c>
    </row>
    <row r="4392" hidden="1" spans="1:14">
      <c r="A4392">
        <v>4547</v>
      </c>
      <c r="C4392" t="s">
        <v>1038</v>
      </c>
      <c r="D4392" t="s">
        <v>557</v>
      </c>
      <c r="E4392">
        <v>-1.88259</v>
      </c>
      <c r="F4392">
        <v>54.1661</v>
      </c>
      <c r="G4392">
        <v>40143.76</v>
      </c>
      <c r="H4392" s="1">
        <v>43061</v>
      </c>
      <c r="I4392" s="1">
        <v>43064</v>
      </c>
      <c r="J4392" t="s">
        <v>15</v>
      </c>
      <c r="K4392">
        <v>0</v>
      </c>
      <c r="L4392">
        <v>100</v>
      </c>
      <c r="M4392" t="s">
        <v>49</v>
      </c>
      <c r="N4392">
        <v>1.5</v>
      </c>
    </row>
    <row r="4393" hidden="1" spans="1:14">
      <c r="A4393">
        <v>1036</v>
      </c>
      <c r="B4393">
        <v>0</v>
      </c>
      <c r="C4393" t="s">
        <v>1039</v>
      </c>
      <c r="D4393">
        <v>0</v>
      </c>
      <c r="E4393">
        <v>56.1541</v>
      </c>
      <c r="F4393">
        <v>25.1783</v>
      </c>
      <c r="G4393">
        <v>2987.04</v>
      </c>
      <c r="H4393" s="1">
        <v>35052</v>
      </c>
      <c r="I4393" s="1">
        <v>35066</v>
      </c>
      <c r="J4393" t="s">
        <v>15</v>
      </c>
      <c r="K4393">
        <v>0</v>
      </c>
      <c r="L4393">
        <v>4000</v>
      </c>
      <c r="M4393" t="s">
        <v>16</v>
      </c>
      <c r="N4393">
        <v>1</v>
      </c>
    </row>
    <row r="4394" hidden="1" spans="1:14">
      <c r="A4394">
        <v>3420</v>
      </c>
      <c r="B4394">
        <v>0</v>
      </c>
      <c r="C4394" t="s">
        <v>558</v>
      </c>
      <c r="D4394">
        <v>0</v>
      </c>
      <c r="E4394">
        <v>-1.73435</v>
      </c>
      <c r="F4394">
        <v>51.4945</v>
      </c>
      <c r="G4394">
        <v>21321.94</v>
      </c>
      <c r="H4394" s="1">
        <v>39793</v>
      </c>
      <c r="I4394" s="1">
        <v>39797</v>
      </c>
      <c r="J4394" t="s">
        <v>15</v>
      </c>
      <c r="K4394">
        <v>0</v>
      </c>
      <c r="L4394">
        <v>200</v>
      </c>
      <c r="M4394" t="s">
        <v>316</v>
      </c>
      <c r="N4394">
        <v>1</v>
      </c>
    </row>
    <row r="4395" hidden="1" spans="1:14">
      <c r="A4395">
        <v>3447</v>
      </c>
      <c r="B4395">
        <v>0</v>
      </c>
      <c r="C4395" t="s">
        <v>558</v>
      </c>
      <c r="D4395">
        <v>0</v>
      </c>
      <c r="E4395">
        <v>-1.27299</v>
      </c>
      <c r="F4395">
        <v>52.5048</v>
      </c>
      <c r="G4395">
        <v>76952.38</v>
      </c>
      <c r="H4395" s="1">
        <v>39846</v>
      </c>
      <c r="I4395" s="1">
        <v>39856</v>
      </c>
      <c r="J4395" t="s">
        <v>15</v>
      </c>
      <c r="K4395">
        <v>5</v>
      </c>
      <c r="L4395">
        <v>10000</v>
      </c>
      <c r="M4395" t="s">
        <v>49</v>
      </c>
      <c r="N4395">
        <v>1</v>
      </c>
    </row>
    <row r="4396" hidden="1" spans="1:14">
      <c r="A4396">
        <v>3510</v>
      </c>
      <c r="B4396">
        <v>0</v>
      </c>
      <c r="C4396" t="s">
        <v>558</v>
      </c>
      <c r="D4396">
        <v>0</v>
      </c>
      <c r="E4396">
        <v>-1.82408</v>
      </c>
      <c r="F4396">
        <v>54.3622</v>
      </c>
      <c r="G4396">
        <v>3358.7</v>
      </c>
      <c r="H4396" s="1">
        <v>40012</v>
      </c>
      <c r="I4396" s="1">
        <v>40013</v>
      </c>
      <c r="J4396">
        <v>0</v>
      </c>
      <c r="K4396">
        <v>0</v>
      </c>
      <c r="L4396">
        <v>0</v>
      </c>
      <c r="M4396" t="s">
        <v>52</v>
      </c>
      <c r="N4396">
        <v>1</v>
      </c>
    </row>
    <row r="4397" hidden="1" spans="1:14">
      <c r="A4397">
        <v>3749</v>
      </c>
      <c r="B4397">
        <v>0</v>
      </c>
      <c r="C4397" t="s">
        <v>558</v>
      </c>
      <c r="D4397">
        <v>0</v>
      </c>
      <c r="E4397">
        <v>-3.5777</v>
      </c>
      <c r="F4397">
        <v>50.7875</v>
      </c>
      <c r="G4397">
        <v>8727.83</v>
      </c>
      <c r="H4397" s="1">
        <v>40498</v>
      </c>
      <c r="I4397" s="1">
        <v>40502</v>
      </c>
      <c r="J4397" t="s">
        <v>15</v>
      </c>
      <c r="K4397">
        <v>0</v>
      </c>
      <c r="L4397">
        <v>0</v>
      </c>
      <c r="M4397" t="s">
        <v>49</v>
      </c>
      <c r="N4397">
        <v>1.5</v>
      </c>
    </row>
    <row r="4398" hidden="1" spans="1:14">
      <c r="A4398">
        <v>3990</v>
      </c>
      <c r="C4398" t="s">
        <v>558</v>
      </c>
      <c r="E4398">
        <v>-2.13086</v>
      </c>
      <c r="F4398">
        <v>54.4062</v>
      </c>
      <c r="G4398">
        <v>8507</v>
      </c>
      <c r="H4398" s="1">
        <v>41175</v>
      </c>
      <c r="I4398" s="1">
        <v>41178</v>
      </c>
      <c r="J4398" t="s">
        <v>15</v>
      </c>
      <c r="K4398">
        <v>0</v>
      </c>
      <c r="L4398">
        <v>1500</v>
      </c>
      <c r="M4398" t="s">
        <v>49</v>
      </c>
      <c r="N4398">
        <v>1</v>
      </c>
    </row>
    <row r="4399" hidden="1" spans="1:14">
      <c r="A4399">
        <v>4009</v>
      </c>
      <c r="C4399" t="s">
        <v>558</v>
      </c>
      <c r="E4399">
        <v>-1.19371</v>
      </c>
      <c r="F4399">
        <v>53.4569</v>
      </c>
      <c r="G4399">
        <v>106806.88</v>
      </c>
      <c r="H4399" s="1">
        <v>41233</v>
      </c>
      <c r="I4399" s="1">
        <v>41261</v>
      </c>
      <c r="J4399" t="s">
        <v>15</v>
      </c>
      <c r="K4399">
        <v>4</v>
      </c>
      <c r="L4399">
        <v>1700</v>
      </c>
      <c r="M4399" t="s">
        <v>49</v>
      </c>
      <c r="N4399">
        <v>1</v>
      </c>
    </row>
    <row r="4400" hidden="1" spans="1:14">
      <c r="A4400">
        <v>4106</v>
      </c>
      <c r="C4400" t="s">
        <v>558</v>
      </c>
      <c r="D4400" t="s">
        <v>350</v>
      </c>
      <c r="E4400">
        <v>7.53306</v>
      </c>
      <c r="F4400">
        <v>53.4431</v>
      </c>
      <c r="G4400">
        <v>51279.6</v>
      </c>
      <c r="H4400" s="1">
        <v>41613</v>
      </c>
      <c r="I4400" s="1">
        <v>41616</v>
      </c>
      <c r="J4400" t="s">
        <v>15</v>
      </c>
      <c r="K4400">
        <v>8</v>
      </c>
      <c r="L4400">
        <v>4000</v>
      </c>
      <c r="M4400" t="s">
        <v>1040</v>
      </c>
      <c r="N4400">
        <v>2</v>
      </c>
    </row>
    <row r="4401" hidden="1" spans="1:14">
      <c r="A4401">
        <v>4111</v>
      </c>
      <c r="C4401" t="s">
        <v>558</v>
      </c>
      <c r="D4401" t="s">
        <v>557</v>
      </c>
      <c r="E4401">
        <v>-1.51144</v>
      </c>
      <c r="F4401">
        <v>53.2732</v>
      </c>
      <c r="G4401">
        <v>126149.79</v>
      </c>
      <c r="H4401" s="1">
        <v>41635</v>
      </c>
      <c r="I4401" s="1">
        <v>41677</v>
      </c>
      <c r="J4401" t="s">
        <v>15</v>
      </c>
      <c r="K4401">
        <v>0</v>
      </c>
      <c r="L4401">
        <v>200</v>
      </c>
      <c r="M4401" t="s">
        <v>49</v>
      </c>
      <c r="N4401">
        <v>1.5</v>
      </c>
    </row>
    <row r="4402" hidden="1" spans="1:14">
      <c r="A4402">
        <v>4319</v>
      </c>
      <c r="C4402" t="s">
        <v>558</v>
      </c>
      <c r="D4402" t="s">
        <v>557</v>
      </c>
      <c r="E4402">
        <v>-2.77486</v>
      </c>
      <c r="F4402">
        <v>54.9868</v>
      </c>
      <c r="G4402">
        <v>36750.19</v>
      </c>
      <c r="H4402" s="1">
        <v>42343</v>
      </c>
      <c r="I4402" s="1">
        <v>42395</v>
      </c>
      <c r="J4402" t="s">
        <v>15</v>
      </c>
      <c r="K4402">
        <v>3</v>
      </c>
      <c r="L4402">
        <v>64000</v>
      </c>
      <c r="M4402" t="s">
        <v>49</v>
      </c>
      <c r="N4402">
        <v>2</v>
      </c>
    </row>
    <row r="4403" hidden="1" spans="1:14">
      <c r="A4403">
        <v>4328</v>
      </c>
      <c r="C4403" t="s">
        <v>558</v>
      </c>
      <c r="E4403">
        <v>-3.83733</v>
      </c>
      <c r="F4403">
        <v>55.1834</v>
      </c>
      <c r="G4403">
        <v>14340.11</v>
      </c>
      <c r="H4403" s="1">
        <v>42396</v>
      </c>
      <c r="I4403" s="1">
        <v>42398</v>
      </c>
      <c r="J4403" t="s">
        <v>15</v>
      </c>
      <c r="K4403">
        <v>0</v>
      </c>
      <c r="L4403">
        <v>0</v>
      </c>
      <c r="M4403" t="s">
        <v>49</v>
      </c>
      <c r="N4403">
        <v>1.5</v>
      </c>
    </row>
    <row r="4404" hidden="1" spans="1:14">
      <c r="A4404">
        <v>4543</v>
      </c>
      <c r="C4404" t="s">
        <v>558</v>
      </c>
      <c r="D4404" t="s">
        <v>557</v>
      </c>
      <c r="E4404">
        <v>-6.85603</v>
      </c>
      <c r="F4404">
        <v>53.1025</v>
      </c>
      <c r="G4404">
        <v>29421.03</v>
      </c>
      <c r="H4404" s="1">
        <v>43061</v>
      </c>
      <c r="I4404" s="1">
        <v>43065</v>
      </c>
      <c r="J4404" t="s">
        <v>15</v>
      </c>
      <c r="K4404">
        <v>0</v>
      </c>
      <c r="L4404">
        <v>100</v>
      </c>
      <c r="M4404" t="s">
        <v>49</v>
      </c>
      <c r="N4404">
        <v>1</v>
      </c>
    </row>
    <row r="4405" hidden="1" spans="1:14">
      <c r="A4405">
        <v>4563</v>
      </c>
      <c r="C4405" t="s">
        <v>558</v>
      </c>
      <c r="D4405" t="s">
        <v>557</v>
      </c>
      <c r="E4405">
        <v>-3.97342</v>
      </c>
      <c r="F4405">
        <v>52.468</v>
      </c>
      <c r="G4405">
        <v>28304.83</v>
      </c>
      <c r="H4405" s="1">
        <v>43121</v>
      </c>
      <c r="I4405" s="1">
        <v>43122</v>
      </c>
      <c r="J4405" t="s">
        <v>15</v>
      </c>
      <c r="K4405">
        <v>0</v>
      </c>
      <c r="L4405">
        <v>30</v>
      </c>
      <c r="M4405" t="s">
        <v>52</v>
      </c>
      <c r="N4405">
        <v>1</v>
      </c>
    </row>
    <row r="4406" hidden="1" spans="1:14">
      <c r="A4406">
        <v>4826</v>
      </c>
      <c r="C4406" t="s">
        <v>558</v>
      </c>
      <c r="E4406">
        <v>-2.10528</v>
      </c>
      <c r="F4406">
        <v>51.984</v>
      </c>
      <c r="G4406">
        <v>8038.29</v>
      </c>
      <c r="H4406" s="1">
        <v>43776</v>
      </c>
      <c r="I4406" s="1">
        <v>43788</v>
      </c>
      <c r="J4406" t="s">
        <v>56</v>
      </c>
      <c r="K4406">
        <v>0</v>
      </c>
      <c r="L4406">
        <v>100</v>
      </c>
      <c r="M4406" t="s">
        <v>49</v>
      </c>
      <c r="N4406">
        <v>1</v>
      </c>
    </row>
    <row r="4407" hidden="1" spans="1:14">
      <c r="A4407">
        <v>4871</v>
      </c>
      <c r="C4407" t="s">
        <v>558</v>
      </c>
      <c r="E4407">
        <v>-1.8331</v>
      </c>
      <c r="F4407">
        <v>51.8482</v>
      </c>
      <c r="G4407">
        <v>47727.56</v>
      </c>
      <c r="H4407" s="1">
        <v>43877</v>
      </c>
      <c r="I4407" s="1">
        <v>43878</v>
      </c>
      <c r="J4407" t="s">
        <v>56</v>
      </c>
      <c r="K4407">
        <v>2</v>
      </c>
      <c r="L4407">
        <v>20</v>
      </c>
      <c r="M4407" t="s">
        <v>1041</v>
      </c>
      <c r="N4407">
        <v>1.5</v>
      </c>
    </row>
    <row r="4408" hidden="1" spans="1:14">
      <c r="A4408">
        <v>4999</v>
      </c>
      <c r="C4408" t="s">
        <v>558</v>
      </c>
      <c r="E4408">
        <v>-1.41247</v>
      </c>
      <c r="F4408">
        <v>52.6786</v>
      </c>
      <c r="G4408">
        <v>72126.44</v>
      </c>
      <c r="H4408" s="1">
        <v>44189</v>
      </c>
      <c r="I4408" s="1">
        <v>44195</v>
      </c>
      <c r="J4408" t="s">
        <v>56</v>
      </c>
      <c r="K4408">
        <v>0</v>
      </c>
      <c r="L4408">
        <v>2760</v>
      </c>
      <c r="M4408" t="s">
        <v>1042</v>
      </c>
      <c r="N4408">
        <v>1.5</v>
      </c>
    </row>
    <row r="4409" hidden="1" spans="1:14">
      <c r="A4409">
        <v>5008</v>
      </c>
      <c r="C4409" t="s">
        <v>558</v>
      </c>
      <c r="E4409">
        <v>-3.80021</v>
      </c>
      <c r="F4409">
        <v>52.3751</v>
      </c>
      <c r="G4409">
        <v>21408.25</v>
      </c>
      <c r="H4409" s="1">
        <v>44183</v>
      </c>
      <c r="I4409" s="1">
        <v>44187</v>
      </c>
      <c r="J4409" t="s">
        <v>56</v>
      </c>
      <c r="K4409">
        <v>0</v>
      </c>
      <c r="L4409">
        <v>18</v>
      </c>
      <c r="M4409" t="s">
        <v>49</v>
      </c>
      <c r="N4409">
        <v>1.5</v>
      </c>
    </row>
    <row r="4410" hidden="1" spans="1:14">
      <c r="A4410">
        <v>1939</v>
      </c>
      <c r="B4410">
        <v>0</v>
      </c>
      <c r="C4410" t="s">
        <v>95</v>
      </c>
      <c r="D4410">
        <v>0</v>
      </c>
      <c r="E4410">
        <v>-55.9505</v>
      </c>
      <c r="F4410">
        <v>-32.4864</v>
      </c>
      <c r="G4410">
        <v>205292</v>
      </c>
      <c r="H4410" s="1">
        <v>37369</v>
      </c>
      <c r="I4410" s="1">
        <v>37385</v>
      </c>
      <c r="J4410" t="s">
        <v>15</v>
      </c>
      <c r="K4410">
        <v>0</v>
      </c>
      <c r="L4410">
        <v>3600</v>
      </c>
      <c r="M4410" t="s">
        <v>16</v>
      </c>
      <c r="N4410">
        <v>1</v>
      </c>
    </row>
    <row r="4411" hidden="1" spans="1:14">
      <c r="A4411">
        <v>2073</v>
      </c>
      <c r="B4411">
        <v>0</v>
      </c>
      <c r="C4411" t="s">
        <v>95</v>
      </c>
      <c r="D4411">
        <v>0</v>
      </c>
      <c r="E4411">
        <v>-57.9616</v>
      </c>
      <c r="F4411">
        <v>-31.6196</v>
      </c>
      <c r="G4411">
        <v>187542.85</v>
      </c>
      <c r="H4411" s="1">
        <v>37541</v>
      </c>
      <c r="I4411" s="1">
        <v>37571</v>
      </c>
      <c r="J4411" t="s">
        <v>15</v>
      </c>
      <c r="K4411">
        <v>0</v>
      </c>
      <c r="L4411">
        <v>2000</v>
      </c>
      <c r="M4411" t="s">
        <v>16</v>
      </c>
      <c r="N4411">
        <v>1</v>
      </c>
    </row>
    <row r="4412" hidden="1" spans="1:14">
      <c r="A4412">
        <v>2268</v>
      </c>
      <c r="B4412">
        <v>0</v>
      </c>
      <c r="C4412" t="s">
        <v>95</v>
      </c>
      <c r="D4412">
        <v>0</v>
      </c>
      <c r="E4412">
        <v>-56.0038</v>
      </c>
      <c r="F4412">
        <v>-34.433</v>
      </c>
      <c r="G4412">
        <v>6903.15</v>
      </c>
      <c r="H4412" s="1">
        <v>37800</v>
      </c>
      <c r="I4412" s="1">
        <v>37804</v>
      </c>
      <c r="J4412" t="s">
        <v>15</v>
      </c>
      <c r="K4412">
        <v>1</v>
      </c>
      <c r="L4412">
        <v>300</v>
      </c>
      <c r="M4412" t="s">
        <v>16</v>
      </c>
      <c r="N4412">
        <v>1</v>
      </c>
    </row>
    <row r="4413" hidden="1" spans="1:14">
      <c r="A4413">
        <v>3071</v>
      </c>
      <c r="B4413" t="s">
        <v>1043</v>
      </c>
      <c r="C4413" t="s">
        <v>95</v>
      </c>
      <c r="D4413">
        <v>0</v>
      </c>
      <c r="E4413">
        <v>-55.8026</v>
      </c>
      <c r="F4413">
        <v>-32.7659</v>
      </c>
      <c r="G4413">
        <v>104127.85</v>
      </c>
      <c r="H4413" s="1">
        <v>39206</v>
      </c>
      <c r="I4413" s="1">
        <v>39227</v>
      </c>
      <c r="J4413" t="s">
        <v>15</v>
      </c>
      <c r="K4413">
        <v>2</v>
      </c>
      <c r="L4413">
        <v>12000</v>
      </c>
      <c r="M4413" t="s">
        <v>16</v>
      </c>
      <c r="N4413">
        <v>1.5</v>
      </c>
    </row>
    <row r="4414" hidden="1" spans="1:14">
      <c r="A4414">
        <v>3577</v>
      </c>
      <c r="B4414" t="s">
        <v>1044</v>
      </c>
      <c r="C4414" t="s">
        <v>95</v>
      </c>
      <c r="E4414">
        <v>-56.4778</v>
      </c>
      <c r="F4414">
        <v>-31.257</v>
      </c>
      <c r="G4414">
        <v>43485.41</v>
      </c>
      <c r="H4414" s="1">
        <v>40138</v>
      </c>
      <c r="I4414" s="1">
        <v>40155</v>
      </c>
      <c r="J4414">
        <v>0</v>
      </c>
      <c r="K4414">
        <v>12</v>
      </c>
      <c r="L4414">
        <v>22000</v>
      </c>
      <c r="M4414" t="s">
        <v>52</v>
      </c>
      <c r="N4414">
        <v>1.5</v>
      </c>
    </row>
    <row r="4415" hidden="1" spans="1:14">
      <c r="A4415">
        <v>4289</v>
      </c>
      <c r="C4415" t="s">
        <v>95</v>
      </c>
      <c r="E4415">
        <v>-55.6997</v>
      </c>
      <c r="F4415">
        <v>-32.6329</v>
      </c>
      <c r="G4415">
        <v>63707.6</v>
      </c>
      <c r="H4415" s="1">
        <v>42233</v>
      </c>
      <c r="I4415" s="1">
        <v>42235</v>
      </c>
      <c r="J4415" t="s">
        <v>15</v>
      </c>
      <c r="K4415">
        <v>0</v>
      </c>
      <c r="L4415">
        <v>4158</v>
      </c>
      <c r="M4415" t="s">
        <v>49</v>
      </c>
      <c r="N4415">
        <v>1.5</v>
      </c>
    </row>
    <row r="4416" hidden="1" spans="1:14">
      <c r="A4416">
        <v>4346</v>
      </c>
      <c r="C4416" t="s">
        <v>95</v>
      </c>
      <c r="D4416" t="s">
        <v>87</v>
      </c>
      <c r="E4416">
        <v>-58.2235</v>
      </c>
      <c r="F4416">
        <v>-31.1431</v>
      </c>
      <c r="G4416">
        <v>518692.93</v>
      </c>
      <c r="H4416" s="1">
        <v>42461</v>
      </c>
      <c r="I4416" s="1">
        <v>42473</v>
      </c>
      <c r="J4416" t="s">
        <v>15</v>
      </c>
      <c r="K4416">
        <v>1</v>
      </c>
      <c r="L4416">
        <v>10000</v>
      </c>
      <c r="M4416" t="s">
        <v>49</v>
      </c>
      <c r="N4416">
        <v>2</v>
      </c>
    </row>
    <row r="4417" hidden="1" spans="1:14">
      <c r="A4417">
        <v>4350</v>
      </c>
      <c r="C4417" t="s">
        <v>95</v>
      </c>
      <c r="E4417">
        <v>-56.1946</v>
      </c>
      <c r="F4417">
        <v>-32.4347</v>
      </c>
      <c r="G4417">
        <v>126653.11</v>
      </c>
      <c r="H4417" s="1">
        <v>42472</v>
      </c>
      <c r="I4417" s="1">
        <v>42501</v>
      </c>
      <c r="J4417" t="s">
        <v>15</v>
      </c>
      <c r="K4417">
        <v>10</v>
      </c>
      <c r="L4417">
        <v>10000</v>
      </c>
      <c r="M4417" t="s">
        <v>49</v>
      </c>
      <c r="N4417">
        <v>2</v>
      </c>
    </row>
    <row r="4418" hidden="1" spans="1:14">
      <c r="A4418">
        <v>4475</v>
      </c>
      <c r="C4418" t="s">
        <v>95</v>
      </c>
      <c r="E4418">
        <v>-57.4317</v>
      </c>
      <c r="F4418">
        <v>-31.8884</v>
      </c>
      <c r="G4418">
        <v>87427.72</v>
      </c>
      <c r="H4418" s="1">
        <v>42880</v>
      </c>
      <c r="I4418" s="1">
        <v>42900</v>
      </c>
      <c r="J4418" t="s">
        <v>15</v>
      </c>
      <c r="K4418">
        <v>0</v>
      </c>
      <c r="L4418">
        <v>5600</v>
      </c>
      <c r="M4418" t="s">
        <v>49</v>
      </c>
      <c r="N4418">
        <v>1.5</v>
      </c>
    </row>
    <row r="4419" hidden="1" spans="1:14">
      <c r="A4419">
        <v>4592</v>
      </c>
      <c r="C4419" t="s">
        <v>95</v>
      </c>
      <c r="E4419">
        <v>-56.442</v>
      </c>
      <c r="F4419">
        <v>-33.7238</v>
      </c>
      <c r="G4419">
        <v>54636.92</v>
      </c>
      <c r="H4419" s="1">
        <v>43177</v>
      </c>
      <c r="I4419" s="1">
        <v>43179</v>
      </c>
      <c r="J4419" t="s">
        <v>56</v>
      </c>
      <c r="K4419">
        <v>0</v>
      </c>
      <c r="L4419">
        <v>70</v>
      </c>
      <c r="M4419" t="s">
        <v>49</v>
      </c>
      <c r="N4419">
        <v>1</v>
      </c>
    </row>
    <row r="4420" hidden="1" spans="1:14">
      <c r="A4420">
        <v>4680</v>
      </c>
      <c r="C4420" t="s">
        <v>95</v>
      </c>
      <c r="E4420">
        <v>-55.3038</v>
      </c>
      <c r="F4420">
        <v>-32.0875</v>
      </c>
      <c r="G4420">
        <v>141701.16</v>
      </c>
      <c r="H4420" s="1">
        <v>43372</v>
      </c>
      <c r="I4420" s="1">
        <v>43375</v>
      </c>
      <c r="J4420" t="s">
        <v>56</v>
      </c>
      <c r="K4420">
        <v>4</v>
      </c>
      <c r="L4420">
        <v>36</v>
      </c>
      <c r="M4420" t="s">
        <v>49</v>
      </c>
      <c r="N4420">
        <v>1</v>
      </c>
    </row>
    <row r="4421" hidden="1" spans="1:14">
      <c r="A4421">
        <v>4767</v>
      </c>
      <c r="C4421" t="s">
        <v>95</v>
      </c>
      <c r="E4421">
        <v>-55.9719</v>
      </c>
      <c r="F4421">
        <v>-32.7446</v>
      </c>
      <c r="G4421">
        <v>38380.48</v>
      </c>
      <c r="H4421" s="1">
        <v>43627</v>
      </c>
      <c r="I4421" s="1">
        <v>43640</v>
      </c>
      <c r="J4421" t="s">
        <v>56</v>
      </c>
      <c r="K4421">
        <v>0</v>
      </c>
      <c r="L4421">
        <v>5400</v>
      </c>
      <c r="M4421" t="s">
        <v>49</v>
      </c>
      <c r="N4421">
        <v>1.5</v>
      </c>
    </row>
    <row r="4422" hidden="1" spans="1:14">
      <c r="A4422">
        <v>4812</v>
      </c>
      <c r="C4422" t="s">
        <v>95</v>
      </c>
      <c r="E4422">
        <v>-55.9224</v>
      </c>
      <c r="F4422">
        <v>-33.7487</v>
      </c>
      <c r="G4422">
        <v>73269.14</v>
      </c>
      <c r="H4422" s="1">
        <v>43750</v>
      </c>
      <c r="I4422" s="1">
        <v>43756</v>
      </c>
      <c r="J4422" t="s">
        <v>56</v>
      </c>
      <c r="K4422">
        <v>0</v>
      </c>
      <c r="L4422">
        <v>270</v>
      </c>
      <c r="M4422" t="s">
        <v>49</v>
      </c>
      <c r="N4422">
        <v>1</v>
      </c>
    </row>
    <row r="4423" hidden="1" spans="1:14">
      <c r="A4423">
        <v>4931</v>
      </c>
      <c r="C4423" t="s">
        <v>95</v>
      </c>
      <c r="E4423">
        <v>-56.0461</v>
      </c>
      <c r="F4423">
        <v>-33.1035</v>
      </c>
      <c r="G4423">
        <v>112272.14</v>
      </c>
      <c r="H4423" s="1">
        <v>44004</v>
      </c>
      <c r="I4423" s="1">
        <v>44008</v>
      </c>
      <c r="J4423" t="s">
        <v>56</v>
      </c>
      <c r="K4423">
        <v>0</v>
      </c>
      <c r="L4423">
        <v>360</v>
      </c>
      <c r="M4423" t="s">
        <v>52</v>
      </c>
      <c r="N4423">
        <v>1</v>
      </c>
    </row>
    <row r="4424" hidden="1" spans="1:14">
      <c r="A4424">
        <v>99</v>
      </c>
      <c r="B4424">
        <v>0</v>
      </c>
      <c r="C4424" t="s">
        <v>1045</v>
      </c>
      <c r="D4424">
        <v>0</v>
      </c>
      <c r="E4424">
        <v>-54.7281</v>
      </c>
      <c r="F4424">
        <v>-33.7104</v>
      </c>
      <c r="G4424">
        <v>48840.56</v>
      </c>
      <c r="H4424" s="1">
        <v>31628</v>
      </c>
      <c r="I4424" s="1">
        <v>31640</v>
      </c>
      <c r="J4424" t="s">
        <v>15</v>
      </c>
      <c r="K4424">
        <v>0</v>
      </c>
      <c r="L4424">
        <v>16000</v>
      </c>
      <c r="M4424" t="s">
        <v>16</v>
      </c>
      <c r="N4424">
        <v>1</v>
      </c>
    </row>
    <row r="4425" hidden="1" spans="1:14">
      <c r="A4425">
        <v>1718</v>
      </c>
      <c r="B4425">
        <v>0</v>
      </c>
      <c r="C4425" t="s">
        <v>1045</v>
      </c>
      <c r="D4425">
        <v>0</v>
      </c>
      <c r="E4425">
        <v>-56.7353</v>
      </c>
      <c r="F4425">
        <v>-30.3332</v>
      </c>
      <c r="G4425">
        <v>6892.57</v>
      </c>
      <c r="H4425" s="1">
        <v>37011</v>
      </c>
      <c r="I4425" s="1">
        <v>37044</v>
      </c>
      <c r="J4425" t="s">
        <v>15</v>
      </c>
      <c r="K4425">
        <v>0</v>
      </c>
      <c r="L4425">
        <v>5000</v>
      </c>
      <c r="M4425" t="s">
        <v>16</v>
      </c>
      <c r="N4425">
        <v>1</v>
      </c>
    </row>
    <row r="4426" hidden="1" spans="1:14">
      <c r="A4426">
        <v>4301</v>
      </c>
      <c r="C4426" t="s">
        <v>1046</v>
      </c>
      <c r="D4426" t="s">
        <v>88</v>
      </c>
      <c r="E4426">
        <v>-53.5718</v>
      </c>
      <c r="F4426">
        <v>-29.9568</v>
      </c>
      <c r="G4426">
        <v>392899.19</v>
      </c>
      <c r="H4426" s="1">
        <v>42291</v>
      </c>
      <c r="I4426" s="1">
        <v>42305</v>
      </c>
      <c r="J4426" t="s">
        <v>15</v>
      </c>
      <c r="K4426">
        <v>0</v>
      </c>
      <c r="L4426">
        <v>10000</v>
      </c>
      <c r="M4426" t="s">
        <v>49</v>
      </c>
      <c r="N4426">
        <v>2</v>
      </c>
    </row>
    <row r="4427" hidden="1" spans="1:14">
      <c r="A4427">
        <v>9</v>
      </c>
      <c r="B4427">
        <v>0</v>
      </c>
      <c r="C4427" t="s">
        <v>128</v>
      </c>
      <c r="D4427">
        <v>0</v>
      </c>
      <c r="E4427">
        <v>-85.1742</v>
      </c>
      <c r="F4427">
        <v>40.6691</v>
      </c>
      <c r="G4427">
        <v>210527.96</v>
      </c>
      <c r="H4427" s="1">
        <v>31100</v>
      </c>
      <c r="I4427" s="1">
        <v>31107</v>
      </c>
      <c r="J4427" t="s">
        <v>15</v>
      </c>
      <c r="K4427">
        <v>7</v>
      </c>
      <c r="L4427">
        <v>2250</v>
      </c>
      <c r="M4427" t="s">
        <v>38</v>
      </c>
      <c r="N4427">
        <v>2</v>
      </c>
    </row>
    <row r="4428" hidden="1" spans="1:14">
      <c r="A4428">
        <v>11</v>
      </c>
      <c r="B4428">
        <v>0</v>
      </c>
      <c r="C4428" t="s">
        <v>128</v>
      </c>
      <c r="D4428">
        <v>0</v>
      </c>
      <c r="E4428">
        <v>-89.5537</v>
      </c>
      <c r="F4428">
        <v>40.6814</v>
      </c>
      <c r="G4428">
        <v>26266.14</v>
      </c>
      <c r="H4428" s="1">
        <v>31109</v>
      </c>
      <c r="I4428" s="1">
        <v>31114</v>
      </c>
      <c r="J4428" t="s">
        <v>15</v>
      </c>
      <c r="K4428">
        <v>4</v>
      </c>
      <c r="L4428">
        <v>2400</v>
      </c>
      <c r="M4428" t="s">
        <v>38</v>
      </c>
      <c r="N4428">
        <v>2</v>
      </c>
    </row>
    <row r="4429" hidden="1" spans="1:14">
      <c r="A4429">
        <v>12</v>
      </c>
      <c r="B4429">
        <v>0</v>
      </c>
      <c r="C4429" t="s">
        <v>128</v>
      </c>
      <c r="D4429">
        <v>0</v>
      </c>
      <c r="E4429">
        <v>-108.093</v>
      </c>
      <c r="F4429">
        <v>35.3824</v>
      </c>
      <c r="G4429">
        <v>26527.13</v>
      </c>
      <c r="H4429" s="1">
        <v>31119</v>
      </c>
      <c r="I4429" s="1">
        <v>31120</v>
      </c>
      <c r="J4429" t="s">
        <v>15</v>
      </c>
      <c r="K4429">
        <v>0</v>
      </c>
      <c r="L4429">
        <v>80</v>
      </c>
      <c r="M4429" t="s">
        <v>38</v>
      </c>
      <c r="N4429">
        <v>1</v>
      </c>
    </row>
    <row r="4430" hidden="1" spans="1:14">
      <c r="A4430">
        <v>13</v>
      </c>
      <c r="B4430">
        <v>0</v>
      </c>
      <c r="C4430" t="s">
        <v>128</v>
      </c>
      <c r="D4430">
        <v>0</v>
      </c>
      <c r="E4430">
        <v>-96.7845</v>
      </c>
      <c r="F4430">
        <v>29.6044</v>
      </c>
      <c r="G4430">
        <v>141508</v>
      </c>
      <c r="H4430" s="1">
        <v>31120</v>
      </c>
      <c r="I4430" s="1">
        <v>31121</v>
      </c>
      <c r="J4430" t="s">
        <v>15</v>
      </c>
      <c r="K4430">
        <v>0</v>
      </c>
      <c r="L4430">
        <v>0</v>
      </c>
      <c r="M4430" t="s">
        <v>16</v>
      </c>
      <c r="N4430">
        <v>1</v>
      </c>
    </row>
    <row r="4431" hidden="1" spans="1:14">
      <c r="A4431">
        <v>14</v>
      </c>
      <c r="B4431">
        <v>0</v>
      </c>
      <c r="C4431" t="s">
        <v>128</v>
      </c>
      <c r="D4431">
        <v>0</v>
      </c>
      <c r="E4431">
        <v>-83.5377</v>
      </c>
      <c r="F4431">
        <v>42.0122</v>
      </c>
      <c r="G4431">
        <v>16883.54</v>
      </c>
      <c r="H4431" s="1">
        <v>31136</v>
      </c>
      <c r="I4431" s="1">
        <v>31137</v>
      </c>
      <c r="J4431" t="s">
        <v>15</v>
      </c>
      <c r="K4431">
        <v>0</v>
      </c>
      <c r="L4431">
        <v>300</v>
      </c>
      <c r="M4431" t="s">
        <v>16</v>
      </c>
      <c r="N4431">
        <v>1</v>
      </c>
    </row>
    <row r="4432" hidden="1" spans="1:14">
      <c r="A4432">
        <v>16</v>
      </c>
      <c r="B4432">
        <v>0</v>
      </c>
      <c r="C4432" t="s">
        <v>128</v>
      </c>
      <c r="D4432">
        <v>0</v>
      </c>
      <c r="E4432">
        <v>-96.8425</v>
      </c>
      <c r="F4432">
        <v>28.5802</v>
      </c>
      <c r="G4432">
        <v>17192.76</v>
      </c>
      <c r="H4432" s="1">
        <v>31148</v>
      </c>
      <c r="I4432" s="1">
        <v>31149</v>
      </c>
      <c r="J4432" t="s">
        <v>15</v>
      </c>
      <c r="K4432">
        <v>1</v>
      </c>
      <c r="L4432">
        <v>200</v>
      </c>
      <c r="M4432" t="s">
        <v>16</v>
      </c>
      <c r="N4432">
        <v>1</v>
      </c>
    </row>
    <row r="4433" hidden="1" spans="1:14">
      <c r="A4433">
        <v>18</v>
      </c>
      <c r="B4433">
        <v>0</v>
      </c>
      <c r="C4433" t="s">
        <v>128</v>
      </c>
      <c r="D4433">
        <v>0</v>
      </c>
      <c r="E4433">
        <v>-87.8805</v>
      </c>
      <c r="F4433">
        <v>46.4938</v>
      </c>
      <c r="G4433">
        <v>5123.72</v>
      </c>
      <c r="H4433" s="1">
        <v>31161</v>
      </c>
      <c r="I4433" s="1">
        <v>31162</v>
      </c>
      <c r="J4433" t="s">
        <v>15</v>
      </c>
      <c r="K4433">
        <v>0</v>
      </c>
      <c r="L4433">
        <v>400</v>
      </c>
      <c r="M4433" t="s">
        <v>38</v>
      </c>
      <c r="N4433">
        <v>2</v>
      </c>
    </row>
    <row r="4434" hidden="1" spans="1:14">
      <c r="A4434">
        <v>19</v>
      </c>
      <c r="B4434">
        <v>0</v>
      </c>
      <c r="C4434" t="s">
        <v>128</v>
      </c>
      <c r="D4434">
        <v>0</v>
      </c>
      <c r="E4434">
        <v>-105.275</v>
      </c>
      <c r="F4434">
        <v>34.8628</v>
      </c>
      <c r="G4434">
        <v>116344.02</v>
      </c>
      <c r="H4434" s="1">
        <v>31178</v>
      </c>
      <c r="I4434" s="1">
        <v>31179</v>
      </c>
      <c r="J4434" t="s">
        <v>15</v>
      </c>
      <c r="K4434">
        <v>2</v>
      </c>
      <c r="L4434">
        <v>0</v>
      </c>
      <c r="M4434" t="s">
        <v>16</v>
      </c>
      <c r="N4434">
        <v>1</v>
      </c>
    </row>
    <row r="4435" hidden="1" spans="1:14">
      <c r="A4435">
        <v>20</v>
      </c>
      <c r="B4435">
        <v>0</v>
      </c>
      <c r="C4435" t="s">
        <v>128</v>
      </c>
      <c r="D4435">
        <v>0</v>
      </c>
      <c r="E4435">
        <v>-66.706</v>
      </c>
      <c r="F4435">
        <v>18.2291</v>
      </c>
      <c r="G4435">
        <v>1423.92</v>
      </c>
      <c r="H4435" s="1">
        <v>31186</v>
      </c>
      <c r="I4435" s="1">
        <v>31187</v>
      </c>
      <c r="J4435" t="s">
        <v>15</v>
      </c>
      <c r="K4435">
        <v>2</v>
      </c>
      <c r="L4435">
        <v>4500</v>
      </c>
      <c r="M4435" t="s">
        <v>16</v>
      </c>
      <c r="N4435">
        <v>1</v>
      </c>
    </row>
    <row r="4436" hidden="1" spans="1:14">
      <c r="A4436">
        <v>24</v>
      </c>
      <c r="B4436">
        <v>0</v>
      </c>
      <c r="C4436" t="s">
        <v>128</v>
      </c>
      <c r="D4436">
        <v>0</v>
      </c>
      <c r="E4436">
        <v>-99.4494</v>
      </c>
      <c r="F4436">
        <v>33.6977</v>
      </c>
      <c r="G4436">
        <v>83470.44</v>
      </c>
      <c r="H4436" s="1">
        <v>31203</v>
      </c>
      <c r="I4436" s="1">
        <v>31204</v>
      </c>
      <c r="J4436" t="s">
        <v>15</v>
      </c>
      <c r="K4436">
        <v>6</v>
      </c>
      <c r="L4436">
        <v>100</v>
      </c>
      <c r="M4436" t="s">
        <v>16</v>
      </c>
      <c r="N4436">
        <v>1</v>
      </c>
    </row>
    <row r="4437" hidden="1" spans="1:14">
      <c r="A4437">
        <v>25</v>
      </c>
      <c r="B4437">
        <v>0</v>
      </c>
      <c r="C4437" t="s">
        <v>128</v>
      </c>
      <c r="D4437">
        <v>0</v>
      </c>
      <c r="E4437">
        <v>-96.1011</v>
      </c>
      <c r="F4437">
        <v>36.3581</v>
      </c>
      <c r="G4437">
        <v>9865.44</v>
      </c>
      <c r="H4437" s="1">
        <v>31208</v>
      </c>
      <c r="I4437" s="1">
        <v>31209</v>
      </c>
      <c r="J4437" t="s">
        <v>15</v>
      </c>
      <c r="K4437">
        <v>0</v>
      </c>
      <c r="L4437">
        <v>320</v>
      </c>
      <c r="M4437" t="s">
        <v>16</v>
      </c>
      <c r="N4437">
        <v>2</v>
      </c>
    </row>
    <row r="4438" hidden="1" spans="1:14">
      <c r="A4438">
        <v>31</v>
      </c>
      <c r="B4438">
        <v>0</v>
      </c>
      <c r="C4438" t="s">
        <v>128</v>
      </c>
      <c r="D4438">
        <v>0</v>
      </c>
      <c r="E4438">
        <v>-80.5923</v>
      </c>
      <c r="F4438">
        <v>38.9381</v>
      </c>
      <c r="G4438">
        <v>24269.06</v>
      </c>
      <c r="H4438" s="1">
        <v>31237</v>
      </c>
      <c r="I4438" s="1">
        <v>31238</v>
      </c>
      <c r="J4438" t="s">
        <v>15</v>
      </c>
      <c r="K4438">
        <v>2</v>
      </c>
      <c r="L4438">
        <v>200</v>
      </c>
      <c r="M4438" t="s">
        <v>64</v>
      </c>
      <c r="N4438">
        <v>1</v>
      </c>
    </row>
    <row r="4439" hidden="1" spans="1:14">
      <c r="A4439">
        <v>37</v>
      </c>
      <c r="B4439">
        <v>0</v>
      </c>
      <c r="C4439" t="s">
        <v>128</v>
      </c>
      <c r="D4439">
        <v>0</v>
      </c>
      <c r="E4439">
        <v>-85.7798</v>
      </c>
      <c r="F4439">
        <v>34.4872</v>
      </c>
      <c r="G4439">
        <v>2440.1</v>
      </c>
      <c r="H4439" s="1">
        <v>31252</v>
      </c>
      <c r="I4439" s="1">
        <v>31253</v>
      </c>
      <c r="J4439" t="s">
        <v>15</v>
      </c>
      <c r="K4439">
        <v>0</v>
      </c>
      <c r="L4439">
        <v>100</v>
      </c>
      <c r="M4439" t="s">
        <v>16</v>
      </c>
      <c r="N4439">
        <v>1</v>
      </c>
    </row>
    <row r="4440" hidden="1" spans="1:14">
      <c r="A4440">
        <v>39</v>
      </c>
      <c r="B4440">
        <v>0</v>
      </c>
      <c r="C4440" t="s">
        <v>128</v>
      </c>
      <c r="D4440">
        <v>0</v>
      </c>
      <c r="E4440">
        <v>-105.091</v>
      </c>
      <c r="F4440">
        <v>41.6853</v>
      </c>
      <c r="G4440">
        <v>17922.86</v>
      </c>
      <c r="H4440" s="1">
        <v>31261</v>
      </c>
      <c r="I4440" s="1">
        <v>31262</v>
      </c>
      <c r="J4440" t="s">
        <v>15</v>
      </c>
      <c r="K4440">
        <v>12</v>
      </c>
      <c r="L4440">
        <v>0</v>
      </c>
      <c r="M4440" t="s">
        <v>64</v>
      </c>
      <c r="N4440">
        <v>2</v>
      </c>
    </row>
    <row r="4441" hidden="1" spans="1:14">
      <c r="A4441">
        <v>46</v>
      </c>
      <c r="B4441">
        <v>0</v>
      </c>
      <c r="C4441" t="s">
        <v>128</v>
      </c>
      <c r="D4441">
        <v>0</v>
      </c>
      <c r="E4441">
        <v>-82.3489</v>
      </c>
      <c r="F4441">
        <v>28.5438</v>
      </c>
      <c r="G4441">
        <v>73968.61</v>
      </c>
      <c r="H4441" s="1">
        <v>31289</v>
      </c>
      <c r="I4441" s="1">
        <v>31295</v>
      </c>
      <c r="J4441" t="s">
        <v>15</v>
      </c>
      <c r="K4441">
        <v>4</v>
      </c>
      <c r="L4441">
        <v>1000000</v>
      </c>
      <c r="M4441" t="s">
        <v>86</v>
      </c>
      <c r="N4441">
        <v>1</v>
      </c>
    </row>
    <row r="4442" hidden="1" spans="1:14">
      <c r="A4442">
        <v>50</v>
      </c>
      <c r="B4442">
        <v>0</v>
      </c>
      <c r="C4442" t="s">
        <v>128</v>
      </c>
      <c r="D4442">
        <v>0</v>
      </c>
      <c r="E4442">
        <v>-83.8824</v>
      </c>
      <c r="F4442">
        <v>43.242</v>
      </c>
      <c r="G4442">
        <v>3235.32</v>
      </c>
      <c r="H4442" s="1">
        <v>31296</v>
      </c>
      <c r="I4442" s="1">
        <v>31299</v>
      </c>
      <c r="J4442" t="s">
        <v>15</v>
      </c>
      <c r="K4442">
        <v>0</v>
      </c>
      <c r="L4442">
        <v>160</v>
      </c>
      <c r="M4442" t="s">
        <v>64</v>
      </c>
      <c r="N4442">
        <v>2</v>
      </c>
    </row>
    <row r="4443" hidden="1" spans="1:14">
      <c r="A4443">
        <v>57</v>
      </c>
      <c r="B4443">
        <v>0</v>
      </c>
      <c r="C4443" t="s">
        <v>128</v>
      </c>
      <c r="D4443">
        <v>0</v>
      </c>
      <c r="E4443">
        <v>-66.635</v>
      </c>
      <c r="F4443">
        <v>18.2233</v>
      </c>
      <c r="G4443">
        <v>7219.8</v>
      </c>
      <c r="H4443" s="1">
        <v>31326</v>
      </c>
      <c r="I4443" s="1">
        <v>31328</v>
      </c>
      <c r="J4443" t="s">
        <v>15</v>
      </c>
      <c r="K4443">
        <v>99</v>
      </c>
      <c r="L4443">
        <v>6200</v>
      </c>
      <c r="M4443" t="s">
        <v>86</v>
      </c>
      <c r="N4443">
        <v>1</v>
      </c>
    </row>
    <row r="4444" hidden="1" spans="1:14">
      <c r="A4444">
        <v>62</v>
      </c>
      <c r="B4444">
        <v>0</v>
      </c>
      <c r="C4444" t="s">
        <v>128</v>
      </c>
      <c r="D4444">
        <v>0</v>
      </c>
      <c r="E4444">
        <v>-98.6949</v>
      </c>
      <c r="F4444">
        <v>31.7526</v>
      </c>
      <c r="G4444">
        <v>61286.27</v>
      </c>
      <c r="H4444" s="1">
        <v>31339</v>
      </c>
      <c r="I4444" s="1">
        <v>31341</v>
      </c>
      <c r="J4444" t="s">
        <v>15</v>
      </c>
      <c r="K4444">
        <v>3</v>
      </c>
      <c r="L4444">
        <v>0</v>
      </c>
      <c r="M4444" t="s">
        <v>16</v>
      </c>
      <c r="N4444">
        <v>1</v>
      </c>
    </row>
    <row r="4445" hidden="1" spans="1:14">
      <c r="A4445">
        <v>64</v>
      </c>
      <c r="B4445">
        <v>0</v>
      </c>
      <c r="C4445" t="s">
        <v>128</v>
      </c>
      <c r="D4445">
        <v>0</v>
      </c>
      <c r="E4445">
        <v>-90.0003</v>
      </c>
      <c r="F4445">
        <v>29.542</v>
      </c>
      <c r="G4445">
        <v>9355.65</v>
      </c>
      <c r="H4445" s="1">
        <v>31346</v>
      </c>
      <c r="I4445" s="1">
        <v>31350</v>
      </c>
      <c r="J4445" t="s">
        <v>15</v>
      </c>
      <c r="K4445">
        <v>0</v>
      </c>
      <c r="L4445">
        <v>400000</v>
      </c>
      <c r="M4445" t="s">
        <v>86</v>
      </c>
      <c r="N4445">
        <v>2</v>
      </c>
    </row>
    <row r="4446" hidden="1" spans="1:14">
      <c r="A4446">
        <v>65</v>
      </c>
      <c r="B4446">
        <v>0</v>
      </c>
      <c r="C4446" t="s">
        <v>128</v>
      </c>
      <c r="D4446">
        <v>0</v>
      </c>
      <c r="E4446">
        <v>-78.4543</v>
      </c>
      <c r="F4446">
        <v>38.837</v>
      </c>
      <c r="G4446">
        <v>57867.01</v>
      </c>
      <c r="H4446" s="1">
        <v>31352</v>
      </c>
      <c r="I4446" s="1">
        <v>31360</v>
      </c>
      <c r="J4446" t="s">
        <v>15</v>
      </c>
      <c r="K4446">
        <v>54</v>
      </c>
      <c r="L4446">
        <v>18000</v>
      </c>
      <c r="M4446" t="s">
        <v>16</v>
      </c>
      <c r="N4446">
        <v>2</v>
      </c>
    </row>
    <row r="4447" hidden="1" spans="1:14">
      <c r="A4447">
        <v>69</v>
      </c>
      <c r="B4447">
        <v>0</v>
      </c>
      <c r="C4447" t="s">
        <v>128</v>
      </c>
      <c r="D4447">
        <v>0</v>
      </c>
      <c r="E4447">
        <v>-82.8186</v>
      </c>
      <c r="F4447">
        <v>42.6864</v>
      </c>
      <c r="G4447">
        <v>2796.82</v>
      </c>
      <c r="H4447" s="1">
        <v>31411</v>
      </c>
      <c r="I4447" s="1">
        <v>31412</v>
      </c>
      <c r="J4447" t="s">
        <v>15</v>
      </c>
      <c r="K4447">
        <v>0</v>
      </c>
      <c r="L4447">
        <v>100</v>
      </c>
      <c r="M4447" t="s">
        <v>16</v>
      </c>
      <c r="N4447">
        <v>1</v>
      </c>
    </row>
    <row r="4448" hidden="1" spans="1:14">
      <c r="A4448">
        <v>70</v>
      </c>
      <c r="B4448">
        <v>0</v>
      </c>
      <c r="C4448" t="s">
        <v>128</v>
      </c>
      <c r="D4448">
        <v>0</v>
      </c>
      <c r="E4448">
        <v>-116.954</v>
      </c>
      <c r="F4448">
        <v>44.0047</v>
      </c>
      <c r="G4448">
        <v>1742.13</v>
      </c>
      <c r="H4448" s="1">
        <v>31413</v>
      </c>
      <c r="I4448" s="1">
        <v>31418</v>
      </c>
      <c r="J4448" t="s">
        <v>15</v>
      </c>
      <c r="K4448">
        <v>0</v>
      </c>
      <c r="L4448">
        <v>100</v>
      </c>
      <c r="M4448" t="s">
        <v>48</v>
      </c>
      <c r="N4448">
        <v>1</v>
      </c>
    </row>
    <row r="4449" hidden="1" spans="1:14">
      <c r="A4449">
        <v>72</v>
      </c>
      <c r="B4449">
        <v>0</v>
      </c>
      <c r="C4449" t="s">
        <v>128</v>
      </c>
      <c r="D4449">
        <v>0</v>
      </c>
      <c r="E4449">
        <v>-121.38</v>
      </c>
      <c r="F4449">
        <v>39.2816</v>
      </c>
      <c r="G4449">
        <v>88717.35</v>
      </c>
      <c r="H4449" s="1">
        <v>31455</v>
      </c>
      <c r="I4449" s="1">
        <v>31470</v>
      </c>
      <c r="J4449" t="s">
        <v>15</v>
      </c>
      <c r="K4449">
        <v>18</v>
      </c>
      <c r="L4449">
        <v>30000</v>
      </c>
      <c r="M4449" t="s">
        <v>64</v>
      </c>
      <c r="N4449">
        <v>2</v>
      </c>
    </row>
    <row r="4450" hidden="1" spans="1:14">
      <c r="A4450">
        <v>74</v>
      </c>
      <c r="B4450">
        <v>0</v>
      </c>
      <c r="C4450" t="s">
        <v>128</v>
      </c>
      <c r="D4450">
        <v>0</v>
      </c>
      <c r="E4450">
        <v>-87.8814</v>
      </c>
      <c r="F4450">
        <v>45.0248</v>
      </c>
      <c r="G4450">
        <v>4321.14</v>
      </c>
      <c r="H4450" s="1">
        <v>31498</v>
      </c>
      <c r="I4450" s="1">
        <v>31507</v>
      </c>
      <c r="J4450" t="s">
        <v>15</v>
      </c>
      <c r="K4450">
        <v>2</v>
      </c>
      <c r="L4450">
        <v>496</v>
      </c>
      <c r="M4450" t="s">
        <v>48</v>
      </c>
      <c r="N4450">
        <v>1</v>
      </c>
    </row>
    <row r="4451" hidden="1" spans="1:14">
      <c r="A4451">
        <v>79</v>
      </c>
      <c r="B4451">
        <v>0</v>
      </c>
      <c r="C4451" t="s">
        <v>128</v>
      </c>
      <c r="D4451">
        <v>0</v>
      </c>
      <c r="E4451">
        <v>-89.8357</v>
      </c>
      <c r="F4451">
        <v>37.2733</v>
      </c>
      <c r="G4451">
        <v>6447.33</v>
      </c>
      <c r="H4451" s="1">
        <v>31547</v>
      </c>
      <c r="I4451" s="1">
        <v>31547</v>
      </c>
      <c r="J4451" t="s">
        <v>15</v>
      </c>
      <c r="K4451">
        <v>3</v>
      </c>
      <c r="L4451">
        <v>0</v>
      </c>
      <c r="M4451" t="s">
        <v>64</v>
      </c>
      <c r="N4451">
        <v>1</v>
      </c>
    </row>
    <row r="4452" hidden="1" spans="1:14">
      <c r="A4452">
        <v>81</v>
      </c>
      <c r="B4452">
        <v>0</v>
      </c>
      <c r="C4452" t="s">
        <v>128</v>
      </c>
      <c r="D4452">
        <v>0</v>
      </c>
      <c r="E4452">
        <v>-97.2966</v>
      </c>
      <c r="F4452">
        <v>32.4344</v>
      </c>
      <c r="G4452">
        <v>5256.42</v>
      </c>
      <c r="H4452" s="1">
        <v>31556</v>
      </c>
      <c r="I4452" s="1">
        <v>31556</v>
      </c>
      <c r="J4452" t="s">
        <v>15</v>
      </c>
      <c r="K4452">
        <v>3</v>
      </c>
      <c r="L4452">
        <v>100</v>
      </c>
      <c r="M4452" t="s">
        <v>64</v>
      </c>
      <c r="N4452">
        <v>1</v>
      </c>
    </row>
    <row r="4453" hidden="1" spans="1:14">
      <c r="A4453">
        <v>83</v>
      </c>
      <c r="B4453">
        <v>0</v>
      </c>
      <c r="C4453" t="s">
        <v>128</v>
      </c>
      <c r="D4453">
        <v>0</v>
      </c>
      <c r="E4453">
        <v>-79.7424</v>
      </c>
      <c r="F4453">
        <v>40.604</v>
      </c>
      <c r="G4453">
        <v>1700.14</v>
      </c>
      <c r="H4453" s="1">
        <v>31562</v>
      </c>
      <c r="I4453" s="1">
        <v>31563</v>
      </c>
      <c r="J4453" t="s">
        <v>15</v>
      </c>
      <c r="K4453">
        <v>8</v>
      </c>
      <c r="L4453">
        <v>10</v>
      </c>
      <c r="M4453" t="s">
        <v>64</v>
      </c>
      <c r="N4453">
        <v>1</v>
      </c>
    </row>
    <row r="4454" hidden="1" spans="1:14">
      <c r="A4454">
        <v>84</v>
      </c>
      <c r="B4454">
        <v>0</v>
      </c>
      <c r="C4454" t="s">
        <v>128</v>
      </c>
      <c r="D4454">
        <v>0</v>
      </c>
      <c r="E4454">
        <v>-97.8369</v>
      </c>
      <c r="F4454">
        <v>29.6932</v>
      </c>
      <c r="G4454">
        <v>26949.32</v>
      </c>
      <c r="H4454" s="1">
        <v>31563</v>
      </c>
      <c r="I4454" s="1">
        <v>31574</v>
      </c>
      <c r="J4454" t="s">
        <v>15</v>
      </c>
      <c r="K4454">
        <v>10</v>
      </c>
      <c r="L4454">
        <v>3500</v>
      </c>
      <c r="M4454" t="s">
        <v>64</v>
      </c>
      <c r="N4454">
        <v>1</v>
      </c>
    </row>
    <row r="4455" hidden="1" spans="1:14">
      <c r="A4455">
        <v>87</v>
      </c>
      <c r="B4455">
        <v>0</v>
      </c>
      <c r="C4455" t="s">
        <v>128</v>
      </c>
      <c r="D4455">
        <v>0</v>
      </c>
      <c r="E4455">
        <v>-94.1582</v>
      </c>
      <c r="F4455">
        <v>31.1451</v>
      </c>
      <c r="G4455">
        <v>25821.21</v>
      </c>
      <c r="H4455" s="1">
        <v>31590</v>
      </c>
      <c r="I4455" s="1">
        <v>31593</v>
      </c>
      <c r="J4455" t="s">
        <v>15</v>
      </c>
      <c r="K4455">
        <v>1</v>
      </c>
      <c r="L4455">
        <v>1000</v>
      </c>
      <c r="M4455" t="s">
        <v>86</v>
      </c>
      <c r="N4455">
        <v>1</v>
      </c>
    </row>
    <row r="4456" hidden="1" spans="1:14">
      <c r="A4456">
        <v>88</v>
      </c>
      <c r="B4456">
        <v>0</v>
      </c>
      <c r="C4456" t="s">
        <v>128</v>
      </c>
      <c r="D4456">
        <v>0</v>
      </c>
      <c r="E4456">
        <v>-94.9169</v>
      </c>
      <c r="F4456">
        <v>41.7178</v>
      </c>
      <c r="G4456">
        <v>6985.68</v>
      </c>
      <c r="H4456" s="1">
        <v>31594</v>
      </c>
      <c r="I4456" s="1">
        <v>31595</v>
      </c>
      <c r="J4456" t="s">
        <v>15</v>
      </c>
      <c r="K4456">
        <v>1</v>
      </c>
      <c r="L4456">
        <v>640</v>
      </c>
      <c r="M4456" t="s">
        <v>16</v>
      </c>
      <c r="N4456">
        <v>2</v>
      </c>
    </row>
    <row r="4457" hidden="1" spans="1:14">
      <c r="A4457">
        <v>97</v>
      </c>
      <c r="B4457">
        <v>0</v>
      </c>
      <c r="C4457" t="s">
        <v>128</v>
      </c>
      <c r="D4457">
        <v>0</v>
      </c>
      <c r="E4457">
        <v>-88.2263</v>
      </c>
      <c r="F4457">
        <v>42.894</v>
      </c>
      <c r="G4457">
        <v>6562.47</v>
      </c>
      <c r="H4457" s="1">
        <v>31630</v>
      </c>
      <c r="I4457" s="1">
        <v>31630</v>
      </c>
      <c r="J4457" t="s">
        <v>15</v>
      </c>
      <c r="K4457">
        <v>1</v>
      </c>
      <c r="L4457">
        <v>250</v>
      </c>
      <c r="M4457" t="s">
        <v>64</v>
      </c>
      <c r="N4457">
        <v>1</v>
      </c>
    </row>
    <row r="4458" hidden="1" spans="1:14">
      <c r="A4458">
        <v>100</v>
      </c>
      <c r="B4458">
        <v>0</v>
      </c>
      <c r="C4458" t="s">
        <v>128</v>
      </c>
      <c r="D4458">
        <v>0</v>
      </c>
      <c r="E4458">
        <v>-81.5473</v>
      </c>
      <c r="F4458">
        <v>34.3153</v>
      </c>
      <c r="G4458">
        <v>3757.12</v>
      </c>
      <c r="H4458" s="1">
        <v>31642</v>
      </c>
      <c r="I4458" s="1">
        <v>31645</v>
      </c>
      <c r="J4458" t="s">
        <v>15</v>
      </c>
      <c r="K4458">
        <v>2</v>
      </c>
      <c r="L4458">
        <v>125</v>
      </c>
      <c r="M4458" t="s">
        <v>16</v>
      </c>
      <c r="N4458">
        <v>1</v>
      </c>
    </row>
    <row r="4459" hidden="1" spans="1:14">
      <c r="A4459">
        <v>102</v>
      </c>
      <c r="B4459">
        <v>0</v>
      </c>
      <c r="C4459" t="s">
        <v>128</v>
      </c>
      <c r="D4459">
        <v>0</v>
      </c>
      <c r="E4459">
        <v>-102.223</v>
      </c>
      <c r="F4459">
        <v>31.9611</v>
      </c>
      <c r="G4459">
        <v>49574.37</v>
      </c>
      <c r="H4459" s="1">
        <v>31657</v>
      </c>
      <c r="I4459" s="1">
        <v>31660</v>
      </c>
      <c r="J4459" t="s">
        <v>15</v>
      </c>
      <c r="K4459">
        <v>3</v>
      </c>
      <c r="L4459">
        <v>0</v>
      </c>
      <c r="M4459" t="s">
        <v>16</v>
      </c>
      <c r="N4459">
        <v>1</v>
      </c>
    </row>
    <row r="4460" hidden="1" spans="1:14">
      <c r="A4460">
        <v>104</v>
      </c>
      <c r="B4460">
        <v>0</v>
      </c>
      <c r="C4460" t="s">
        <v>128</v>
      </c>
      <c r="D4460">
        <v>0</v>
      </c>
      <c r="E4460">
        <v>-84.4959</v>
      </c>
      <c r="F4460">
        <v>43.1135</v>
      </c>
      <c r="G4460">
        <v>53960.13</v>
      </c>
      <c r="H4460" s="1">
        <v>31664</v>
      </c>
      <c r="I4460" s="1">
        <v>31672</v>
      </c>
      <c r="J4460" t="s">
        <v>15</v>
      </c>
      <c r="K4460">
        <v>6</v>
      </c>
      <c r="L4460">
        <v>4000</v>
      </c>
      <c r="M4460" t="s">
        <v>64</v>
      </c>
      <c r="N4460">
        <v>2</v>
      </c>
    </row>
    <row r="4461" hidden="1" spans="1:14">
      <c r="A4461">
        <v>105</v>
      </c>
      <c r="B4461">
        <v>0</v>
      </c>
      <c r="C4461" t="s">
        <v>128</v>
      </c>
      <c r="D4461">
        <v>0</v>
      </c>
      <c r="E4461">
        <v>-107.522</v>
      </c>
      <c r="F4461">
        <v>48.0263</v>
      </c>
      <c r="G4461">
        <v>49214.9</v>
      </c>
      <c r="H4461" s="1">
        <v>31680</v>
      </c>
      <c r="I4461" s="1">
        <v>31690</v>
      </c>
      <c r="J4461" t="s">
        <v>15</v>
      </c>
      <c r="K4461">
        <v>1</v>
      </c>
      <c r="L4461">
        <v>700</v>
      </c>
      <c r="M4461" t="s">
        <v>16</v>
      </c>
      <c r="N4461">
        <v>2</v>
      </c>
    </row>
    <row r="4462" hidden="1" spans="1:14">
      <c r="A4462">
        <v>107</v>
      </c>
      <c r="B4462">
        <v>0</v>
      </c>
      <c r="C4462" t="s">
        <v>128</v>
      </c>
      <c r="D4462">
        <v>0</v>
      </c>
      <c r="E4462">
        <v>-90.6864</v>
      </c>
      <c r="F4462">
        <v>38.8855</v>
      </c>
      <c r="G4462">
        <v>107660.8</v>
      </c>
      <c r="H4462" s="1">
        <v>31681</v>
      </c>
      <c r="I4462" s="1">
        <v>31698</v>
      </c>
      <c r="J4462" t="s">
        <v>15</v>
      </c>
      <c r="K4462">
        <v>10</v>
      </c>
      <c r="L4462">
        <v>55000</v>
      </c>
      <c r="M4462" t="s">
        <v>16</v>
      </c>
      <c r="N4462">
        <v>2</v>
      </c>
    </row>
    <row r="4463" hidden="1" spans="1:14">
      <c r="A4463">
        <v>113</v>
      </c>
      <c r="B4463">
        <v>0</v>
      </c>
      <c r="C4463" t="s">
        <v>128</v>
      </c>
      <c r="D4463">
        <v>0</v>
      </c>
      <c r="E4463">
        <v>-122.012</v>
      </c>
      <c r="F4463">
        <v>47.6776</v>
      </c>
      <c r="G4463">
        <v>26882</v>
      </c>
      <c r="H4463" s="1">
        <v>31739</v>
      </c>
      <c r="I4463" s="1">
        <v>31742</v>
      </c>
      <c r="J4463" t="s">
        <v>15</v>
      </c>
      <c r="K4463">
        <v>0</v>
      </c>
      <c r="L4463">
        <v>2000</v>
      </c>
      <c r="M4463" t="s">
        <v>38</v>
      </c>
      <c r="N4463">
        <v>2</v>
      </c>
    </row>
    <row r="4464" hidden="1" spans="1:14">
      <c r="A4464">
        <v>127</v>
      </c>
      <c r="B4464">
        <v>0</v>
      </c>
      <c r="C4464" t="s">
        <v>128</v>
      </c>
      <c r="E4464">
        <v>-69.4556</v>
      </c>
      <c r="F4464">
        <v>44.7173</v>
      </c>
      <c r="G4464">
        <v>39618.48</v>
      </c>
      <c r="H4464" s="1">
        <v>31867</v>
      </c>
      <c r="I4464" s="1">
        <v>31876</v>
      </c>
      <c r="J4464" t="s">
        <v>15</v>
      </c>
      <c r="K4464">
        <v>5</v>
      </c>
      <c r="L4464">
        <v>5000</v>
      </c>
      <c r="M4464" t="s">
        <v>39</v>
      </c>
      <c r="N4464">
        <v>2</v>
      </c>
    </row>
    <row r="4465" hidden="1" spans="1:14">
      <c r="A4465">
        <v>133</v>
      </c>
      <c r="B4465">
        <v>0</v>
      </c>
      <c r="C4465" t="s">
        <v>128</v>
      </c>
      <c r="D4465">
        <v>0</v>
      </c>
      <c r="E4465">
        <v>-95.2617</v>
      </c>
      <c r="F4465">
        <v>40.5924</v>
      </c>
      <c r="G4465">
        <v>36413.61</v>
      </c>
      <c r="H4465" s="1">
        <v>31923</v>
      </c>
      <c r="I4465" s="1">
        <v>31927</v>
      </c>
      <c r="J4465" t="s">
        <v>15</v>
      </c>
      <c r="K4465">
        <v>2</v>
      </c>
      <c r="L4465">
        <v>2200</v>
      </c>
      <c r="M4465" t="s">
        <v>64</v>
      </c>
      <c r="N4465">
        <v>2</v>
      </c>
    </row>
    <row r="4466" hidden="1" spans="1:14">
      <c r="A4466">
        <v>137</v>
      </c>
      <c r="B4466">
        <v>0</v>
      </c>
      <c r="C4466" t="s">
        <v>128</v>
      </c>
      <c r="D4466">
        <v>0</v>
      </c>
      <c r="E4466">
        <v>-82.6341</v>
      </c>
      <c r="F4466">
        <v>40.5807</v>
      </c>
      <c r="G4466">
        <v>11883.86</v>
      </c>
      <c r="H4466" s="1">
        <v>31960</v>
      </c>
      <c r="I4466" s="1">
        <v>31961</v>
      </c>
      <c r="J4466" t="s">
        <v>15</v>
      </c>
      <c r="K4466">
        <v>0</v>
      </c>
      <c r="L4466">
        <v>2100</v>
      </c>
      <c r="M4466" t="s">
        <v>16</v>
      </c>
      <c r="N4466">
        <v>2</v>
      </c>
    </row>
    <row r="4467" hidden="1" spans="1:14">
      <c r="A4467">
        <v>142</v>
      </c>
      <c r="B4467">
        <v>0</v>
      </c>
      <c r="C4467" t="s">
        <v>128</v>
      </c>
      <c r="D4467">
        <v>0</v>
      </c>
      <c r="E4467">
        <v>-98.7832</v>
      </c>
      <c r="F4467">
        <v>29.9247</v>
      </c>
      <c r="G4467">
        <v>999.46</v>
      </c>
      <c r="H4467" s="1">
        <v>31975</v>
      </c>
      <c r="I4467" s="1">
        <v>31975</v>
      </c>
      <c r="J4467" t="s">
        <v>15</v>
      </c>
      <c r="K4467">
        <v>9</v>
      </c>
      <c r="L4467">
        <v>0</v>
      </c>
      <c r="M4467" t="s">
        <v>16</v>
      </c>
      <c r="N4467">
        <v>2</v>
      </c>
    </row>
    <row r="4468" hidden="1" spans="1:14">
      <c r="A4468">
        <v>150</v>
      </c>
      <c r="B4468">
        <v>0</v>
      </c>
      <c r="C4468" t="s">
        <v>128</v>
      </c>
      <c r="D4468">
        <v>0</v>
      </c>
      <c r="E4468">
        <v>-75.9401</v>
      </c>
      <c r="F4468">
        <v>40.4228</v>
      </c>
      <c r="G4468">
        <v>12008.56</v>
      </c>
      <c r="H4468" s="1">
        <v>32028</v>
      </c>
      <c r="I4468" s="1">
        <v>32029</v>
      </c>
      <c r="J4468" t="s">
        <v>15</v>
      </c>
      <c r="K4468">
        <v>1</v>
      </c>
      <c r="L4468">
        <v>120</v>
      </c>
      <c r="M4468" t="s">
        <v>16</v>
      </c>
      <c r="N4468">
        <v>1</v>
      </c>
    </row>
    <row r="4469" hidden="1" spans="1:14">
      <c r="A4469">
        <v>161</v>
      </c>
      <c r="B4469">
        <v>0</v>
      </c>
      <c r="C4469" t="s">
        <v>128</v>
      </c>
      <c r="D4469">
        <v>0</v>
      </c>
      <c r="E4469">
        <v>-90.0017</v>
      </c>
      <c r="F4469">
        <v>35.3657</v>
      </c>
      <c r="G4469">
        <v>16161</v>
      </c>
      <c r="H4469" s="1">
        <v>32136</v>
      </c>
      <c r="I4469" s="1">
        <v>32140</v>
      </c>
      <c r="J4469" t="s">
        <v>15</v>
      </c>
      <c r="K4469">
        <v>3</v>
      </c>
      <c r="L4469">
        <v>6000</v>
      </c>
      <c r="M4469" t="s">
        <v>16</v>
      </c>
      <c r="N4469">
        <v>2</v>
      </c>
    </row>
    <row r="4470" hidden="1" spans="1:14">
      <c r="A4470">
        <v>162</v>
      </c>
      <c r="B4470">
        <v>0</v>
      </c>
      <c r="C4470" t="s">
        <v>128</v>
      </c>
      <c r="D4470">
        <v>0</v>
      </c>
      <c r="E4470">
        <v>-157.782</v>
      </c>
      <c r="F4470">
        <v>21.3825</v>
      </c>
      <c r="G4470">
        <v>385.696</v>
      </c>
      <c r="H4470" s="1">
        <v>32143</v>
      </c>
      <c r="I4470" s="1">
        <v>32144</v>
      </c>
      <c r="J4470" t="s">
        <v>15</v>
      </c>
      <c r="K4470">
        <v>0</v>
      </c>
      <c r="L4470">
        <v>2800</v>
      </c>
      <c r="M4470" t="s">
        <v>16</v>
      </c>
      <c r="N4470">
        <v>1</v>
      </c>
    </row>
    <row r="4471" hidden="1" spans="1:14">
      <c r="A4471">
        <v>165</v>
      </c>
      <c r="B4471">
        <v>0</v>
      </c>
      <c r="C4471" t="s">
        <v>128</v>
      </c>
      <c r="D4471">
        <v>0</v>
      </c>
      <c r="E4471">
        <v>-90.22</v>
      </c>
      <c r="F4471">
        <v>30.6473</v>
      </c>
      <c r="G4471">
        <v>2708.65</v>
      </c>
      <c r="H4471" s="1">
        <v>32174</v>
      </c>
      <c r="I4471" s="1">
        <v>32177</v>
      </c>
      <c r="J4471" t="s">
        <v>15</v>
      </c>
      <c r="K4471">
        <v>3</v>
      </c>
      <c r="L4471">
        <v>0</v>
      </c>
      <c r="M4471" t="s">
        <v>16</v>
      </c>
      <c r="N4471">
        <v>1</v>
      </c>
    </row>
    <row r="4472" hidden="1" spans="1:14">
      <c r="A4472">
        <v>247</v>
      </c>
      <c r="B4472">
        <v>0</v>
      </c>
      <c r="C4472" t="s">
        <v>128</v>
      </c>
      <c r="D4472">
        <v>0</v>
      </c>
      <c r="E4472">
        <v>-82.4462</v>
      </c>
      <c r="F4472">
        <v>27.7659</v>
      </c>
      <c r="G4472">
        <v>6517.48</v>
      </c>
      <c r="H4472" s="1">
        <v>32392</v>
      </c>
      <c r="I4472" s="1">
        <v>32395</v>
      </c>
      <c r="J4472" t="s">
        <v>15</v>
      </c>
      <c r="K4472">
        <v>7</v>
      </c>
      <c r="L4472">
        <v>1000</v>
      </c>
      <c r="M4472" t="s">
        <v>16</v>
      </c>
      <c r="N4472">
        <v>2</v>
      </c>
    </row>
    <row r="4473" hidden="1" spans="1:14">
      <c r="A4473">
        <v>283</v>
      </c>
      <c r="B4473">
        <v>0</v>
      </c>
      <c r="C4473" t="s">
        <v>128</v>
      </c>
      <c r="D4473">
        <v>0</v>
      </c>
      <c r="E4473">
        <v>-80.5875</v>
      </c>
      <c r="F4473">
        <v>25.9628</v>
      </c>
      <c r="G4473">
        <v>25065.05</v>
      </c>
      <c r="H4473" s="1">
        <v>32540</v>
      </c>
      <c r="I4473" s="1">
        <v>32541</v>
      </c>
      <c r="J4473" t="s">
        <v>15</v>
      </c>
      <c r="K4473">
        <v>7</v>
      </c>
      <c r="L4473">
        <v>4000</v>
      </c>
      <c r="M4473" t="s">
        <v>64</v>
      </c>
      <c r="N4473">
        <v>1</v>
      </c>
    </row>
    <row r="4474" hidden="1" spans="1:14">
      <c r="A4474">
        <v>287</v>
      </c>
      <c r="B4474">
        <v>0</v>
      </c>
      <c r="C4474" t="s">
        <v>128</v>
      </c>
      <c r="D4474">
        <v>0</v>
      </c>
      <c r="E4474">
        <v>-79.6533</v>
      </c>
      <c r="F4474">
        <v>38.0302</v>
      </c>
      <c r="G4474">
        <v>31247.12</v>
      </c>
      <c r="H4474" s="1">
        <v>32550</v>
      </c>
      <c r="I4474" s="1">
        <v>32552</v>
      </c>
      <c r="J4474" t="s">
        <v>15</v>
      </c>
      <c r="K4474">
        <v>7</v>
      </c>
      <c r="L4474">
        <v>17000</v>
      </c>
      <c r="M4474" t="s">
        <v>16</v>
      </c>
      <c r="N4474">
        <v>1</v>
      </c>
    </row>
    <row r="4475" hidden="1" spans="1:14">
      <c r="A4475">
        <v>288</v>
      </c>
      <c r="B4475">
        <v>0</v>
      </c>
      <c r="C4475" t="s">
        <v>128</v>
      </c>
      <c r="D4475">
        <v>0</v>
      </c>
      <c r="E4475">
        <v>-111.949</v>
      </c>
      <c r="F4475">
        <v>33.0264</v>
      </c>
      <c r="G4475">
        <v>2609.29</v>
      </c>
      <c r="H4475" s="1">
        <v>32552</v>
      </c>
      <c r="I4475" s="1">
        <v>32557</v>
      </c>
      <c r="J4475" t="s">
        <v>15</v>
      </c>
      <c r="K4475">
        <v>5</v>
      </c>
      <c r="L4475">
        <v>0</v>
      </c>
      <c r="M4475" t="s">
        <v>16</v>
      </c>
      <c r="N4475">
        <v>1</v>
      </c>
    </row>
    <row r="4476" hidden="1" spans="1:14">
      <c r="A4476">
        <v>295</v>
      </c>
      <c r="B4476">
        <v>0</v>
      </c>
      <c r="C4476" t="s">
        <v>128</v>
      </c>
      <c r="D4476">
        <v>0</v>
      </c>
      <c r="E4476">
        <v>-91.3226</v>
      </c>
      <c r="F4476">
        <v>32.5555</v>
      </c>
      <c r="G4476">
        <v>100390.64</v>
      </c>
      <c r="H4476" s="1">
        <v>32596</v>
      </c>
      <c r="I4476" s="1">
        <v>32599</v>
      </c>
      <c r="J4476" t="s">
        <v>15</v>
      </c>
      <c r="K4476">
        <v>1</v>
      </c>
      <c r="L4476">
        <v>0</v>
      </c>
      <c r="M4476" t="s">
        <v>16</v>
      </c>
      <c r="N4476">
        <v>1</v>
      </c>
    </row>
    <row r="4477" hidden="1" spans="1:14">
      <c r="A4477">
        <v>292</v>
      </c>
      <c r="B4477">
        <v>0</v>
      </c>
      <c r="C4477" t="s">
        <v>128</v>
      </c>
      <c r="D4477">
        <v>0</v>
      </c>
      <c r="E4477">
        <v>-82.0067</v>
      </c>
      <c r="F4477">
        <v>39.8812</v>
      </c>
      <c r="G4477">
        <v>2594.47</v>
      </c>
      <c r="H4477" s="1">
        <v>32585</v>
      </c>
      <c r="I4477" s="1">
        <v>32594</v>
      </c>
      <c r="J4477" t="s">
        <v>15</v>
      </c>
      <c r="K4477">
        <v>15</v>
      </c>
      <c r="L4477">
        <v>0</v>
      </c>
      <c r="M4477" t="s">
        <v>16</v>
      </c>
      <c r="N4477">
        <v>1</v>
      </c>
    </row>
    <row r="4478" hidden="1" spans="1:14">
      <c r="A4478">
        <v>294</v>
      </c>
      <c r="B4478">
        <v>0</v>
      </c>
      <c r="C4478" t="s">
        <v>128</v>
      </c>
      <c r="D4478">
        <v>0</v>
      </c>
      <c r="E4478">
        <v>-95.0101</v>
      </c>
      <c r="F4478">
        <v>38.3888</v>
      </c>
      <c r="G4478">
        <v>10933.94</v>
      </c>
      <c r="H4478" s="1">
        <v>32593</v>
      </c>
      <c r="I4478" s="1">
        <v>32609</v>
      </c>
      <c r="J4478" t="s">
        <v>15</v>
      </c>
      <c r="K4478">
        <v>3</v>
      </c>
      <c r="L4478">
        <v>0</v>
      </c>
      <c r="M4478" t="s">
        <v>16</v>
      </c>
      <c r="N4478">
        <v>1</v>
      </c>
    </row>
    <row r="4479" hidden="1" spans="1:14">
      <c r="A4479">
        <v>298</v>
      </c>
      <c r="B4479">
        <v>0</v>
      </c>
      <c r="C4479" t="s">
        <v>128</v>
      </c>
      <c r="D4479">
        <v>0</v>
      </c>
      <c r="E4479">
        <v>-120.672</v>
      </c>
      <c r="F4479">
        <v>43.819</v>
      </c>
      <c r="G4479">
        <v>154568.76</v>
      </c>
      <c r="H4479" s="1">
        <v>32607</v>
      </c>
      <c r="I4479" s="1">
        <v>32617</v>
      </c>
      <c r="J4479" t="s">
        <v>15</v>
      </c>
      <c r="K4479">
        <v>45</v>
      </c>
      <c r="L4479">
        <v>306000</v>
      </c>
      <c r="M4479" t="s">
        <v>16</v>
      </c>
      <c r="N4479">
        <v>2</v>
      </c>
    </row>
    <row r="4480" hidden="1" spans="1:14">
      <c r="A4480">
        <v>301</v>
      </c>
      <c r="B4480">
        <v>0</v>
      </c>
      <c r="C4480" t="s">
        <v>128</v>
      </c>
      <c r="D4480">
        <v>0</v>
      </c>
      <c r="E4480">
        <v>-95.4192</v>
      </c>
      <c r="F4480">
        <v>31.6443</v>
      </c>
      <c r="G4480">
        <v>185647.99</v>
      </c>
      <c r="H4480" s="1">
        <v>32643</v>
      </c>
      <c r="I4480" s="1">
        <v>32648</v>
      </c>
      <c r="J4480" t="s">
        <v>15</v>
      </c>
      <c r="K4480">
        <v>6</v>
      </c>
      <c r="L4480">
        <v>400</v>
      </c>
      <c r="M4480" t="s">
        <v>16</v>
      </c>
      <c r="N4480">
        <v>1</v>
      </c>
    </row>
    <row r="4481" hidden="1" spans="1:14">
      <c r="A4481">
        <v>372</v>
      </c>
      <c r="B4481">
        <v>0</v>
      </c>
      <c r="C4481" t="s">
        <v>128</v>
      </c>
      <c r="D4481">
        <v>0</v>
      </c>
      <c r="E4481">
        <v>-94.5385</v>
      </c>
      <c r="F4481">
        <v>29.5712</v>
      </c>
      <c r="G4481">
        <v>6299.03</v>
      </c>
      <c r="H4481" s="1">
        <v>32796</v>
      </c>
      <c r="I4481" s="1">
        <v>32797</v>
      </c>
      <c r="J4481" t="s">
        <v>15</v>
      </c>
      <c r="K4481">
        <v>2</v>
      </c>
      <c r="L4481">
        <v>0</v>
      </c>
      <c r="M4481" t="s">
        <v>86</v>
      </c>
      <c r="N4481">
        <v>1</v>
      </c>
    </row>
    <row r="4482" hidden="1" spans="1:14">
      <c r="A4482">
        <v>302</v>
      </c>
      <c r="B4482">
        <v>0</v>
      </c>
      <c r="C4482" t="s">
        <v>128</v>
      </c>
      <c r="D4482">
        <v>0</v>
      </c>
      <c r="E4482">
        <v>-73.1368</v>
      </c>
      <c r="F4482">
        <v>44.2546</v>
      </c>
      <c r="G4482">
        <v>8896.71</v>
      </c>
      <c r="H4482" s="1">
        <v>32652</v>
      </c>
      <c r="I4482" s="1">
        <v>32654</v>
      </c>
      <c r="J4482" t="s">
        <v>15</v>
      </c>
      <c r="K4482">
        <v>151</v>
      </c>
      <c r="L4482">
        <v>336000</v>
      </c>
      <c r="M4482" t="s">
        <v>104</v>
      </c>
      <c r="N4482">
        <v>1</v>
      </c>
    </row>
    <row r="4483" hidden="1" spans="1:14">
      <c r="A4483">
        <v>304</v>
      </c>
      <c r="B4483">
        <v>0</v>
      </c>
      <c r="C4483" t="s">
        <v>128</v>
      </c>
      <c r="D4483">
        <v>0</v>
      </c>
      <c r="E4483">
        <v>-93.4054</v>
      </c>
      <c r="F4483">
        <v>37.2492</v>
      </c>
      <c r="G4483">
        <v>320834.55</v>
      </c>
      <c r="H4483" s="1">
        <v>32661</v>
      </c>
      <c r="I4483" s="1">
        <v>32664</v>
      </c>
      <c r="J4483" t="s">
        <v>15</v>
      </c>
      <c r="K4483">
        <v>270</v>
      </c>
      <c r="L4483">
        <v>175000</v>
      </c>
      <c r="M4483" t="s">
        <v>16</v>
      </c>
      <c r="N4483">
        <v>1</v>
      </c>
    </row>
    <row r="4484" hidden="1" spans="1:14">
      <c r="A4484">
        <v>347</v>
      </c>
      <c r="B4484">
        <v>0</v>
      </c>
      <c r="C4484" t="s">
        <v>128</v>
      </c>
      <c r="D4484">
        <v>0</v>
      </c>
      <c r="E4484">
        <v>-87.1388</v>
      </c>
      <c r="F4484">
        <v>37.1913</v>
      </c>
      <c r="G4484">
        <v>54973.9</v>
      </c>
      <c r="H4484" s="1">
        <v>32724</v>
      </c>
      <c r="I4484" s="1">
        <v>32727</v>
      </c>
      <c r="J4484" t="s">
        <v>15</v>
      </c>
      <c r="K4484">
        <v>0</v>
      </c>
      <c r="L4484">
        <v>0</v>
      </c>
      <c r="M4484" t="s">
        <v>16</v>
      </c>
      <c r="N4484">
        <v>1</v>
      </c>
    </row>
    <row r="4485" hidden="1" spans="1:14">
      <c r="A4485">
        <v>384</v>
      </c>
      <c r="B4485">
        <v>0</v>
      </c>
      <c r="C4485" t="s">
        <v>128</v>
      </c>
      <c r="D4485">
        <v>0</v>
      </c>
      <c r="E4485">
        <v>-152.61</v>
      </c>
      <c r="F4485">
        <v>61.2749</v>
      </c>
      <c r="G4485">
        <v>15158.67</v>
      </c>
      <c r="H4485" s="1">
        <v>32857</v>
      </c>
      <c r="I4485" s="1">
        <v>32888</v>
      </c>
      <c r="J4485" t="s">
        <v>15</v>
      </c>
      <c r="K4485">
        <v>0</v>
      </c>
      <c r="L4485">
        <v>0</v>
      </c>
      <c r="M4485" t="s">
        <v>16</v>
      </c>
      <c r="N4485">
        <v>1</v>
      </c>
    </row>
    <row r="4486" hidden="1" spans="1:14">
      <c r="A4486">
        <v>386</v>
      </c>
      <c r="B4486">
        <v>0</v>
      </c>
      <c r="C4486" t="s">
        <v>128</v>
      </c>
      <c r="D4486">
        <v>0</v>
      </c>
      <c r="E4486">
        <v>-123.094</v>
      </c>
      <c r="F4486">
        <v>45.0135</v>
      </c>
      <c r="G4486">
        <v>86746.69</v>
      </c>
      <c r="H4486" s="1">
        <v>32882</v>
      </c>
      <c r="I4486" s="1">
        <v>32884</v>
      </c>
      <c r="J4486" t="s">
        <v>15</v>
      </c>
      <c r="K4486">
        <v>4</v>
      </c>
      <c r="L4486">
        <v>3000</v>
      </c>
      <c r="M4486" t="s">
        <v>16</v>
      </c>
      <c r="N4486">
        <v>2</v>
      </c>
    </row>
    <row r="4487" hidden="1" spans="1:14">
      <c r="A4487">
        <v>390</v>
      </c>
      <c r="B4487">
        <v>0</v>
      </c>
      <c r="C4487" t="s">
        <v>128</v>
      </c>
      <c r="D4487">
        <v>0</v>
      </c>
      <c r="E4487">
        <v>-91.1159</v>
      </c>
      <c r="F4487">
        <v>30.6182</v>
      </c>
      <c r="G4487">
        <v>7561.74</v>
      </c>
      <c r="H4487" s="1">
        <v>32899</v>
      </c>
      <c r="I4487" s="1">
        <v>32903</v>
      </c>
      <c r="J4487" t="s">
        <v>15</v>
      </c>
      <c r="K4487">
        <v>0</v>
      </c>
      <c r="L4487">
        <v>150</v>
      </c>
      <c r="M4487" t="s">
        <v>16</v>
      </c>
      <c r="N4487">
        <v>1</v>
      </c>
    </row>
    <row r="4488" hidden="1" spans="1:14">
      <c r="A4488">
        <v>400</v>
      </c>
      <c r="B4488">
        <v>0</v>
      </c>
      <c r="C4488" t="s">
        <v>128</v>
      </c>
      <c r="D4488">
        <v>0</v>
      </c>
      <c r="E4488">
        <v>-84.8524</v>
      </c>
      <c r="F4488">
        <v>31.07</v>
      </c>
      <c r="G4488">
        <v>162225.07</v>
      </c>
      <c r="H4488" s="1">
        <v>32948</v>
      </c>
      <c r="I4488" s="1">
        <v>32956</v>
      </c>
      <c r="J4488" t="s">
        <v>15</v>
      </c>
      <c r="K4488">
        <v>15</v>
      </c>
      <c r="L4488">
        <v>6000</v>
      </c>
      <c r="M4488" t="s">
        <v>16</v>
      </c>
      <c r="N4488">
        <v>1</v>
      </c>
    </row>
    <row r="4489" hidden="1" spans="1:14">
      <c r="A4489">
        <v>408</v>
      </c>
      <c r="B4489">
        <v>0</v>
      </c>
      <c r="C4489" t="s">
        <v>128</v>
      </c>
      <c r="D4489">
        <v>0</v>
      </c>
      <c r="E4489">
        <v>-95.1282</v>
      </c>
      <c r="F4489">
        <v>32.6703</v>
      </c>
      <c r="G4489">
        <v>277912.44</v>
      </c>
      <c r="H4489" s="1">
        <v>32989</v>
      </c>
      <c r="I4489" s="1">
        <v>33025</v>
      </c>
      <c r="J4489" t="s">
        <v>15</v>
      </c>
      <c r="K4489">
        <v>13</v>
      </c>
      <c r="L4489">
        <v>4668</v>
      </c>
      <c r="M4489" t="s">
        <v>16</v>
      </c>
      <c r="N4489">
        <v>2</v>
      </c>
    </row>
    <row r="4490" hidden="1" spans="1:14">
      <c r="A4490">
        <v>416</v>
      </c>
      <c r="B4490">
        <v>0</v>
      </c>
      <c r="C4490" t="s">
        <v>128</v>
      </c>
      <c r="D4490">
        <v>0</v>
      </c>
      <c r="E4490">
        <v>-90.7024</v>
      </c>
      <c r="F4490">
        <v>32.7316</v>
      </c>
      <c r="G4490">
        <v>4890.14</v>
      </c>
      <c r="H4490" s="1">
        <v>33024</v>
      </c>
      <c r="I4490" s="1">
        <v>33026</v>
      </c>
      <c r="J4490" t="s">
        <v>15</v>
      </c>
      <c r="K4490">
        <v>0</v>
      </c>
      <c r="L4490">
        <v>200</v>
      </c>
      <c r="M4490" t="s">
        <v>64</v>
      </c>
      <c r="N4490">
        <v>2</v>
      </c>
    </row>
    <row r="4491" hidden="1" spans="1:14">
      <c r="A4491">
        <v>420</v>
      </c>
      <c r="B4491">
        <v>0</v>
      </c>
      <c r="C4491" t="s">
        <v>128</v>
      </c>
      <c r="D4491">
        <v>0</v>
      </c>
      <c r="E4491">
        <v>-80.9321</v>
      </c>
      <c r="F4491">
        <v>40.2508</v>
      </c>
      <c r="G4491">
        <v>5167.77</v>
      </c>
      <c r="H4491" s="1">
        <v>33039</v>
      </c>
      <c r="I4491" s="1">
        <v>33040</v>
      </c>
      <c r="J4491" t="s">
        <v>15</v>
      </c>
      <c r="K4491">
        <v>26</v>
      </c>
      <c r="L4491">
        <v>440</v>
      </c>
      <c r="M4491" t="s">
        <v>64</v>
      </c>
      <c r="N4491">
        <v>1</v>
      </c>
    </row>
    <row r="4492" hidden="1" spans="1:14">
      <c r="A4492">
        <v>424</v>
      </c>
      <c r="B4492">
        <v>0</v>
      </c>
      <c r="C4492" t="s">
        <v>128</v>
      </c>
      <c r="D4492">
        <v>0</v>
      </c>
      <c r="E4492">
        <v>-89.3548</v>
      </c>
      <c r="F4492">
        <v>40.4346</v>
      </c>
      <c r="G4492">
        <v>31630.43</v>
      </c>
      <c r="H4492" s="1">
        <v>33044</v>
      </c>
      <c r="I4492" s="1">
        <v>33046</v>
      </c>
      <c r="J4492" t="s">
        <v>15</v>
      </c>
      <c r="K4492">
        <v>1</v>
      </c>
      <c r="L4492">
        <v>0</v>
      </c>
      <c r="M4492" t="s">
        <v>16</v>
      </c>
      <c r="N4492">
        <v>1</v>
      </c>
    </row>
    <row r="4493" hidden="1" spans="1:14">
      <c r="A4493">
        <v>439</v>
      </c>
      <c r="B4493">
        <v>0</v>
      </c>
      <c r="C4493" t="s">
        <v>128</v>
      </c>
      <c r="D4493">
        <v>0</v>
      </c>
      <c r="E4493">
        <v>-91.8472</v>
      </c>
      <c r="F4493">
        <v>42.3526</v>
      </c>
      <c r="G4493">
        <v>31886.96</v>
      </c>
      <c r="H4493" s="1">
        <v>33082</v>
      </c>
      <c r="I4493" s="1">
        <v>33089</v>
      </c>
      <c r="J4493" t="s">
        <v>15</v>
      </c>
      <c r="K4493">
        <v>0</v>
      </c>
      <c r="L4493">
        <v>0</v>
      </c>
      <c r="M4493" t="s">
        <v>16</v>
      </c>
      <c r="N4493">
        <v>1</v>
      </c>
    </row>
    <row r="4494" hidden="1" spans="1:14">
      <c r="A4494">
        <v>444</v>
      </c>
      <c r="B4494">
        <v>0</v>
      </c>
      <c r="C4494" t="s">
        <v>128</v>
      </c>
      <c r="D4494">
        <v>0</v>
      </c>
      <c r="E4494">
        <v>-71.7534</v>
      </c>
      <c r="F4494">
        <v>44.0063</v>
      </c>
      <c r="G4494">
        <v>20288.6</v>
      </c>
      <c r="H4494" s="1">
        <v>33092</v>
      </c>
      <c r="I4494" s="1">
        <v>33096</v>
      </c>
      <c r="J4494" t="s">
        <v>15</v>
      </c>
      <c r="K4494">
        <v>0</v>
      </c>
      <c r="L4494">
        <v>400</v>
      </c>
      <c r="M4494" t="s">
        <v>16</v>
      </c>
      <c r="N4494">
        <v>1</v>
      </c>
    </row>
    <row r="4495" hidden="1" spans="1:14">
      <c r="A4495">
        <v>448</v>
      </c>
      <c r="B4495">
        <v>0</v>
      </c>
      <c r="C4495" t="s">
        <v>128</v>
      </c>
      <c r="D4495">
        <v>0</v>
      </c>
      <c r="E4495">
        <v>-90.7101</v>
      </c>
      <c r="F4495">
        <v>41.5583</v>
      </c>
      <c r="G4495">
        <v>502367.64</v>
      </c>
      <c r="H4495" s="1">
        <v>33103</v>
      </c>
      <c r="I4495" s="1">
        <v>33109</v>
      </c>
      <c r="J4495" t="s">
        <v>15</v>
      </c>
      <c r="K4495">
        <v>0</v>
      </c>
      <c r="L4495">
        <v>4000</v>
      </c>
      <c r="M4495" t="s">
        <v>16</v>
      </c>
      <c r="N4495">
        <v>1</v>
      </c>
    </row>
    <row r="4496" hidden="1" spans="1:14">
      <c r="A4496">
        <v>456</v>
      </c>
      <c r="B4496">
        <v>0</v>
      </c>
      <c r="C4496" t="s">
        <v>128</v>
      </c>
      <c r="D4496">
        <v>0</v>
      </c>
      <c r="E4496">
        <v>-81.3044</v>
      </c>
      <c r="F4496">
        <v>39.4546</v>
      </c>
      <c r="G4496">
        <v>45800.49</v>
      </c>
      <c r="H4496" s="1">
        <v>33123</v>
      </c>
      <c r="I4496" s="1">
        <v>33125</v>
      </c>
      <c r="J4496" t="s">
        <v>15</v>
      </c>
      <c r="K4496">
        <v>5</v>
      </c>
      <c r="L4496">
        <v>300</v>
      </c>
      <c r="M4496" t="s">
        <v>16</v>
      </c>
      <c r="N4496">
        <v>1</v>
      </c>
    </row>
    <row r="4497" hidden="1" spans="1:14">
      <c r="A4497">
        <v>465</v>
      </c>
      <c r="B4497">
        <v>0</v>
      </c>
      <c r="C4497" t="s">
        <v>128</v>
      </c>
      <c r="D4497">
        <v>0</v>
      </c>
      <c r="E4497">
        <v>-81.5019</v>
      </c>
      <c r="F4497">
        <v>29.5249</v>
      </c>
      <c r="G4497">
        <v>76698.69</v>
      </c>
      <c r="H4497" s="1">
        <v>33150</v>
      </c>
      <c r="I4497" s="1">
        <v>33152</v>
      </c>
      <c r="J4497" t="s">
        <v>15</v>
      </c>
      <c r="K4497">
        <v>6</v>
      </c>
      <c r="L4497">
        <v>1500</v>
      </c>
      <c r="M4497" t="s">
        <v>86</v>
      </c>
      <c r="N4497">
        <v>1</v>
      </c>
    </row>
    <row r="4498" hidden="1" spans="1:14">
      <c r="A4498">
        <v>481</v>
      </c>
      <c r="B4498">
        <v>0</v>
      </c>
      <c r="C4498" t="s">
        <v>128</v>
      </c>
      <c r="D4498">
        <v>0</v>
      </c>
      <c r="E4498">
        <v>-121.84</v>
      </c>
      <c r="F4498">
        <v>48.038</v>
      </c>
      <c r="G4498">
        <v>23287.94</v>
      </c>
      <c r="H4498" s="1">
        <v>33187</v>
      </c>
      <c r="I4498" s="1">
        <v>33192</v>
      </c>
      <c r="J4498" t="s">
        <v>15</v>
      </c>
      <c r="K4498">
        <v>0</v>
      </c>
      <c r="L4498">
        <v>500</v>
      </c>
      <c r="M4498" t="s">
        <v>16</v>
      </c>
      <c r="N4498">
        <v>1</v>
      </c>
    </row>
    <row r="4499" hidden="1" spans="1:14">
      <c r="A4499">
        <v>483</v>
      </c>
      <c r="B4499">
        <v>0</v>
      </c>
      <c r="C4499" t="s">
        <v>128</v>
      </c>
      <c r="D4499">
        <v>0</v>
      </c>
      <c r="E4499">
        <v>-86.6825</v>
      </c>
      <c r="F4499">
        <v>40.9323</v>
      </c>
      <c r="G4499">
        <v>21311.21</v>
      </c>
      <c r="H4499" s="1">
        <v>33203</v>
      </c>
      <c r="I4499" s="1">
        <v>33207</v>
      </c>
      <c r="J4499" t="s">
        <v>15</v>
      </c>
      <c r="K4499">
        <v>2</v>
      </c>
      <c r="L4499">
        <v>1000</v>
      </c>
      <c r="M4499" t="s">
        <v>16</v>
      </c>
      <c r="N4499">
        <v>1</v>
      </c>
    </row>
    <row r="4500" hidden="1" spans="1:14">
      <c r="A4500">
        <v>487</v>
      </c>
      <c r="B4500">
        <v>0</v>
      </c>
      <c r="C4500" t="s">
        <v>128</v>
      </c>
      <c r="D4500">
        <v>0</v>
      </c>
      <c r="E4500">
        <v>-83.122</v>
      </c>
      <c r="F4500">
        <v>39.9139</v>
      </c>
      <c r="G4500">
        <v>177858.71</v>
      </c>
      <c r="H4500" s="1">
        <v>33238</v>
      </c>
      <c r="I4500" s="1">
        <v>33241</v>
      </c>
      <c r="J4500" t="s">
        <v>15</v>
      </c>
      <c r="K4500">
        <v>0</v>
      </c>
      <c r="L4500">
        <v>3500</v>
      </c>
      <c r="M4500" t="s">
        <v>16</v>
      </c>
      <c r="N4500">
        <v>1</v>
      </c>
    </row>
    <row r="4501" hidden="1" spans="1:14">
      <c r="A4501">
        <v>499</v>
      </c>
      <c r="B4501">
        <v>0</v>
      </c>
      <c r="C4501" t="s">
        <v>128</v>
      </c>
      <c r="D4501">
        <v>0</v>
      </c>
      <c r="E4501">
        <v>-157.952</v>
      </c>
      <c r="F4501">
        <v>21.537</v>
      </c>
      <c r="G4501">
        <v>875.511</v>
      </c>
      <c r="H4501" s="1">
        <v>33316</v>
      </c>
      <c r="I4501" s="1">
        <v>33322</v>
      </c>
      <c r="J4501" t="s">
        <v>15</v>
      </c>
      <c r="K4501">
        <v>0</v>
      </c>
      <c r="L4501">
        <v>200</v>
      </c>
      <c r="M4501" t="s">
        <v>16</v>
      </c>
      <c r="N4501">
        <v>1</v>
      </c>
    </row>
    <row r="4502" hidden="1" spans="1:14">
      <c r="A4502">
        <v>504</v>
      </c>
      <c r="B4502">
        <v>0</v>
      </c>
      <c r="C4502" t="s">
        <v>128</v>
      </c>
      <c r="D4502">
        <v>0</v>
      </c>
      <c r="E4502">
        <v>-97.6654</v>
      </c>
      <c r="F4502">
        <v>27.4406</v>
      </c>
      <c r="G4502">
        <v>32172.36</v>
      </c>
      <c r="H4502" s="1">
        <v>33333</v>
      </c>
      <c r="I4502" s="1">
        <v>33337</v>
      </c>
      <c r="J4502" t="s">
        <v>15</v>
      </c>
      <c r="K4502">
        <v>0</v>
      </c>
      <c r="L4502">
        <v>0</v>
      </c>
      <c r="M4502" t="s">
        <v>16</v>
      </c>
      <c r="N4502">
        <v>1</v>
      </c>
    </row>
    <row r="4503" hidden="1" spans="1:14">
      <c r="A4503">
        <v>506</v>
      </c>
      <c r="B4503">
        <v>0</v>
      </c>
      <c r="C4503" t="s">
        <v>128</v>
      </c>
      <c r="D4503">
        <v>0</v>
      </c>
      <c r="E4503">
        <v>-91.338</v>
      </c>
      <c r="F4503">
        <v>32.0501</v>
      </c>
      <c r="G4503">
        <v>119197.31</v>
      </c>
      <c r="H4503" s="1">
        <v>33356</v>
      </c>
      <c r="I4503" s="1">
        <v>33360</v>
      </c>
      <c r="J4503" t="s">
        <v>15</v>
      </c>
      <c r="K4503">
        <v>0</v>
      </c>
      <c r="L4503">
        <v>10000</v>
      </c>
      <c r="M4503" t="s">
        <v>16</v>
      </c>
      <c r="N4503">
        <v>1</v>
      </c>
    </row>
    <row r="4504" hidden="1" spans="1:14">
      <c r="A4504">
        <v>509</v>
      </c>
      <c r="B4504">
        <v>0</v>
      </c>
      <c r="C4504" t="s">
        <v>128</v>
      </c>
      <c r="D4504">
        <v>0</v>
      </c>
      <c r="E4504">
        <v>-147.426</v>
      </c>
      <c r="F4504">
        <v>64.8145</v>
      </c>
      <c r="G4504">
        <v>22130.06</v>
      </c>
      <c r="H4504" s="1">
        <v>33361</v>
      </c>
      <c r="I4504" s="1">
        <v>33365</v>
      </c>
      <c r="J4504" t="s">
        <v>15</v>
      </c>
      <c r="K4504">
        <v>2</v>
      </c>
      <c r="L4504">
        <v>800</v>
      </c>
      <c r="M4504" t="s">
        <v>1047</v>
      </c>
      <c r="N4504">
        <v>1</v>
      </c>
    </row>
    <row r="4505" hidden="1" spans="1:14">
      <c r="A4505">
        <v>522</v>
      </c>
      <c r="B4505">
        <v>0</v>
      </c>
      <c r="C4505" t="s">
        <v>128</v>
      </c>
      <c r="D4505">
        <v>0</v>
      </c>
      <c r="E4505">
        <v>-92.341</v>
      </c>
      <c r="F4505">
        <v>31.1619</v>
      </c>
      <c r="G4505">
        <v>78319.43</v>
      </c>
      <c r="H4505" s="1">
        <v>33400</v>
      </c>
      <c r="I4505" s="1">
        <v>33401</v>
      </c>
      <c r="J4505" t="s">
        <v>15</v>
      </c>
      <c r="K4505">
        <v>2</v>
      </c>
      <c r="L4505">
        <v>0</v>
      </c>
      <c r="M4505" t="s">
        <v>64</v>
      </c>
      <c r="N4505">
        <v>1</v>
      </c>
    </row>
    <row r="4506" hidden="1" spans="1:14">
      <c r="A4506">
        <v>565</v>
      </c>
      <c r="B4506">
        <v>0</v>
      </c>
      <c r="C4506" t="s">
        <v>128</v>
      </c>
      <c r="D4506">
        <v>0</v>
      </c>
      <c r="E4506">
        <v>-75.4917</v>
      </c>
      <c r="F4506">
        <v>40.0211</v>
      </c>
      <c r="G4506">
        <v>2578.11</v>
      </c>
      <c r="H4506" s="1">
        <v>33460</v>
      </c>
      <c r="I4506" s="1">
        <v>33462</v>
      </c>
      <c r="J4506" t="s">
        <v>15</v>
      </c>
      <c r="K4506">
        <v>0</v>
      </c>
      <c r="L4506">
        <v>200</v>
      </c>
      <c r="M4506" t="s">
        <v>16</v>
      </c>
      <c r="N4506">
        <v>1</v>
      </c>
    </row>
    <row r="4507" hidden="1" spans="1:14">
      <c r="A4507">
        <v>567</v>
      </c>
      <c r="B4507">
        <v>0</v>
      </c>
      <c r="C4507" t="s">
        <v>128</v>
      </c>
      <c r="D4507">
        <v>0</v>
      </c>
      <c r="E4507">
        <v>-97.4674</v>
      </c>
      <c r="F4507">
        <v>32.5172</v>
      </c>
      <c r="G4507">
        <v>14207.43</v>
      </c>
      <c r="H4507" s="1">
        <v>33462</v>
      </c>
      <c r="I4507" s="1">
        <v>33464</v>
      </c>
      <c r="J4507" t="s">
        <v>15</v>
      </c>
      <c r="K4507">
        <v>1</v>
      </c>
      <c r="L4507">
        <v>0</v>
      </c>
      <c r="M4507" t="s">
        <v>16</v>
      </c>
      <c r="N4507">
        <v>1</v>
      </c>
    </row>
    <row r="4508" hidden="1" spans="1:14">
      <c r="A4508">
        <v>579</v>
      </c>
      <c r="B4508">
        <v>0</v>
      </c>
      <c r="C4508" t="s">
        <v>128</v>
      </c>
      <c r="D4508">
        <v>0</v>
      </c>
      <c r="E4508">
        <v>-111.924</v>
      </c>
      <c r="F4508">
        <v>41.0624</v>
      </c>
      <c r="G4508">
        <v>24977.94</v>
      </c>
      <c r="H4508" s="1">
        <v>33486</v>
      </c>
      <c r="I4508" s="1">
        <v>33489</v>
      </c>
      <c r="J4508" t="s">
        <v>15</v>
      </c>
      <c r="K4508">
        <v>0</v>
      </c>
      <c r="L4508">
        <v>0</v>
      </c>
      <c r="M4508" t="s">
        <v>16</v>
      </c>
      <c r="N4508">
        <v>2</v>
      </c>
    </row>
    <row r="4509" hidden="1" spans="1:14">
      <c r="A4509">
        <v>584</v>
      </c>
      <c r="B4509">
        <v>0</v>
      </c>
      <c r="C4509" t="s">
        <v>128</v>
      </c>
      <c r="D4509">
        <v>0</v>
      </c>
      <c r="E4509">
        <v>-99.8947</v>
      </c>
      <c r="F4509">
        <v>28.8035</v>
      </c>
      <c r="G4509">
        <v>70880.61</v>
      </c>
      <c r="H4509" s="1">
        <v>33495</v>
      </c>
      <c r="I4509" s="1">
        <v>33497</v>
      </c>
      <c r="J4509" t="s">
        <v>15</v>
      </c>
      <c r="K4509">
        <v>0</v>
      </c>
      <c r="L4509">
        <v>0</v>
      </c>
      <c r="M4509" t="s">
        <v>16</v>
      </c>
      <c r="N4509">
        <v>1</v>
      </c>
    </row>
    <row r="4510" hidden="1" spans="1:14">
      <c r="A4510">
        <v>593</v>
      </c>
      <c r="B4510">
        <v>0</v>
      </c>
      <c r="C4510" t="s">
        <v>128</v>
      </c>
      <c r="D4510">
        <v>0</v>
      </c>
      <c r="E4510">
        <v>-80.4231</v>
      </c>
      <c r="F4510">
        <v>26.2763</v>
      </c>
      <c r="G4510">
        <v>10405.21</v>
      </c>
      <c r="H4510" s="1">
        <v>33519</v>
      </c>
      <c r="I4510" s="1">
        <v>33524</v>
      </c>
      <c r="J4510" t="s">
        <v>15</v>
      </c>
      <c r="K4510">
        <v>0</v>
      </c>
      <c r="L4510">
        <v>0</v>
      </c>
      <c r="M4510" t="s">
        <v>16</v>
      </c>
      <c r="N4510">
        <v>1</v>
      </c>
    </row>
    <row r="4511" hidden="1" spans="1:14">
      <c r="A4511">
        <v>601</v>
      </c>
      <c r="B4511">
        <v>0</v>
      </c>
      <c r="C4511" t="s">
        <v>128</v>
      </c>
      <c r="D4511">
        <v>0</v>
      </c>
      <c r="E4511">
        <v>-82.9024</v>
      </c>
      <c r="F4511">
        <v>40.0517</v>
      </c>
      <c r="G4511">
        <v>210359.75</v>
      </c>
      <c r="H4511" s="1">
        <v>33574</v>
      </c>
      <c r="I4511" s="1">
        <v>33575</v>
      </c>
      <c r="J4511" t="s">
        <v>15</v>
      </c>
      <c r="K4511">
        <v>4</v>
      </c>
      <c r="L4511">
        <v>0</v>
      </c>
      <c r="M4511" t="s">
        <v>16</v>
      </c>
      <c r="N4511">
        <v>1</v>
      </c>
    </row>
    <row r="4512" hidden="1" spans="1:14">
      <c r="A4512">
        <v>606</v>
      </c>
      <c r="B4512">
        <v>0</v>
      </c>
      <c r="C4512" t="s">
        <v>128</v>
      </c>
      <c r="D4512">
        <v>0</v>
      </c>
      <c r="E4512">
        <v>-159.554</v>
      </c>
      <c r="F4512">
        <v>22.0615</v>
      </c>
      <c r="G4512">
        <v>1319.59</v>
      </c>
      <c r="H4512" s="1">
        <v>33586</v>
      </c>
      <c r="I4512" s="1">
        <v>33588</v>
      </c>
      <c r="J4512" t="s">
        <v>15</v>
      </c>
      <c r="K4512">
        <v>3</v>
      </c>
      <c r="L4512">
        <v>200</v>
      </c>
      <c r="M4512" t="s">
        <v>16</v>
      </c>
      <c r="N4512">
        <v>1</v>
      </c>
    </row>
    <row r="4513" hidden="1" spans="1:14">
      <c r="A4513">
        <v>608</v>
      </c>
      <c r="B4513">
        <v>0</v>
      </c>
      <c r="C4513" t="s">
        <v>128</v>
      </c>
      <c r="D4513">
        <v>0</v>
      </c>
      <c r="E4513">
        <v>-95.9628</v>
      </c>
      <c r="F4513">
        <v>29.4697</v>
      </c>
      <c r="G4513">
        <v>7420.85</v>
      </c>
      <c r="H4513" s="1">
        <v>33590</v>
      </c>
      <c r="I4513" s="1">
        <v>33603</v>
      </c>
      <c r="J4513" t="s">
        <v>15</v>
      </c>
      <c r="K4513">
        <v>15</v>
      </c>
      <c r="L4513">
        <v>1800</v>
      </c>
      <c r="M4513" t="s">
        <v>16</v>
      </c>
      <c r="N4513">
        <v>1</v>
      </c>
    </row>
    <row r="4514" hidden="1" spans="1:14">
      <c r="A4514">
        <v>623</v>
      </c>
      <c r="B4514">
        <v>0</v>
      </c>
      <c r="C4514" t="s">
        <v>128</v>
      </c>
      <c r="D4514">
        <v>0</v>
      </c>
      <c r="E4514">
        <v>-118.115</v>
      </c>
      <c r="F4514">
        <v>34.0486</v>
      </c>
      <c r="G4514">
        <v>4604.18</v>
      </c>
      <c r="H4514" s="1">
        <v>33644</v>
      </c>
      <c r="I4514" s="1">
        <v>33646</v>
      </c>
      <c r="J4514" t="s">
        <v>15</v>
      </c>
      <c r="K4514">
        <v>8</v>
      </c>
      <c r="L4514">
        <v>0</v>
      </c>
      <c r="M4514" t="s">
        <v>16</v>
      </c>
      <c r="N4514">
        <v>2</v>
      </c>
    </row>
    <row r="4515" hidden="1" spans="1:14">
      <c r="A4515">
        <v>629</v>
      </c>
      <c r="B4515">
        <v>0</v>
      </c>
      <c r="C4515" t="s">
        <v>128</v>
      </c>
      <c r="D4515">
        <v>0</v>
      </c>
      <c r="E4515">
        <v>-95.3426</v>
      </c>
      <c r="F4515">
        <v>29.8372</v>
      </c>
      <c r="G4515">
        <v>6381.18</v>
      </c>
      <c r="H4515" s="1">
        <v>33667</v>
      </c>
      <c r="I4515" s="1">
        <v>33669</v>
      </c>
      <c r="J4515" t="s">
        <v>15</v>
      </c>
      <c r="K4515">
        <v>1</v>
      </c>
      <c r="L4515">
        <v>0</v>
      </c>
      <c r="M4515" t="s">
        <v>16</v>
      </c>
      <c r="N4515">
        <v>1</v>
      </c>
    </row>
    <row r="4516" hidden="1" spans="1:14">
      <c r="A4516">
        <v>631</v>
      </c>
      <c r="B4516">
        <v>0</v>
      </c>
      <c r="C4516" t="s">
        <v>128</v>
      </c>
      <c r="D4516">
        <v>0</v>
      </c>
      <c r="E4516">
        <v>-72.5285</v>
      </c>
      <c r="F4516">
        <v>44.2707</v>
      </c>
      <c r="G4516">
        <v>1311.44</v>
      </c>
      <c r="H4516" s="1">
        <v>33675</v>
      </c>
      <c r="I4516" s="1">
        <v>33677</v>
      </c>
      <c r="J4516" t="s">
        <v>15</v>
      </c>
      <c r="K4516">
        <v>0</v>
      </c>
      <c r="L4516">
        <v>0</v>
      </c>
      <c r="M4516" t="s">
        <v>48</v>
      </c>
      <c r="N4516">
        <v>2</v>
      </c>
    </row>
    <row r="4517" hidden="1" spans="1:14">
      <c r="A4517">
        <v>651</v>
      </c>
      <c r="B4517">
        <v>0</v>
      </c>
      <c r="C4517" t="s">
        <v>128</v>
      </c>
      <c r="D4517">
        <v>0</v>
      </c>
      <c r="E4517">
        <v>-72.7314</v>
      </c>
      <c r="F4517">
        <v>41.5946</v>
      </c>
      <c r="G4517">
        <v>4609.14</v>
      </c>
      <c r="H4517" s="1">
        <v>33760</v>
      </c>
      <c r="I4517" s="1">
        <v>33761</v>
      </c>
      <c r="J4517" t="s">
        <v>15</v>
      </c>
      <c r="K4517">
        <v>0</v>
      </c>
      <c r="L4517">
        <v>250</v>
      </c>
      <c r="M4517" t="s">
        <v>16</v>
      </c>
      <c r="N4517">
        <v>1</v>
      </c>
    </row>
    <row r="4518" hidden="1" spans="1:14">
      <c r="A4518">
        <v>661</v>
      </c>
      <c r="B4518">
        <v>0</v>
      </c>
      <c r="C4518" t="s">
        <v>128</v>
      </c>
      <c r="D4518">
        <v>0</v>
      </c>
      <c r="E4518">
        <v>-91.874</v>
      </c>
      <c r="F4518">
        <v>39.309</v>
      </c>
      <c r="G4518">
        <v>33289.42</v>
      </c>
      <c r="H4518" s="1">
        <v>33785</v>
      </c>
      <c r="I4518" s="1">
        <v>33791</v>
      </c>
      <c r="J4518" t="s">
        <v>15</v>
      </c>
      <c r="K4518">
        <v>0</v>
      </c>
      <c r="L4518">
        <v>600</v>
      </c>
      <c r="M4518" t="s">
        <v>16</v>
      </c>
      <c r="N4518">
        <v>1</v>
      </c>
    </row>
    <row r="4519" hidden="1" spans="1:14">
      <c r="A4519">
        <v>684</v>
      </c>
      <c r="B4519">
        <v>0</v>
      </c>
      <c r="C4519" t="s">
        <v>128</v>
      </c>
      <c r="D4519">
        <v>0</v>
      </c>
      <c r="E4519">
        <v>-81.35</v>
      </c>
      <c r="F4519">
        <v>26.3061</v>
      </c>
      <c r="G4519">
        <v>68137.19</v>
      </c>
      <c r="H4519" s="1">
        <v>33842</v>
      </c>
      <c r="I4519" s="1">
        <v>33843</v>
      </c>
      <c r="J4519" t="s">
        <v>15</v>
      </c>
      <c r="K4519">
        <v>20</v>
      </c>
      <c r="L4519">
        <v>1800000</v>
      </c>
      <c r="M4519" t="s">
        <v>104</v>
      </c>
      <c r="N4519">
        <v>1</v>
      </c>
    </row>
    <row r="4520" hidden="1" spans="1:14">
      <c r="A4520">
        <v>693</v>
      </c>
      <c r="B4520">
        <v>0</v>
      </c>
      <c r="C4520" t="s">
        <v>128</v>
      </c>
      <c r="D4520">
        <v>0</v>
      </c>
      <c r="E4520">
        <v>-159.539</v>
      </c>
      <c r="F4520">
        <v>22.064</v>
      </c>
      <c r="G4520">
        <v>2901.55</v>
      </c>
      <c r="H4520" s="1">
        <v>33857</v>
      </c>
      <c r="I4520" s="1">
        <v>33859</v>
      </c>
      <c r="J4520" t="s">
        <v>15</v>
      </c>
      <c r="K4520">
        <v>3</v>
      </c>
      <c r="L4520">
        <v>25000</v>
      </c>
      <c r="M4520" t="s">
        <v>86</v>
      </c>
      <c r="N4520">
        <v>1</v>
      </c>
    </row>
    <row r="4521" hidden="1" spans="1:14">
      <c r="A4521">
        <v>715</v>
      </c>
      <c r="B4521">
        <v>0</v>
      </c>
      <c r="C4521" t="s">
        <v>128</v>
      </c>
      <c r="D4521">
        <v>0</v>
      </c>
      <c r="E4521">
        <v>-85.1568</v>
      </c>
      <c r="F4521">
        <v>29.6764</v>
      </c>
      <c r="G4521">
        <v>83.3733</v>
      </c>
      <c r="H4521" s="1">
        <v>33937</v>
      </c>
      <c r="I4521" s="1">
        <v>33937</v>
      </c>
      <c r="J4521" t="s">
        <v>15</v>
      </c>
      <c r="K4521">
        <v>3</v>
      </c>
      <c r="L4521">
        <v>0</v>
      </c>
      <c r="M4521" t="s">
        <v>86</v>
      </c>
      <c r="N4521">
        <v>1</v>
      </c>
    </row>
    <row r="4522" hidden="1" spans="1:14">
      <c r="A4522">
        <v>726</v>
      </c>
      <c r="B4522">
        <v>0</v>
      </c>
      <c r="C4522" t="s">
        <v>128</v>
      </c>
      <c r="D4522">
        <v>0</v>
      </c>
      <c r="E4522">
        <v>-90.7209</v>
      </c>
      <c r="F4522">
        <v>29.9467</v>
      </c>
      <c r="G4522">
        <v>42375.04</v>
      </c>
      <c r="H4522" s="1">
        <v>33989</v>
      </c>
      <c r="I4522" s="1">
        <v>33990</v>
      </c>
      <c r="J4522" t="s">
        <v>15</v>
      </c>
      <c r="K4522">
        <v>0</v>
      </c>
      <c r="L4522">
        <v>200</v>
      </c>
      <c r="M4522" t="s">
        <v>64</v>
      </c>
      <c r="N4522">
        <v>2</v>
      </c>
    </row>
    <row r="4523" hidden="1" spans="1:14">
      <c r="A4523">
        <v>732</v>
      </c>
      <c r="B4523">
        <v>0</v>
      </c>
      <c r="C4523" t="s">
        <v>128</v>
      </c>
      <c r="D4523">
        <v>0</v>
      </c>
      <c r="E4523">
        <v>-113.753</v>
      </c>
      <c r="F4523">
        <v>32.8796</v>
      </c>
      <c r="G4523">
        <v>7406.56</v>
      </c>
      <c r="H4523" s="1">
        <v>34023</v>
      </c>
      <c r="I4523" s="1">
        <v>34034</v>
      </c>
      <c r="J4523" t="s">
        <v>15</v>
      </c>
      <c r="K4523">
        <v>1</v>
      </c>
      <c r="L4523">
        <v>1600</v>
      </c>
      <c r="M4523" t="s">
        <v>16</v>
      </c>
      <c r="N4523">
        <v>1</v>
      </c>
    </row>
    <row r="4524" hidden="1" spans="1:14">
      <c r="A4524">
        <v>733</v>
      </c>
      <c r="B4524">
        <v>0</v>
      </c>
      <c r="C4524" t="s">
        <v>128</v>
      </c>
      <c r="D4524">
        <v>0</v>
      </c>
      <c r="E4524">
        <v>-97.6983</v>
      </c>
      <c r="F4524">
        <v>41.7158</v>
      </c>
      <c r="G4524">
        <v>25231.12</v>
      </c>
      <c r="H4524" s="1">
        <v>34035</v>
      </c>
      <c r="I4524" s="1">
        <v>34040</v>
      </c>
      <c r="J4524" t="s">
        <v>15</v>
      </c>
      <c r="K4524">
        <v>2</v>
      </c>
      <c r="L4524">
        <v>1500</v>
      </c>
      <c r="M4524" t="s">
        <v>39</v>
      </c>
      <c r="N4524">
        <v>1</v>
      </c>
    </row>
    <row r="4525" hidden="1" spans="1:14">
      <c r="A4525">
        <v>752</v>
      </c>
      <c r="B4525">
        <v>0</v>
      </c>
      <c r="C4525" t="s">
        <v>128</v>
      </c>
      <c r="D4525" t="s">
        <v>158</v>
      </c>
      <c r="E4525">
        <v>-88.8702</v>
      </c>
      <c r="F4525">
        <v>19.839</v>
      </c>
      <c r="G4525">
        <v>168818.57</v>
      </c>
      <c r="H4525" s="1">
        <v>34141</v>
      </c>
      <c r="I4525" s="1">
        <v>34143</v>
      </c>
      <c r="J4525" t="s">
        <v>15</v>
      </c>
      <c r="K4525">
        <v>9</v>
      </c>
      <c r="L4525">
        <v>12000</v>
      </c>
      <c r="M4525" t="s">
        <v>16</v>
      </c>
      <c r="N4525">
        <v>1</v>
      </c>
    </row>
    <row r="4526" hidden="1" spans="1:14">
      <c r="A4526">
        <v>754</v>
      </c>
      <c r="B4526">
        <v>0</v>
      </c>
      <c r="C4526" t="s">
        <v>128</v>
      </c>
      <c r="D4526">
        <v>0</v>
      </c>
      <c r="E4526">
        <v>-92.4812</v>
      </c>
      <c r="F4526">
        <v>40.3582</v>
      </c>
      <c r="G4526">
        <v>444971.26</v>
      </c>
      <c r="H4526" s="1">
        <v>34144</v>
      </c>
      <c r="I4526" s="1">
        <v>34204</v>
      </c>
      <c r="J4526" t="s">
        <v>15</v>
      </c>
      <c r="K4526">
        <v>48</v>
      </c>
      <c r="L4526">
        <v>31000</v>
      </c>
      <c r="M4526" t="s">
        <v>16</v>
      </c>
      <c r="N4526">
        <v>2</v>
      </c>
    </row>
    <row r="4527" hidden="1" spans="1:14">
      <c r="A4527">
        <v>772</v>
      </c>
      <c r="B4527">
        <v>0</v>
      </c>
      <c r="C4527" t="s">
        <v>128</v>
      </c>
      <c r="D4527">
        <v>0</v>
      </c>
      <c r="E4527">
        <v>-99.7646</v>
      </c>
      <c r="F4527">
        <v>41.6111</v>
      </c>
      <c r="G4527">
        <v>579.318</v>
      </c>
      <c r="H4527" s="1">
        <v>34202</v>
      </c>
      <c r="I4527" s="1">
        <v>34203</v>
      </c>
      <c r="J4527" t="s">
        <v>15</v>
      </c>
      <c r="K4527">
        <v>0</v>
      </c>
      <c r="L4527">
        <v>0</v>
      </c>
      <c r="M4527" t="s">
        <v>16</v>
      </c>
      <c r="N4527">
        <v>2</v>
      </c>
    </row>
    <row r="4528" hidden="1" spans="1:14">
      <c r="A4528">
        <v>782</v>
      </c>
      <c r="B4528">
        <v>0</v>
      </c>
      <c r="C4528" t="s">
        <v>128</v>
      </c>
      <c r="D4528">
        <v>0</v>
      </c>
      <c r="E4528">
        <v>-94.6207</v>
      </c>
      <c r="F4528">
        <v>36.764</v>
      </c>
      <c r="G4528">
        <v>31766.69</v>
      </c>
      <c r="H4528" s="1">
        <v>34234</v>
      </c>
      <c r="I4528" s="1">
        <v>34240</v>
      </c>
      <c r="J4528" t="s">
        <v>15</v>
      </c>
      <c r="K4528">
        <v>0</v>
      </c>
      <c r="L4528">
        <v>2500</v>
      </c>
      <c r="M4528" t="s">
        <v>64</v>
      </c>
      <c r="N4528">
        <v>2</v>
      </c>
    </row>
    <row r="4529" hidden="1" spans="1:14">
      <c r="A4529">
        <v>799</v>
      </c>
      <c r="B4529">
        <v>0</v>
      </c>
      <c r="C4529" t="s">
        <v>128</v>
      </c>
      <c r="D4529">
        <v>0</v>
      </c>
      <c r="E4529">
        <v>-91.5834</v>
      </c>
      <c r="F4529">
        <v>34.0563</v>
      </c>
      <c r="G4529">
        <v>33628.03</v>
      </c>
      <c r="H4529" s="1">
        <v>34286</v>
      </c>
      <c r="I4529" s="1">
        <v>34289</v>
      </c>
      <c r="J4529" t="s">
        <v>15</v>
      </c>
      <c r="K4529">
        <v>5</v>
      </c>
      <c r="L4529">
        <v>600</v>
      </c>
      <c r="M4529" t="s">
        <v>16</v>
      </c>
      <c r="N4529">
        <v>2</v>
      </c>
    </row>
    <row r="4530" hidden="1" spans="1:14">
      <c r="A4530">
        <v>836</v>
      </c>
      <c r="B4530">
        <v>0</v>
      </c>
      <c r="C4530" t="s">
        <v>128</v>
      </c>
      <c r="D4530">
        <v>0</v>
      </c>
      <c r="E4530">
        <v>-85.308</v>
      </c>
      <c r="F4530">
        <v>33.0034</v>
      </c>
      <c r="G4530">
        <v>179822.05</v>
      </c>
      <c r="H4530" s="1">
        <v>34417</v>
      </c>
      <c r="I4530" s="1">
        <v>34421</v>
      </c>
      <c r="J4530" t="s">
        <v>15</v>
      </c>
      <c r="K4530">
        <v>35</v>
      </c>
      <c r="L4530">
        <v>0</v>
      </c>
      <c r="M4530" t="s">
        <v>64</v>
      </c>
      <c r="N4530">
        <v>1</v>
      </c>
    </row>
    <row r="4531" hidden="1" spans="1:14">
      <c r="A4531">
        <v>841</v>
      </c>
      <c r="B4531">
        <v>0</v>
      </c>
      <c r="C4531" t="s">
        <v>128</v>
      </c>
      <c r="D4531">
        <v>0</v>
      </c>
      <c r="E4531">
        <v>-97.9613</v>
      </c>
      <c r="F4531">
        <v>36.8932</v>
      </c>
      <c r="G4531">
        <v>644301.28</v>
      </c>
      <c r="H4531" s="1">
        <v>34433</v>
      </c>
      <c r="I4531" s="1">
        <v>34442</v>
      </c>
      <c r="J4531" t="s">
        <v>15</v>
      </c>
      <c r="K4531">
        <v>6</v>
      </c>
      <c r="L4531">
        <v>4000</v>
      </c>
      <c r="M4531" t="s">
        <v>38</v>
      </c>
      <c r="N4531">
        <v>1</v>
      </c>
    </row>
    <row r="4532" hidden="1" spans="1:14">
      <c r="A4532">
        <v>853</v>
      </c>
      <c r="B4532">
        <v>0</v>
      </c>
      <c r="C4532" t="s">
        <v>128</v>
      </c>
      <c r="D4532">
        <v>0</v>
      </c>
      <c r="E4532">
        <v>-83.6886</v>
      </c>
      <c r="F4532">
        <v>37.0272</v>
      </c>
      <c r="G4532">
        <v>13311.18</v>
      </c>
      <c r="H4532" s="1">
        <v>34507</v>
      </c>
      <c r="I4532" s="1">
        <v>34512</v>
      </c>
      <c r="J4532" t="s">
        <v>15</v>
      </c>
      <c r="K4532">
        <v>2</v>
      </c>
      <c r="L4532">
        <v>0</v>
      </c>
      <c r="M4532" t="s">
        <v>16</v>
      </c>
      <c r="N4532">
        <v>1</v>
      </c>
    </row>
    <row r="4533" hidden="1" spans="1:14">
      <c r="A4533">
        <v>856</v>
      </c>
      <c r="B4533">
        <v>0</v>
      </c>
      <c r="C4533" t="s">
        <v>128</v>
      </c>
      <c r="D4533">
        <v>0</v>
      </c>
      <c r="E4533">
        <v>-84.3318</v>
      </c>
      <c r="F4533">
        <v>31.07</v>
      </c>
      <c r="G4533">
        <v>167722.97</v>
      </c>
      <c r="H4533" s="1">
        <v>34516</v>
      </c>
      <c r="I4533" s="1">
        <v>34530</v>
      </c>
      <c r="J4533" t="s">
        <v>15</v>
      </c>
      <c r="K4533">
        <v>32</v>
      </c>
      <c r="L4533">
        <v>20000</v>
      </c>
      <c r="M4533" t="s">
        <v>86</v>
      </c>
      <c r="N4533">
        <v>1</v>
      </c>
    </row>
    <row r="4534" hidden="1" spans="1:14">
      <c r="A4534">
        <v>905</v>
      </c>
      <c r="B4534">
        <v>0</v>
      </c>
      <c r="C4534" t="s">
        <v>128</v>
      </c>
      <c r="D4534">
        <v>0</v>
      </c>
      <c r="E4534">
        <v>-95.2737</v>
      </c>
      <c r="F4534">
        <v>30.2009</v>
      </c>
      <c r="G4534">
        <v>72987.24</v>
      </c>
      <c r="H4534" s="1">
        <v>34624</v>
      </c>
      <c r="I4534" s="1">
        <v>34630</v>
      </c>
      <c r="J4534" t="s">
        <v>15</v>
      </c>
      <c r="K4534">
        <v>19</v>
      </c>
      <c r="L4534">
        <v>10000</v>
      </c>
      <c r="M4534" t="s">
        <v>16</v>
      </c>
      <c r="N4534">
        <v>1</v>
      </c>
    </row>
    <row r="4535" hidden="1" spans="1:14">
      <c r="A4535">
        <v>927</v>
      </c>
      <c r="B4535">
        <v>0</v>
      </c>
      <c r="C4535" t="s">
        <v>128</v>
      </c>
      <c r="D4535">
        <v>0</v>
      </c>
      <c r="E4535">
        <v>-122.59</v>
      </c>
      <c r="F4535">
        <v>39.6057</v>
      </c>
      <c r="G4535">
        <v>81499.15</v>
      </c>
      <c r="H4535" s="1">
        <v>34702</v>
      </c>
      <c r="I4535" s="1">
        <v>34716</v>
      </c>
      <c r="J4535" t="s">
        <v>15</v>
      </c>
      <c r="K4535">
        <v>11</v>
      </c>
      <c r="L4535">
        <v>6000</v>
      </c>
      <c r="M4535" t="s">
        <v>16</v>
      </c>
      <c r="N4535">
        <v>1</v>
      </c>
    </row>
    <row r="4536" hidden="1" spans="1:14">
      <c r="A4536">
        <v>940</v>
      </c>
      <c r="B4536">
        <v>0</v>
      </c>
      <c r="C4536" t="s">
        <v>128</v>
      </c>
      <c r="D4536">
        <v>0</v>
      </c>
      <c r="E4536">
        <v>-121.562</v>
      </c>
      <c r="F4536">
        <v>38.7256</v>
      </c>
      <c r="G4536">
        <v>196019.62</v>
      </c>
      <c r="H4536" s="1">
        <v>34766</v>
      </c>
      <c r="I4536" s="1">
        <v>34778</v>
      </c>
      <c r="J4536" t="s">
        <v>15</v>
      </c>
      <c r="K4536">
        <v>15</v>
      </c>
      <c r="L4536">
        <v>10000</v>
      </c>
      <c r="M4536" t="s">
        <v>38</v>
      </c>
      <c r="N4536">
        <v>1</v>
      </c>
    </row>
    <row r="4537" hidden="1" spans="1:14">
      <c r="A4537">
        <v>948</v>
      </c>
      <c r="B4537">
        <v>0</v>
      </c>
      <c r="C4537" t="s">
        <v>128</v>
      </c>
      <c r="D4537">
        <v>0</v>
      </c>
      <c r="E4537">
        <v>-90.104</v>
      </c>
      <c r="F4537">
        <v>29.9011</v>
      </c>
      <c r="G4537">
        <v>19344.57</v>
      </c>
      <c r="H4537" s="1">
        <v>34826</v>
      </c>
      <c r="I4537" s="1">
        <v>34832</v>
      </c>
      <c r="J4537" t="s">
        <v>15</v>
      </c>
      <c r="K4537">
        <v>6</v>
      </c>
      <c r="L4537">
        <v>20000</v>
      </c>
      <c r="M4537" t="s">
        <v>16</v>
      </c>
      <c r="N4537">
        <v>1</v>
      </c>
    </row>
    <row r="4538" hidden="1" spans="1:14">
      <c r="A4538">
        <v>950</v>
      </c>
      <c r="B4538">
        <v>0</v>
      </c>
      <c r="C4538" t="s">
        <v>128</v>
      </c>
      <c r="D4538">
        <v>0</v>
      </c>
      <c r="E4538">
        <v>-89.5648</v>
      </c>
      <c r="F4538">
        <v>36.7237</v>
      </c>
      <c r="G4538">
        <v>472141.86</v>
      </c>
      <c r="H4538" s="1">
        <v>34829</v>
      </c>
      <c r="I4538" s="1">
        <v>34851</v>
      </c>
      <c r="J4538" t="s">
        <v>15</v>
      </c>
      <c r="K4538">
        <v>3</v>
      </c>
      <c r="L4538">
        <v>5000</v>
      </c>
      <c r="M4538" t="s">
        <v>16</v>
      </c>
      <c r="N4538">
        <v>1</v>
      </c>
    </row>
    <row r="4539" hidden="1" spans="1:14">
      <c r="A4539">
        <v>979</v>
      </c>
      <c r="B4539">
        <v>0</v>
      </c>
      <c r="C4539" t="s">
        <v>128</v>
      </c>
      <c r="D4539">
        <v>0</v>
      </c>
      <c r="E4539">
        <v>-82.5624</v>
      </c>
      <c r="F4539">
        <v>39.461</v>
      </c>
      <c r="G4539">
        <v>118253.11</v>
      </c>
      <c r="H4539" s="1">
        <v>34918</v>
      </c>
      <c r="I4539" s="1">
        <v>34929</v>
      </c>
      <c r="J4539" t="s">
        <v>15</v>
      </c>
      <c r="K4539">
        <v>4</v>
      </c>
      <c r="L4539">
        <v>1000</v>
      </c>
      <c r="M4539" t="s">
        <v>16</v>
      </c>
      <c r="N4539">
        <v>1</v>
      </c>
    </row>
    <row r="4540" hidden="1" spans="1:14">
      <c r="A4540">
        <v>987</v>
      </c>
      <c r="B4540">
        <v>0</v>
      </c>
      <c r="C4540" t="s">
        <v>128</v>
      </c>
      <c r="D4540">
        <v>0</v>
      </c>
      <c r="E4540">
        <v>-79.4656</v>
      </c>
      <c r="F4540">
        <v>33.6351</v>
      </c>
      <c r="G4540">
        <v>176800.72</v>
      </c>
      <c r="H4540" s="1">
        <v>34937</v>
      </c>
      <c r="I4540" s="1">
        <v>34940</v>
      </c>
      <c r="J4540" t="s">
        <v>15</v>
      </c>
      <c r="K4540">
        <v>8</v>
      </c>
      <c r="L4540">
        <v>300</v>
      </c>
      <c r="M4540" t="s">
        <v>16</v>
      </c>
      <c r="N4540">
        <v>1</v>
      </c>
    </row>
    <row r="4541" hidden="1" spans="1:14">
      <c r="A4541">
        <v>1000</v>
      </c>
      <c r="B4541">
        <v>0</v>
      </c>
      <c r="C4541" t="s">
        <v>128</v>
      </c>
      <c r="D4541">
        <v>0</v>
      </c>
      <c r="E4541">
        <v>-149.768</v>
      </c>
      <c r="F4541">
        <v>60.8522</v>
      </c>
      <c r="G4541">
        <v>50389.55</v>
      </c>
      <c r="H4541" s="1">
        <v>34960</v>
      </c>
      <c r="I4541" s="1">
        <v>34988</v>
      </c>
      <c r="J4541" t="s">
        <v>15</v>
      </c>
      <c r="K4541">
        <v>0</v>
      </c>
      <c r="L4541">
        <v>300</v>
      </c>
      <c r="M4541" t="s">
        <v>16</v>
      </c>
      <c r="N4541">
        <v>2</v>
      </c>
    </row>
    <row r="4542" hidden="1" spans="1:14">
      <c r="A4542">
        <v>1017</v>
      </c>
      <c r="B4542">
        <v>0</v>
      </c>
      <c r="C4542" t="s">
        <v>128</v>
      </c>
      <c r="D4542">
        <v>0</v>
      </c>
      <c r="E4542">
        <v>-84.3681</v>
      </c>
      <c r="F4542">
        <v>30.6405</v>
      </c>
      <c r="G4542">
        <v>203495.71</v>
      </c>
      <c r="H4542" s="1">
        <v>34976</v>
      </c>
      <c r="I4542" s="1">
        <v>34980</v>
      </c>
      <c r="J4542" t="s">
        <v>15</v>
      </c>
      <c r="K4542">
        <v>19</v>
      </c>
      <c r="L4542">
        <v>100000</v>
      </c>
      <c r="M4542" t="s">
        <v>86</v>
      </c>
      <c r="N4542">
        <v>2</v>
      </c>
    </row>
    <row r="4543" hidden="1" spans="1:14">
      <c r="A4543">
        <v>1025</v>
      </c>
      <c r="B4543">
        <v>0</v>
      </c>
      <c r="C4543" t="s">
        <v>128</v>
      </c>
      <c r="D4543">
        <v>0</v>
      </c>
      <c r="E4543">
        <v>-80.9927</v>
      </c>
      <c r="F4543">
        <v>26.6361</v>
      </c>
      <c r="G4543">
        <v>34849.1</v>
      </c>
      <c r="H4543" s="1">
        <v>34985</v>
      </c>
      <c r="I4543" s="1">
        <v>35000</v>
      </c>
      <c r="J4543" t="s">
        <v>15</v>
      </c>
      <c r="K4543">
        <v>0</v>
      </c>
      <c r="L4543">
        <v>600</v>
      </c>
      <c r="M4543" t="s">
        <v>16</v>
      </c>
      <c r="N4543">
        <v>1</v>
      </c>
    </row>
    <row r="4544" hidden="1" spans="1:14">
      <c r="A4544">
        <v>1033</v>
      </c>
      <c r="B4544">
        <v>0</v>
      </c>
      <c r="C4544" t="s">
        <v>128</v>
      </c>
      <c r="D4544">
        <v>0</v>
      </c>
      <c r="E4544">
        <v>-122.706</v>
      </c>
      <c r="F4544">
        <v>46.5287</v>
      </c>
      <c r="G4544">
        <v>111709.95</v>
      </c>
      <c r="H4544" s="1">
        <v>35031</v>
      </c>
      <c r="I4544" s="1">
        <v>35043</v>
      </c>
      <c r="J4544" t="s">
        <v>15</v>
      </c>
      <c r="K4544">
        <v>2</v>
      </c>
      <c r="L4544">
        <v>15000</v>
      </c>
      <c r="M4544" t="s">
        <v>38</v>
      </c>
      <c r="N4544">
        <v>2</v>
      </c>
    </row>
    <row r="4545" hidden="1" spans="1:14">
      <c r="A4545">
        <v>1046</v>
      </c>
      <c r="B4545">
        <v>0</v>
      </c>
      <c r="C4545" t="s">
        <v>128</v>
      </c>
      <c r="D4545">
        <v>0</v>
      </c>
      <c r="E4545">
        <v>-79.1319</v>
      </c>
      <c r="F4545">
        <v>41.359</v>
      </c>
      <c r="G4545">
        <v>136058.51</v>
      </c>
      <c r="H4545" s="1">
        <v>35079</v>
      </c>
      <c r="I4545" s="1">
        <v>35085</v>
      </c>
      <c r="J4545" t="s">
        <v>15</v>
      </c>
      <c r="K4545">
        <v>35</v>
      </c>
      <c r="L4545">
        <v>200000</v>
      </c>
      <c r="M4545" t="s">
        <v>39</v>
      </c>
      <c r="N4545">
        <v>1</v>
      </c>
    </row>
    <row r="4546" hidden="1" spans="1:14">
      <c r="A4546">
        <v>1056</v>
      </c>
      <c r="B4546">
        <v>0</v>
      </c>
      <c r="C4546" t="s">
        <v>128</v>
      </c>
      <c r="D4546">
        <v>0</v>
      </c>
      <c r="E4546">
        <v>-120.002</v>
      </c>
      <c r="F4546">
        <v>45.5728</v>
      </c>
      <c r="G4546">
        <v>482618.13</v>
      </c>
      <c r="H4546" s="1">
        <v>35102</v>
      </c>
      <c r="I4546" s="1">
        <v>35108</v>
      </c>
      <c r="J4546" t="s">
        <v>15</v>
      </c>
      <c r="K4546">
        <v>7</v>
      </c>
      <c r="L4546">
        <v>24900</v>
      </c>
      <c r="M4546" t="s">
        <v>16</v>
      </c>
      <c r="N4546">
        <v>1</v>
      </c>
    </row>
    <row r="4547" hidden="1" spans="1:14">
      <c r="A4547">
        <v>1070</v>
      </c>
      <c r="B4547">
        <v>0</v>
      </c>
      <c r="C4547" t="s">
        <v>128</v>
      </c>
      <c r="D4547">
        <v>0</v>
      </c>
      <c r="E4547">
        <v>-88.025</v>
      </c>
      <c r="F4547">
        <v>39.1375</v>
      </c>
      <c r="G4547">
        <v>394867.84</v>
      </c>
      <c r="H4547" s="1">
        <v>35198</v>
      </c>
      <c r="I4547" s="1">
        <v>35205</v>
      </c>
      <c r="J4547" t="s">
        <v>15</v>
      </c>
      <c r="K4547">
        <v>3</v>
      </c>
      <c r="L4547">
        <v>2500</v>
      </c>
      <c r="M4547" t="s">
        <v>16</v>
      </c>
      <c r="N4547">
        <v>1</v>
      </c>
    </row>
    <row r="4548" hidden="1" spans="1:14">
      <c r="A4548">
        <v>1071</v>
      </c>
      <c r="C4548" t="s">
        <v>128</v>
      </c>
      <c r="E4548">
        <v>-81.1983</v>
      </c>
      <c r="F4548">
        <v>38.4217</v>
      </c>
      <c r="G4548">
        <v>63664.15</v>
      </c>
      <c r="H4548" s="1">
        <v>35198</v>
      </c>
      <c r="I4548" s="1">
        <v>35205</v>
      </c>
      <c r="J4548" t="s">
        <v>15</v>
      </c>
      <c r="K4548">
        <v>0</v>
      </c>
      <c r="L4548">
        <v>0</v>
      </c>
      <c r="N4548">
        <v>1</v>
      </c>
    </row>
    <row r="4549" hidden="1" spans="1:14">
      <c r="A4549">
        <v>1081</v>
      </c>
      <c r="B4549">
        <v>0</v>
      </c>
      <c r="C4549" t="s">
        <v>128</v>
      </c>
      <c r="E4549">
        <v>-77.5231</v>
      </c>
      <c r="F4549">
        <v>39.6615</v>
      </c>
      <c r="G4549">
        <v>18336.02</v>
      </c>
      <c r="H4549" s="1">
        <v>35226</v>
      </c>
      <c r="I4549" s="1">
        <v>35246</v>
      </c>
      <c r="J4549" t="s">
        <v>15</v>
      </c>
      <c r="K4549">
        <v>0</v>
      </c>
      <c r="L4549">
        <v>0</v>
      </c>
      <c r="M4549" t="s">
        <v>16</v>
      </c>
      <c r="N4549">
        <v>1</v>
      </c>
    </row>
    <row r="4550" hidden="1" spans="1:14">
      <c r="A4550">
        <v>1092</v>
      </c>
      <c r="B4550">
        <v>0</v>
      </c>
      <c r="C4550" t="s">
        <v>128</v>
      </c>
      <c r="D4550">
        <v>0</v>
      </c>
      <c r="E4550">
        <v>-79.2426</v>
      </c>
      <c r="F4550">
        <v>40.99</v>
      </c>
      <c r="G4550">
        <v>53521.56</v>
      </c>
      <c r="H4550" s="1">
        <v>35264</v>
      </c>
      <c r="I4550" s="1">
        <v>35267</v>
      </c>
      <c r="J4550" t="s">
        <v>15</v>
      </c>
      <c r="K4550">
        <v>2</v>
      </c>
      <c r="L4550">
        <v>115</v>
      </c>
      <c r="M4550" t="s">
        <v>16</v>
      </c>
      <c r="N4550">
        <v>2</v>
      </c>
    </row>
    <row r="4551" hidden="1" spans="1:14">
      <c r="A4551">
        <v>1109</v>
      </c>
      <c r="B4551">
        <v>0</v>
      </c>
      <c r="C4551" t="s">
        <v>128</v>
      </c>
      <c r="D4551">
        <v>0</v>
      </c>
      <c r="E4551">
        <v>-78.5415</v>
      </c>
      <c r="F4551">
        <v>37.0785</v>
      </c>
      <c r="G4551">
        <v>293737.99</v>
      </c>
      <c r="H4551" s="1">
        <v>35313</v>
      </c>
      <c r="I4551" s="1">
        <v>35321</v>
      </c>
      <c r="J4551" t="s">
        <v>15</v>
      </c>
      <c r="K4551">
        <v>34</v>
      </c>
      <c r="L4551">
        <v>4000</v>
      </c>
      <c r="M4551" t="s">
        <v>103</v>
      </c>
      <c r="N4551">
        <v>1</v>
      </c>
    </row>
    <row r="4552" hidden="1" spans="1:14">
      <c r="A4552">
        <v>1116</v>
      </c>
      <c r="B4552">
        <v>0</v>
      </c>
      <c r="C4552" t="s">
        <v>128</v>
      </c>
      <c r="D4552">
        <v>0</v>
      </c>
      <c r="E4552">
        <v>-100.889</v>
      </c>
      <c r="F4552">
        <v>36.0084</v>
      </c>
      <c r="G4552">
        <v>5542.29</v>
      </c>
      <c r="H4552" s="1">
        <v>35326</v>
      </c>
      <c r="I4552" s="1">
        <v>35328</v>
      </c>
      <c r="J4552" t="s">
        <v>15</v>
      </c>
      <c r="K4552">
        <v>0</v>
      </c>
      <c r="L4552">
        <v>0</v>
      </c>
      <c r="M4552" t="s">
        <v>316</v>
      </c>
      <c r="N4552">
        <v>1</v>
      </c>
    </row>
    <row r="4553" hidden="1" spans="1:14">
      <c r="A4553">
        <v>1123</v>
      </c>
      <c r="B4553">
        <v>0</v>
      </c>
      <c r="C4553" t="s">
        <v>128</v>
      </c>
      <c r="D4553">
        <v>0</v>
      </c>
      <c r="E4553">
        <v>-72.2832</v>
      </c>
      <c r="F4553">
        <v>42.3331</v>
      </c>
      <c r="G4553">
        <v>67013.98</v>
      </c>
      <c r="H4553" s="1">
        <v>35357</v>
      </c>
      <c r="I4553" s="1">
        <v>35361</v>
      </c>
      <c r="J4553" t="s">
        <v>15</v>
      </c>
      <c r="K4553">
        <v>5</v>
      </c>
      <c r="L4553">
        <v>700</v>
      </c>
      <c r="M4553" t="s">
        <v>49</v>
      </c>
      <c r="N4553">
        <v>2</v>
      </c>
    </row>
    <row r="4554" hidden="1" spans="1:14">
      <c r="A4554">
        <v>1140</v>
      </c>
      <c r="B4554">
        <v>0</v>
      </c>
      <c r="C4554" t="s">
        <v>128</v>
      </c>
      <c r="D4554">
        <v>0</v>
      </c>
      <c r="E4554">
        <v>-122.188</v>
      </c>
      <c r="F4554">
        <v>46.4439</v>
      </c>
      <c r="G4554">
        <v>272684.55</v>
      </c>
      <c r="H4554" s="1">
        <v>35425</v>
      </c>
      <c r="I4554" s="1">
        <v>35433</v>
      </c>
      <c r="J4554" t="s">
        <v>15</v>
      </c>
      <c r="K4554">
        <v>10</v>
      </c>
      <c r="L4554">
        <v>50</v>
      </c>
      <c r="M4554" t="s">
        <v>38</v>
      </c>
      <c r="N4554">
        <v>1</v>
      </c>
    </row>
    <row r="4555" hidden="1" spans="1:14">
      <c r="A4555">
        <v>1141</v>
      </c>
      <c r="B4555">
        <v>0</v>
      </c>
      <c r="C4555" t="s">
        <v>128</v>
      </c>
      <c r="D4555">
        <v>0</v>
      </c>
      <c r="E4555">
        <v>-120.663</v>
      </c>
      <c r="F4555">
        <v>37.544</v>
      </c>
      <c r="G4555">
        <v>156686.54</v>
      </c>
      <c r="H4555" s="1">
        <v>35431</v>
      </c>
      <c r="I4555" s="1">
        <v>35462</v>
      </c>
      <c r="J4555" t="s">
        <v>15</v>
      </c>
      <c r="K4555">
        <v>20</v>
      </c>
      <c r="L4555">
        <v>100000</v>
      </c>
      <c r="M4555" t="s">
        <v>16</v>
      </c>
      <c r="N4555">
        <v>2</v>
      </c>
    </row>
    <row r="4556" hidden="1" spans="1:14">
      <c r="A4556">
        <v>1146</v>
      </c>
      <c r="B4556">
        <v>0</v>
      </c>
      <c r="C4556" t="s">
        <v>128</v>
      </c>
      <c r="D4556">
        <v>0</v>
      </c>
      <c r="E4556">
        <v>-89.0638</v>
      </c>
      <c r="F4556">
        <v>41.8434</v>
      </c>
      <c r="G4556">
        <v>30332.64</v>
      </c>
      <c r="H4556" s="1">
        <v>35482</v>
      </c>
      <c r="I4556" s="1">
        <v>35486</v>
      </c>
      <c r="J4556" t="s">
        <v>15</v>
      </c>
      <c r="K4556">
        <v>0</v>
      </c>
      <c r="L4556">
        <v>700</v>
      </c>
      <c r="M4556" t="s">
        <v>38</v>
      </c>
      <c r="N4556">
        <v>1</v>
      </c>
    </row>
    <row r="4557" hidden="1" spans="1:14">
      <c r="A4557">
        <v>1149</v>
      </c>
      <c r="B4557">
        <v>0</v>
      </c>
      <c r="C4557" t="s">
        <v>128</v>
      </c>
      <c r="D4557">
        <v>0</v>
      </c>
      <c r="E4557">
        <v>-84.7835</v>
      </c>
      <c r="F4557">
        <v>37.9384</v>
      </c>
      <c r="G4557">
        <v>179911.2</v>
      </c>
      <c r="H4557" s="1">
        <v>35489</v>
      </c>
      <c r="I4557" s="1">
        <v>35504</v>
      </c>
      <c r="J4557" t="s">
        <v>15</v>
      </c>
      <c r="K4557">
        <v>50</v>
      </c>
      <c r="L4557">
        <v>0</v>
      </c>
      <c r="M4557" t="s">
        <v>16</v>
      </c>
      <c r="N4557">
        <v>2</v>
      </c>
    </row>
    <row r="4558" hidden="1" spans="1:14">
      <c r="A4558">
        <v>1151</v>
      </c>
      <c r="B4558">
        <v>0</v>
      </c>
      <c r="C4558" t="s">
        <v>128</v>
      </c>
      <c r="D4558">
        <v>0</v>
      </c>
      <c r="E4558">
        <v>-122.426</v>
      </c>
      <c r="F4558">
        <v>47.0502</v>
      </c>
      <c r="G4558">
        <v>65906.03</v>
      </c>
      <c r="H4558" s="1">
        <v>35504</v>
      </c>
      <c r="I4558" s="1">
        <v>35508</v>
      </c>
      <c r="J4558" t="s">
        <v>15</v>
      </c>
      <c r="K4558">
        <v>4</v>
      </c>
      <c r="L4558">
        <v>600</v>
      </c>
      <c r="M4558" t="s">
        <v>16</v>
      </c>
      <c r="N4558">
        <v>1</v>
      </c>
    </row>
    <row r="4559" hidden="1" spans="1:14">
      <c r="A4559">
        <v>1153</v>
      </c>
      <c r="B4559">
        <v>0</v>
      </c>
      <c r="C4559" t="s">
        <v>128</v>
      </c>
      <c r="D4559">
        <v>0</v>
      </c>
      <c r="E4559">
        <v>-95.3809</v>
      </c>
      <c r="F4559">
        <v>45.9476</v>
      </c>
      <c r="G4559">
        <v>282467.25</v>
      </c>
      <c r="H4559" s="1">
        <v>35511</v>
      </c>
      <c r="I4559" s="1">
        <v>35545</v>
      </c>
      <c r="J4559" t="s">
        <v>15</v>
      </c>
      <c r="K4559">
        <v>0</v>
      </c>
      <c r="L4559">
        <v>50000</v>
      </c>
      <c r="M4559" t="s">
        <v>16</v>
      </c>
      <c r="N4559">
        <v>2</v>
      </c>
    </row>
    <row r="4560" hidden="1" spans="1:14">
      <c r="A4560">
        <v>1166</v>
      </c>
      <c r="B4560">
        <v>0</v>
      </c>
      <c r="C4560" t="s">
        <v>128</v>
      </c>
      <c r="D4560">
        <v>0</v>
      </c>
      <c r="E4560">
        <v>-104.97</v>
      </c>
      <c r="F4560">
        <v>40.3845</v>
      </c>
      <c r="G4560">
        <v>15184.9</v>
      </c>
      <c r="H4560" s="1">
        <v>35636</v>
      </c>
      <c r="I4560" s="1">
        <v>35643</v>
      </c>
      <c r="J4560" t="s">
        <v>15</v>
      </c>
      <c r="K4560">
        <v>5</v>
      </c>
      <c r="L4560">
        <v>400</v>
      </c>
      <c r="M4560" t="s">
        <v>16</v>
      </c>
      <c r="N4560">
        <v>1</v>
      </c>
    </row>
    <row r="4561" hidden="1" spans="1:14">
      <c r="A4561">
        <v>1170</v>
      </c>
      <c r="B4561">
        <v>0</v>
      </c>
      <c r="C4561" t="s">
        <v>128</v>
      </c>
      <c r="D4561">
        <v>0</v>
      </c>
      <c r="E4561">
        <v>-112.602</v>
      </c>
      <c r="F4561">
        <v>35.7791</v>
      </c>
      <c r="G4561">
        <v>7779.06</v>
      </c>
      <c r="H4561" s="1">
        <v>35652</v>
      </c>
      <c r="I4561" s="1">
        <v>35654</v>
      </c>
      <c r="J4561" t="s">
        <v>15</v>
      </c>
      <c r="K4561">
        <v>11</v>
      </c>
      <c r="L4561">
        <v>350</v>
      </c>
      <c r="M4561" t="s">
        <v>16</v>
      </c>
      <c r="N4561">
        <v>1</v>
      </c>
    </row>
    <row r="4562" hidden="1" spans="1:14">
      <c r="A4562">
        <v>1210</v>
      </c>
      <c r="B4562">
        <v>0</v>
      </c>
      <c r="C4562" t="s">
        <v>128</v>
      </c>
      <c r="D4562">
        <v>0</v>
      </c>
      <c r="E4562">
        <v>-120.005</v>
      </c>
      <c r="F4562">
        <v>41.2971</v>
      </c>
      <c r="G4562">
        <v>717982.08</v>
      </c>
      <c r="H4562" s="1">
        <v>35425</v>
      </c>
      <c r="I4562" s="1">
        <v>35433</v>
      </c>
      <c r="J4562" t="s">
        <v>15</v>
      </c>
      <c r="K4562">
        <v>23</v>
      </c>
      <c r="L4562">
        <v>110000</v>
      </c>
      <c r="M4562" t="s">
        <v>16</v>
      </c>
      <c r="N4562">
        <v>1</v>
      </c>
    </row>
    <row r="4563" hidden="1" spans="1:14">
      <c r="A4563">
        <v>1237</v>
      </c>
      <c r="B4563">
        <v>0</v>
      </c>
      <c r="C4563" t="s">
        <v>128</v>
      </c>
      <c r="D4563">
        <v>0</v>
      </c>
      <c r="E4563">
        <v>-97.4788</v>
      </c>
      <c r="F4563">
        <v>29.5364</v>
      </c>
      <c r="G4563">
        <v>155894</v>
      </c>
      <c r="H4563" s="1">
        <v>35600</v>
      </c>
      <c r="I4563" s="1">
        <v>35604</v>
      </c>
      <c r="J4563" t="s">
        <v>15</v>
      </c>
      <c r="K4563">
        <v>3</v>
      </c>
      <c r="L4563">
        <v>350</v>
      </c>
      <c r="M4563" t="s">
        <v>16</v>
      </c>
      <c r="N4563">
        <v>1</v>
      </c>
    </row>
    <row r="4564" hidden="1" spans="1:14">
      <c r="A4564">
        <v>1264</v>
      </c>
      <c r="B4564">
        <v>0</v>
      </c>
      <c r="C4564" t="s">
        <v>128</v>
      </c>
      <c r="D4564">
        <v>0</v>
      </c>
      <c r="E4564">
        <v>-83.6856</v>
      </c>
      <c r="F4564">
        <v>42.8444</v>
      </c>
      <c r="G4564">
        <v>16278.89</v>
      </c>
      <c r="H4564" s="1">
        <v>35611</v>
      </c>
      <c r="I4564" s="1">
        <v>35614</v>
      </c>
      <c r="J4564" t="s">
        <v>15</v>
      </c>
      <c r="K4564">
        <v>16</v>
      </c>
      <c r="L4564">
        <v>0</v>
      </c>
      <c r="M4564" t="s">
        <v>16</v>
      </c>
      <c r="N4564">
        <v>1</v>
      </c>
    </row>
    <row r="4565" hidden="1" spans="1:14">
      <c r="A4565">
        <v>1292</v>
      </c>
      <c r="B4565">
        <v>0</v>
      </c>
      <c r="C4565" t="s">
        <v>128</v>
      </c>
      <c r="D4565">
        <v>0</v>
      </c>
      <c r="E4565">
        <v>-96.9889</v>
      </c>
      <c r="F4565">
        <v>31.4835</v>
      </c>
      <c r="G4565">
        <v>54842.44</v>
      </c>
      <c r="H4565" s="1">
        <v>35782</v>
      </c>
      <c r="I4565" s="1">
        <v>35786</v>
      </c>
      <c r="J4565" t="s">
        <v>15</v>
      </c>
      <c r="K4565">
        <v>4</v>
      </c>
      <c r="L4565">
        <v>0</v>
      </c>
      <c r="M4565" t="s">
        <v>16</v>
      </c>
      <c r="N4565">
        <v>1</v>
      </c>
    </row>
    <row r="4566" hidden="1" spans="1:14">
      <c r="A4566">
        <v>1301</v>
      </c>
      <c r="B4566">
        <v>0</v>
      </c>
      <c r="C4566" t="s">
        <v>128</v>
      </c>
      <c r="D4566">
        <v>0</v>
      </c>
      <c r="E4566">
        <v>-80.5265</v>
      </c>
      <c r="F4566">
        <v>33.3837</v>
      </c>
      <c r="G4566">
        <v>265450.29</v>
      </c>
      <c r="H4566" s="1">
        <v>35829</v>
      </c>
      <c r="I4566" s="1">
        <v>35850</v>
      </c>
      <c r="J4566" t="s">
        <v>15</v>
      </c>
      <c r="K4566">
        <v>42</v>
      </c>
      <c r="L4566">
        <v>0</v>
      </c>
      <c r="M4566" t="s">
        <v>86</v>
      </c>
      <c r="N4566">
        <v>1</v>
      </c>
    </row>
    <row r="4567" hidden="1" spans="1:14">
      <c r="A4567">
        <v>1302</v>
      </c>
      <c r="B4567">
        <v>0</v>
      </c>
      <c r="C4567" t="s">
        <v>128</v>
      </c>
      <c r="D4567" t="s">
        <v>158</v>
      </c>
      <c r="E4567">
        <v>-119.707</v>
      </c>
      <c r="F4567">
        <v>35.1755</v>
      </c>
      <c r="G4567">
        <v>63270.72</v>
      </c>
      <c r="H4567" s="1">
        <v>35829</v>
      </c>
      <c r="I4567" s="1">
        <v>35847</v>
      </c>
      <c r="J4567" t="s">
        <v>15</v>
      </c>
      <c r="K4567">
        <v>13</v>
      </c>
      <c r="L4567">
        <v>3500</v>
      </c>
      <c r="M4567" t="s">
        <v>86</v>
      </c>
      <c r="N4567">
        <v>2</v>
      </c>
    </row>
    <row r="4568" hidden="1" spans="1:14">
      <c r="A4568">
        <v>1311</v>
      </c>
      <c r="B4568">
        <v>0</v>
      </c>
      <c r="C4568" t="s">
        <v>128</v>
      </c>
      <c r="D4568">
        <v>0</v>
      </c>
      <c r="E4568">
        <v>-86.3593</v>
      </c>
      <c r="F4568">
        <v>32.6867</v>
      </c>
      <c r="G4568">
        <v>185209.85</v>
      </c>
      <c r="H4568" s="1">
        <v>35861</v>
      </c>
      <c r="I4568" s="1">
        <v>35867</v>
      </c>
      <c r="J4568" t="s">
        <v>15</v>
      </c>
      <c r="K4568">
        <v>11</v>
      </c>
      <c r="L4568">
        <v>18000</v>
      </c>
      <c r="M4568" t="s">
        <v>16</v>
      </c>
      <c r="N4568">
        <v>2</v>
      </c>
    </row>
    <row r="4569" hidden="1" spans="1:14">
      <c r="A4569">
        <v>1324</v>
      </c>
      <c r="B4569">
        <v>0</v>
      </c>
      <c r="C4569" t="s">
        <v>128</v>
      </c>
      <c r="D4569">
        <v>0</v>
      </c>
      <c r="E4569">
        <v>-82.2758</v>
      </c>
      <c r="F4569">
        <v>28.5031</v>
      </c>
      <c r="G4569">
        <v>19146.28</v>
      </c>
      <c r="H4569" s="1">
        <v>35874</v>
      </c>
      <c r="I4569" s="1">
        <v>35878</v>
      </c>
      <c r="J4569" t="s">
        <v>15</v>
      </c>
      <c r="K4569">
        <v>0</v>
      </c>
      <c r="L4569">
        <v>560</v>
      </c>
      <c r="M4569" t="s">
        <v>16</v>
      </c>
      <c r="N4569">
        <v>2</v>
      </c>
    </row>
    <row r="4570" hidden="1" spans="1:14">
      <c r="A4570">
        <v>1325</v>
      </c>
      <c r="B4570">
        <v>0</v>
      </c>
      <c r="C4570" t="s">
        <v>128</v>
      </c>
      <c r="D4570">
        <v>0</v>
      </c>
      <c r="E4570">
        <v>-82.0641</v>
      </c>
      <c r="F4570">
        <v>32.3567</v>
      </c>
      <c r="G4570">
        <v>39686.6</v>
      </c>
      <c r="H4570" s="1">
        <v>35875</v>
      </c>
      <c r="I4570" s="1">
        <v>35877</v>
      </c>
      <c r="J4570" t="s">
        <v>15</v>
      </c>
      <c r="K4570">
        <v>0</v>
      </c>
      <c r="L4570">
        <v>80</v>
      </c>
      <c r="M4570" t="s">
        <v>16</v>
      </c>
      <c r="N4570">
        <v>1</v>
      </c>
    </row>
    <row r="4571" hidden="1" spans="1:14">
      <c r="A4571">
        <v>1329</v>
      </c>
      <c r="B4571">
        <v>0</v>
      </c>
      <c r="C4571" t="s">
        <v>128</v>
      </c>
      <c r="D4571">
        <v>0</v>
      </c>
      <c r="E4571">
        <v>-71.0969</v>
      </c>
      <c r="F4571">
        <v>44.1028</v>
      </c>
      <c r="G4571">
        <v>46556.73</v>
      </c>
      <c r="H4571" s="1">
        <v>35885</v>
      </c>
      <c r="I4571" s="1">
        <v>35892</v>
      </c>
      <c r="J4571" t="s">
        <v>15</v>
      </c>
      <c r="K4571">
        <v>0</v>
      </c>
      <c r="L4571">
        <v>0</v>
      </c>
      <c r="M4571" t="s">
        <v>39</v>
      </c>
      <c r="N4571">
        <v>2</v>
      </c>
    </row>
    <row r="4572" hidden="1" spans="1:14">
      <c r="A4572">
        <v>1335</v>
      </c>
      <c r="B4572">
        <v>0</v>
      </c>
      <c r="C4572" t="s">
        <v>128</v>
      </c>
      <c r="D4572">
        <v>0</v>
      </c>
      <c r="E4572">
        <v>-84.3936</v>
      </c>
      <c r="F4572">
        <v>39.593</v>
      </c>
      <c r="G4572">
        <v>70592.46</v>
      </c>
      <c r="H4572" s="1">
        <v>35900</v>
      </c>
      <c r="I4572" s="1">
        <v>35902</v>
      </c>
      <c r="J4572" t="s">
        <v>15</v>
      </c>
      <c r="K4572">
        <v>0</v>
      </c>
      <c r="L4572">
        <v>0</v>
      </c>
      <c r="M4572" t="s">
        <v>18</v>
      </c>
      <c r="N4572">
        <v>1</v>
      </c>
    </row>
    <row r="4573" hidden="1" spans="1:14">
      <c r="A4573">
        <v>1340</v>
      </c>
      <c r="B4573">
        <v>0</v>
      </c>
      <c r="C4573" t="s">
        <v>128</v>
      </c>
      <c r="D4573">
        <v>0</v>
      </c>
      <c r="E4573">
        <v>-81.7676</v>
      </c>
      <c r="F4573">
        <v>35.5681</v>
      </c>
      <c r="G4573">
        <v>79602.78</v>
      </c>
      <c r="H4573" s="1">
        <v>35902</v>
      </c>
      <c r="I4573" s="1">
        <v>35906</v>
      </c>
      <c r="J4573" t="s">
        <v>15</v>
      </c>
      <c r="K4573">
        <v>2</v>
      </c>
      <c r="L4573">
        <v>1200</v>
      </c>
      <c r="M4573" t="s">
        <v>16</v>
      </c>
      <c r="N4573">
        <v>1</v>
      </c>
    </row>
    <row r="4574" hidden="1" spans="1:14">
      <c r="A4574">
        <v>1348</v>
      </c>
      <c r="B4574">
        <v>0</v>
      </c>
      <c r="C4574" t="s">
        <v>128</v>
      </c>
      <c r="D4574">
        <v>0</v>
      </c>
      <c r="E4574">
        <v>-95.4484</v>
      </c>
      <c r="F4574">
        <v>35.354</v>
      </c>
      <c r="G4574">
        <v>287302.14</v>
      </c>
      <c r="H4574" s="1">
        <v>35911</v>
      </c>
      <c r="I4574" s="1">
        <v>35913</v>
      </c>
      <c r="J4574" t="s">
        <v>15</v>
      </c>
      <c r="K4574">
        <v>4</v>
      </c>
      <c r="L4574">
        <v>0</v>
      </c>
      <c r="M4574" t="s">
        <v>16</v>
      </c>
      <c r="N4574">
        <v>1</v>
      </c>
    </row>
    <row r="4575" hidden="1" spans="1:14">
      <c r="A4575">
        <v>1355</v>
      </c>
      <c r="B4575">
        <v>0</v>
      </c>
      <c r="C4575" t="s">
        <v>128</v>
      </c>
      <c r="D4575">
        <v>0</v>
      </c>
      <c r="E4575">
        <v>-73.127</v>
      </c>
      <c r="F4575">
        <v>42.2478</v>
      </c>
      <c r="G4575">
        <v>1697.01</v>
      </c>
      <c r="H4575" s="1">
        <v>35923</v>
      </c>
      <c r="I4575" s="1">
        <v>35925</v>
      </c>
      <c r="J4575" t="s">
        <v>15</v>
      </c>
      <c r="K4575">
        <v>0</v>
      </c>
      <c r="L4575">
        <v>0</v>
      </c>
      <c r="M4575" t="s">
        <v>16</v>
      </c>
      <c r="N4575">
        <v>2</v>
      </c>
    </row>
    <row r="4576" hidden="1" spans="1:14">
      <c r="A4576">
        <v>1356</v>
      </c>
      <c r="B4576">
        <v>0</v>
      </c>
      <c r="C4576" t="s">
        <v>128</v>
      </c>
      <c r="D4576">
        <v>0</v>
      </c>
      <c r="E4576">
        <v>-75.1601</v>
      </c>
      <c r="F4576">
        <v>40.0212</v>
      </c>
      <c r="G4576">
        <v>15355.36</v>
      </c>
      <c r="H4576" s="1">
        <v>35926</v>
      </c>
      <c r="I4576" s="1">
        <v>35928</v>
      </c>
      <c r="J4576" t="s">
        <v>15</v>
      </c>
      <c r="K4576">
        <v>0</v>
      </c>
      <c r="L4576">
        <v>124</v>
      </c>
      <c r="M4576" t="s">
        <v>16</v>
      </c>
      <c r="N4576">
        <v>1</v>
      </c>
    </row>
    <row r="4577" hidden="1" spans="1:14">
      <c r="A4577">
        <v>1385</v>
      </c>
      <c r="B4577">
        <v>0</v>
      </c>
      <c r="C4577" t="s">
        <v>128</v>
      </c>
      <c r="D4577">
        <v>0</v>
      </c>
      <c r="E4577">
        <v>-70.6583</v>
      </c>
      <c r="F4577">
        <v>44.0151</v>
      </c>
      <c r="G4577">
        <v>19951.35</v>
      </c>
      <c r="H4577" s="1">
        <v>35959</v>
      </c>
      <c r="I4577" s="1">
        <v>35965</v>
      </c>
      <c r="J4577" t="s">
        <v>15</v>
      </c>
      <c r="K4577">
        <v>1</v>
      </c>
      <c r="L4577">
        <v>0</v>
      </c>
      <c r="M4577" t="s">
        <v>16</v>
      </c>
      <c r="N4577">
        <v>2</v>
      </c>
    </row>
    <row r="4578" hidden="1" spans="1:14">
      <c r="A4578">
        <v>1401</v>
      </c>
      <c r="B4578">
        <v>0</v>
      </c>
      <c r="C4578" t="s">
        <v>128</v>
      </c>
      <c r="D4578">
        <v>0</v>
      </c>
      <c r="E4578">
        <v>-93.0881</v>
      </c>
      <c r="F4578">
        <v>39.7927</v>
      </c>
      <c r="G4578">
        <v>73860.39</v>
      </c>
      <c r="H4578" s="1">
        <v>35959</v>
      </c>
      <c r="I4578" s="1">
        <v>35963</v>
      </c>
      <c r="J4578" t="s">
        <v>15</v>
      </c>
      <c r="K4578">
        <v>0</v>
      </c>
      <c r="L4578">
        <v>1000</v>
      </c>
      <c r="M4578" t="s">
        <v>16</v>
      </c>
      <c r="N4578">
        <v>2</v>
      </c>
    </row>
    <row r="4579" hidden="1" spans="1:14">
      <c r="A4579">
        <v>1402</v>
      </c>
      <c r="B4579">
        <v>0</v>
      </c>
      <c r="C4579" t="s">
        <v>128</v>
      </c>
      <c r="D4579">
        <v>0</v>
      </c>
      <c r="E4579">
        <v>-120.452</v>
      </c>
      <c r="F4579">
        <v>37.384</v>
      </c>
      <c r="G4579">
        <v>4080.72</v>
      </c>
      <c r="H4579" s="1">
        <v>35960</v>
      </c>
      <c r="I4579" s="1">
        <v>35961</v>
      </c>
      <c r="J4579" t="s">
        <v>15</v>
      </c>
      <c r="K4579">
        <v>0</v>
      </c>
      <c r="L4579">
        <v>0</v>
      </c>
      <c r="M4579" t="s">
        <v>39</v>
      </c>
      <c r="N4579">
        <v>1</v>
      </c>
    </row>
    <row r="4580" hidden="1" spans="1:14">
      <c r="A4580">
        <v>1409</v>
      </c>
      <c r="B4580">
        <v>0</v>
      </c>
      <c r="C4580" t="s">
        <v>128</v>
      </c>
      <c r="D4580">
        <v>0</v>
      </c>
      <c r="E4580">
        <v>-71.8819</v>
      </c>
      <c r="F4580">
        <v>44.1768</v>
      </c>
      <c r="G4580">
        <v>18116.79</v>
      </c>
      <c r="H4580" s="1">
        <v>35970</v>
      </c>
      <c r="I4580" s="1">
        <v>35977</v>
      </c>
      <c r="J4580" t="s">
        <v>15</v>
      </c>
      <c r="K4580">
        <v>21</v>
      </c>
      <c r="L4580">
        <v>11000</v>
      </c>
      <c r="M4580" t="s">
        <v>18</v>
      </c>
      <c r="N4580">
        <v>2</v>
      </c>
    </row>
    <row r="4581" hidden="1" spans="1:14">
      <c r="A4581">
        <v>1373</v>
      </c>
      <c r="B4581">
        <v>0</v>
      </c>
      <c r="C4581" t="s">
        <v>128</v>
      </c>
      <c r="D4581">
        <v>0</v>
      </c>
      <c r="E4581">
        <v>-120.297</v>
      </c>
      <c r="F4581">
        <v>44.5387</v>
      </c>
      <c r="G4581">
        <v>26249.5</v>
      </c>
      <c r="H4581" s="1">
        <v>35943</v>
      </c>
      <c r="I4581" s="1">
        <v>35949</v>
      </c>
      <c r="J4581" t="s">
        <v>15</v>
      </c>
      <c r="K4581">
        <v>0</v>
      </c>
      <c r="L4581">
        <v>1600</v>
      </c>
      <c r="M4581" t="s">
        <v>16</v>
      </c>
      <c r="N4581">
        <v>1</v>
      </c>
    </row>
    <row r="4582" hidden="1" spans="1:14">
      <c r="A4582">
        <v>1425</v>
      </c>
      <c r="B4582">
        <v>0</v>
      </c>
      <c r="C4582" t="s">
        <v>128</v>
      </c>
      <c r="D4582">
        <v>0</v>
      </c>
      <c r="E4582">
        <v>-88.0318</v>
      </c>
      <c r="F4582">
        <v>42.211</v>
      </c>
      <c r="G4582">
        <v>54155.77</v>
      </c>
      <c r="H4582" s="1">
        <v>36011</v>
      </c>
      <c r="I4582" s="1">
        <v>36013</v>
      </c>
      <c r="J4582" t="s">
        <v>15</v>
      </c>
      <c r="K4582">
        <v>2</v>
      </c>
      <c r="L4582">
        <v>600</v>
      </c>
      <c r="M4582" t="s">
        <v>18</v>
      </c>
      <c r="N4582">
        <v>2</v>
      </c>
    </row>
    <row r="4583" hidden="1" spans="1:14">
      <c r="A4583">
        <v>1432</v>
      </c>
      <c r="B4583">
        <v>0</v>
      </c>
      <c r="C4583" t="s">
        <v>128</v>
      </c>
      <c r="D4583" t="s">
        <v>158</v>
      </c>
      <c r="E4583">
        <v>-98.3212</v>
      </c>
      <c r="F4583">
        <v>26.56</v>
      </c>
      <c r="G4583">
        <v>90194.84</v>
      </c>
      <c r="H4583" s="1">
        <v>36029</v>
      </c>
      <c r="I4583" s="1">
        <v>36034</v>
      </c>
      <c r="J4583" t="s">
        <v>15</v>
      </c>
      <c r="K4583">
        <v>17</v>
      </c>
      <c r="L4583">
        <v>1750</v>
      </c>
      <c r="M4583" t="s">
        <v>86</v>
      </c>
      <c r="N4583">
        <v>2</v>
      </c>
    </row>
    <row r="4584" hidden="1" spans="1:14">
      <c r="A4584">
        <v>1433</v>
      </c>
      <c r="B4584">
        <v>0</v>
      </c>
      <c r="C4584" t="s">
        <v>128</v>
      </c>
      <c r="D4584">
        <v>0</v>
      </c>
      <c r="E4584">
        <v>-77.4251</v>
      </c>
      <c r="F4584">
        <v>35.0976</v>
      </c>
      <c r="G4584">
        <v>42372.92</v>
      </c>
      <c r="H4584" s="1">
        <v>36034</v>
      </c>
      <c r="I4584" s="1">
        <v>36036</v>
      </c>
      <c r="J4584" t="s">
        <v>15</v>
      </c>
      <c r="K4584">
        <v>2</v>
      </c>
      <c r="L4584">
        <v>17000</v>
      </c>
      <c r="M4584" t="s">
        <v>86</v>
      </c>
      <c r="N4584">
        <v>1</v>
      </c>
    </row>
    <row r="4585" hidden="1" spans="1:14">
      <c r="A4585">
        <v>1437</v>
      </c>
      <c r="B4585">
        <v>0</v>
      </c>
      <c r="C4585" t="s">
        <v>128</v>
      </c>
      <c r="D4585">
        <v>0</v>
      </c>
      <c r="E4585">
        <v>-84.6151</v>
      </c>
      <c r="F4585">
        <v>30.511</v>
      </c>
      <c r="G4585">
        <v>29738.8</v>
      </c>
      <c r="H4585" s="1">
        <v>36041</v>
      </c>
      <c r="I4585" s="1">
        <v>36041</v>
      </c>
      <c r="J4585" t="s">
        <v>15</v>
      </c>
      <c r="K4585">
        <v>3</v>
      </c>
      <c r="L4585">
        <v>65</v>
      </c>
      <c r="M4585" t="s">
        <v>18</v>
      </c>
      <c r="N4585">
        <v>1</v>
      </c>
    </row>
    <row r="4586" hidden="1" spans="1:14">
      <c r="A4586">
        <v>1441</v>
      </c>
      <c r="B4586">
        <v>0</v>
      </c>
      <c r="C4586" t="s">
        <v>128</v>
      </c>
      <c r="D4586">
        <v>0</v>
      </c>
      <c r="E4586">
        <v>-92.5707</v>
      </c>
      <c r="F4586">
        <v>29.6764</v>
      </c>
      <c r="G4586">
        <v>60557.25</v>
      </c>
      <c r="H4586" s="1">
        <v>36049</v>
      </c>
      <c r="I4586" s="1">
        <v>36052</v>
      </c>
      <c r="J4586" t="s">
        <v>15</v>
      </c>
      <c r="K4586">
        <v>1</v>
      </c>
      <c r="L4586">
        <v>17</v>
      </c>
      <c r="M4586" t="s">
        <v>86</v>
      </c>
      <c r="N4586">
        <v>1</v>
      </c>
    </row>
    <row r="4587" hidden="1" spans="1:14">
      <c r="A4587">
        <v>1447</v>
      </c>
      <c r="B4587">
        <v>0</v>
      </c>
      <c r="C4587" t="s">
        <v>128</v>
      </c>
      <c r="D4587">
        <v>0</v>
      </c>
      <c r="E4587">
        <v>-87.05</v>
      </c>
      <c r="F4587">
        <v>30.6642</v>
      </c>
      <c r="G4587">
        <v>214764.31</v>
      </c>
      <c r="H4587" s="1">
        <v>36053</v>
      </c>
      <c r="I4587" s="1">
        <v>36054</v>
      </c>
      <c r="J4587" t="s">
        <v>15</v>
      </c>
      <c r="K4587">
        <v>4</v>
      </c>
      <c r="L4587">
        <v>0</v>
      </c>
      <c r="M4587" t="s">
        <v>86</v>
      </c>
      <c r="N4587">
        <v>1</v>
      </c>
    </row>
    <row r="4588" hidden="1" spans="1:14">
      <c r="A4588">
        <v>1448</v>
      </c>
      <c r="B4588">
        <v>0</v>
      </c>
      <c r="C4588" t="s">
        <v>128</v>
      </c>
      <c r="D4588">
        <v>0</v>
      </c>
      <c r="E4588">
        <v>-94.1557</v>
      </c>
      <c r="F4588">
        <v>38.9567</v>
      </c>
      <c r="G4588">
        <v>6064.27</v>
      </c>
      <c r="H4588" s="1">
        <v>36074</v>
      </c>
      <c r="I4588" s="1">
        <v>36075</v>
      </c>
      <c r="J4588" t="s">
        <v>15</v>
      </c>
      <c r="K4588">
        <v>11</v>
      </c>
      <c r="L4588">
        <v>0</v>
      </c>
      <c r="M4588" t="s">
        <v>16</v>
      </c>
      <c r="N4588">
        <v>1</v>
      </c>
    </row>
    <row r="4589" hidden="1" spans="1:14">
      <c r="A4589">
        <v>1459</v>
      </c>
      <c r="B4589">
        <v>0</v>
      </c>
      <c r="C4589" t="s">
        <v>128</v>
      </c>
      <c r="D4589">
        <v>0</v>
      </c>
      <c r="E4589">
        <v>-98.3901</v>
      </c>
      <c r="F4589">
        <v>29.4084</v>
      </c>
      <c r="G4589">
        <v>20712.8</v>
      </c>
      <c r="H4589" s="1">
        <v>36085</v>
      </c>
      <c r="I4589" s="1">
        <v>36091</v>
      </c>
      <c r="J4589" t="s">
        <v>15</v>
      </c>
      <c r="K4589">
        <v>29</v>
      </c>
      <c r="L4589">
        <v>5300</v>
      </c>
      <c r="M4589" t="s">
        <v>16</v>
      </c>
      <c r="N4589">
        <v>2</v>
      </c>
    </row>
    <row r="4590" hidden="1" spans="1:14">
      <c r="A4590">
        <v>1465</v>
      </c>
      <c r="B4590">
        <v>0</v>
      </c>
      <c r="C4590" t="s">
        <v>128</v>
      </c>
      <c r="D4590">
        <v>0</v>
      </c>
      <c r="E4590">
        <v>-95.4115</v>
      </c>
      <c r="F4590">
        <v>36.7439</v>
      </c>
      <c r="G4590">
        <v>50302.57</v>
      </c>
      <c r="H4590" s="1">
        <v>36098</v>
      </c>
      <c r="I4590" s="1">
        <v>36099</v>
      </c>
      <c r="J4590" t="s">
        <v>15</v>
      </c>
      <c r="K4590">
        <v>1</v>
      </c>
      <c r="L4590">
        <v>2000</v>
      </c>
      <c r="M4590" t="s">
        <v>16</v>
      </c>
      <c r="N4590">
        <v>1</v>
      </c>
    </row>
    <row r="4591" hidden="1" spans="1:14">
      <c r="A4591">
        <v>1470</v>
      </c>
      <c r="B4591">
        <v>0</v>
      </c>
      <c r="C4591" t="s">
        <v>128</v>
      </c>
      <c r="D4591">
        <v>0</v>
      </c>
      <c r="E4591">
        <v>-95.4957</v>
      </c>
      <c r="F4591">
        <v>30.8786</v>
      </c>
      <c r="G4591">
        <v>15178.46</v>
      </c>
      <c r="H4591" s="1">
        <v>36112</v>
      </c>
      <c r="I4591" s="1">
        <v>36114</v>
      </c>
      <c r="J4591" t="s">
        <v>15</v>
      </c>
      <c r="K4591">
        <v>0</v>
      </c>
      <c r="L4591">
        <v>100</v>
      </c>
      <c r="M4591" t="s">
        <v>16</v>
      </c>
      <c r="N4591">
        <v>1</v>
      </c>
    </row>
    <row r="4592" hidden="1" spans="1:14">
      <c r="A4592">
        <v>1479</v>
      </c>
      <c r="B4592">
        <v>0</v>
      </c>
      <c r="C4592" t="s">
        <v>128</v>
      </c>
      <c r="D4592">
        <v>0</v>
      </c>
      <c r="E4592">
        <v>-121.499</v>
      </c>
      <c r="F4592">
        <v>45.7332</v>
      </c>
      <c r="G4592">
        <v>105292.02</v>
      </c>
      <c r="H4592" s="1">
        <v>36156</v>
      </c>
      <c r="I4592" s="1">
        <v>36159</v>
      </c>
      <c r="J4592" t="s">
        <v>15</v>
      </c>
      <c r="K4592">
        <v>0</v>
      </c>
      <c r="L4592">
        <v>70</v>
      </c>
      <c r="M4592" t="s">
        <v>16</v>
      </c>
      <c r="N4592">
        <v>1</v>
      </c>
    </row>
    <row r="4593" hidden="1" spans="1:14">
      <c r="A4593">
        <v>1485</v>
      </c>
      <c r="B4593">
        <v>0</v>
      </c>
      <c r="C4593" t="s">
        <v>128</v>
      </c>
      <c r="E4593">
        <v>-86.4337</v>
      </c>
      <c r="F4593">
        <v>39.2186</v>
      </c>
      <c r="G4593">
        <v>18264.99</v>
      </c>
      <c r="H4593" s="1">
        <v>36164</v>
      </c>
      <c r="I4593" s="1">
        <v>36170</v>
      </c>
      <c r="J4593" t="s">
        <v>15</v>
      </c>
      <c r="K4593">
        <v>0</v>
      </c>
      <c r="L4593">
        <v>0</v>
      </c>
      <c r="M4593">
        <v>0</v>
      </c>
      <c r="N4593">
        <v>1</v>
      </c>
    </row>
    <row r="4594" hidden="1" spans="1:14">
      <c r="A4594">
        <v>1486</v>
      </c>
      <c r="B4594">
        <v>0</v>
      </c>
      <c r="C4594" t="s">
        <v>128</v>
      </c>
      <c r="E4594">
        <v>-82.9781</v>
      </c>
      <c r="F4594">
        <v>40.092</v>
      </c>
      <c r="G4594">
        <v>21898.24</v>
      </c>
      <c r="H4594" s="1">
        <v>36164</v>
      </c>
      <c r="I4594" s="1">
        <v>36170</v>
      </c>
      <c r="J4594" t="s">
        <v>15</v>
      </c>
      <c r="K4594">
        <v>0</v>
      </c>
      <c r="L4594">
        <v>0</v>
      </c>
      <c r="M4594">
        <v>0</v>
      </c>
      <c r="N4594">
        <v>1</v>
      </c>
    </row>
    <row r="4595" hidden="1" spans="1:14">
      <c r="A4595">
        <v>1487</v>
      </c>
      <c r="B4595">
        <v>0</v>
      </c>
      <c r="C4595" t="s">
        <v>128</v>
      </c>
      <c r="D4595">
        <v>0</v>
      </c>
      <c r="E4595">
        <v>-94.7091</v>
      </c>
      <c r="F4595">
        <v>32.2778</v>
      </c>
      <c r="G4595">
        <v>56744.18</v>
      </c>
      <c r="H4595" s="1">
        <v>36192</v>
      </c>
      <c r="I4595" s="1">
        <v>36196</v>
      </c>
      <c r="J4595" t="s">
        <v>15</v>
      </c>
      <c r="K4595">
        <v>0</v>
      </c>
      <c r="L4595">
        <v>0</v>
      </c>
      <c r="M4595" t="s">
        <v>16</v>
      </c>
      <c r="N4595">
        <v>1</v>
      </c>
    </row>
    <row r="4596" hidden="1" spans="1:14">
      <c r="A4596">
        <v>1501</v>
      </c>
      <c r="B4596">
        <v>0</v>
      </c>
      <c r="C4596" t="s">
        <v>128</v>
      </c>
      <c r="D4596">
        <v>0</v>
      </c>
      <c r="E4596">
        <v>-97.211</v>
      </c>
      <c r="F4596">
        <v>48.7569</v>
      </c>
      <c r="G4596">
        <v>9610.7</v>
      </c>
      <c r="H4596" s="1">
        <v>36251</v>
      </c>
      <c r="I4596" s="1">
        <v>36264</v>
      </c>
      <c r="J4596" t="s">
        <v>15</v>
      </c>
      <c r="K4596">
        <v>0</v>
      </c>
      <c r="L4596">
        <v>0</v>
      </c>
      <c r="M4596" t="s">
        <v>39</v>
      </c>
      <c r="N4596">
        <v>1</v>
      </c>
    </row>
    <row r="4597" hidden="1" spans="1:14">
      <c r="A4597">
        <v>1506</v>
      </c>
      <c r="B4597">
        <v>0</v>
      </c>
      <c r="C4597" t="s">
        <v>128</v>
      </c>
      <c r="D4597">
        <v>0</v>
      </c>
      <c r="E4597">
        <v>-106.211</v>
      </c>
      <c r="F4597">
        <v>40.5341</v>
      </c>
      <c r="G4597">
        <v>58491.35</v>
      </c>
      <c r="H4597" s="1">
        <v>36279</v>
      </c>
      <c r="I4597" s="1">
        <v>36286</v>
      </c>
      <c r="J4597" t="s">
        <v>15</v>
      </c>
      <c r="K4597">
        <v>0</v>
      </c>
      <c r="L4597">
        <v>450</v>
      </c>
      <c r="M4597" t="s">
        <v>16</v>
      </c>
      <c r="N4597">
        <v>2</v>
      </c>
    </row>
    <row r="4598" hidden="1" spans="1:14">
      <c r="A4598">
        <v>1520</v>
      </c>
      <c r="B4598">
        <v>0</v>
      </c>
      <c r="C4598" t="s">
        <v>128</v>
      </c>
      <c r="D4598">
        <v>0</v>
      </c>
      <c r="E4598">
        <v>-97.1147</v>
      </c>
      <c r="F4598">
        <v>37.6634</v>
      </c>
      <c r="G4598">
        <v>263026.77</v>
      </c>
      <c r="H4598" s="1">
        <v>36339</v>
      </c>
      <c r="I4598" s="1">
        <v>36346</v>
      </c>
      <c r="J4598" t="s">
        <v>15</v>
      </c>
      <c r="K4598">
        <v>4</v>
      </c>
      <c r="L4598">
        <v>50</v>
      </c>
      <c r="M4598" t="s">
        <v>18</v>
      </c>
      <c r="N4598">
        <v>1</v>
      </c>
    </row>
    <row r="4599" hidden="1" spans="1:14">
      <c r="A4599">
        <v>1524</v>
      </c>
      <c r="B4599">
        <v>0</v>
      </c>
      <c r="C4599" t="s">
        <v>128</v>
      </c>
      <c r="D4599">
        <v>0</v>
      </c>
      <c r="E4599">
        <v>-118.292</v>
      </c>
      <c r="F4599">
        <v>39.3177</v>
      </c>
      <c r="G4599">
        <v>4316.89</v>
      </c>
      <c r="H4599" s="1">
        <v>36349</v>
      </c>
      <c r="I4599" s="1">
        <v>36350</v>
      </c>
      <c r="J4599" t="s">
        <v>15</v>
      </c>
      <c r="K4599">
        <v>2</v>
      </c>
      <c r="L4599">
        <v>0</v>
      </c>
      <c r="M4599" t="s">
        <v>18</v>
      </c>
      <c r="N4599">
        <v>1</v>
      </c>
    </row>
    <row r="4600" hidden="1" spans="1:14">
      <c r="A4600">
        <v>1531</v>
      </c>
      <c r="B4600">
        <v>0</v>
      </c>
      <c r="C4600" t="s">
        <v>128</v>
      </c>
      <c r="D4600">
        <v>0</v>
      </c>
      <c r="E4600">
        <v>-94.4195</v>
      </c>
      <c r="F4600">
        <v>43.794</v>
      </c>
      <c r="G4600">
        <v>56673.45</v>
      </c>
      <c r="H4600" s="1">
        <v>36343</v>
      </c>
      <c r="I4600" s="1">
        <v>36365</v>
      </c>
      <c r="J4600" t="s">
        <v>15</v>
      </c>
      <c r="K4600">
        <v>1</v>
      </c>
      <c r="L4600">
        <v>1500</v>
      </c>
      <c r="M4600" t="s">
        <v>18</v>
      </c>
      <c r="N4600">
        <v>2</v>
      </c>
    </row>
    <row r="4601" hidden="1" spans="1:14">
      <c r="A4601">
        <v>1538</v>
      </c>
      <c r="B4601">
        <v>0</v>
      </c>
      <c r="C4601" t="s">
        <v>128</v>
      </c>
      <c r="D4601">
        <v>0</v>
      </c>
      <c r="E4601">
        <v>-101.639</v>
      </c>
      <c r="F4601">
        <v>43.9886</v>
      </c>
      <c r="G4601">
        <v>73290.6</v>
      </c>
      <c r="H4601" s="1">
        <v>36378</v>
      </c>
      <c r="I4601" s="1">
        <v>36380</v>
      </c>
      <c r="J4601" t="s">
        <v>15</v>
      </c>
      <c r="K4601">
        <v>1</v>
      </c>
      <c r="L4601">
        <v>0</v>
      </c>
      <c r="M4601" t="s">
        <v>16</v>
      </c>
      <c r="N4601">
        <v>1</v>
      </c>
    </row>
    <row r="4602" hidden="1" spans="1:14">
      <c r="A4602">
        <v>1544</v>
      </c>
      <c r="B4602">
        <v>0</v>
      </c>
      <c r="C4602" t="s">
        <v>128</v>
      </c>
      <c r="D4602">
        <v>0</v>
      </c>
      <c r="E4602">
        <v>-92.7549</v>
      </c>
      <c r="F4602">
        <v>50.3392</v>
      </c>
      <c r="G4602">
        <v>29344.17</v>
      </c>
      <c r="H4602" s="1">
        <v>36345</v>
      </c>
      <c r="I4602" s="1">
        <v>36346</v>
      </c>
      <c r="J4602" t="s">
        <v>15</v>
      </c>
      <c r="K4602">
        <v>0</v>
      </c>
      <c r="L4602">
        <v>0</v>
      </c>
      <c r="M4602" t="s">
        <v>16</v>
      </c>
      <c r="N4602">
        <v>1</v>
      </c>
    </row>
    <row r="4603" hidden="1" spans="1:14">
      <c r="A4603">
        <v>1555</v>
      </c>
      <c r="B4603">
        <v>0</v>
      </c>
      <c r="C4603" t="s">
        <v>128</v>
      </c>
      <c r="D4603">
        <v>0</v>
      </c>
      <c r="E4603">
        <v>-76.7187</v>
      </c>
      <c r="F4603">
        <v>38.6028</v>
      </c>
      <c r="G4603">
        <v>175232.64</v>
      </c>
      <c r="H4603" s="1">
        <v>36417</v>
      </c>
      <c r="I4603" s="1">
        <v>36443</v>
      </c>
      <c r="J4603" t="s">
        <v>15</v>
      </c>
      <c r="K4603">
        <v>68</v>
      </c>
      <c r="L4603">
        <v>35000</v>
      </c>
      <c r="M4603" t="s">
        <v>86</v>
      </c>
      <c r="N4603">
        <v>2</v>
      </c>
    </row>
    <row r="4604" hidden="1" spans="1:14">
      <c r="A4604">
        <v>1570</v>
      </c>
      <c r="B4604">
        <v>0</v>
      </c>
      <c r="C4604" t="s">
        <v>128</v>
      </c>
      <c r="D4604">
        <v>0</v>
      </c>
      <c r="E4604">
        <v>-124.075</v>
      </c>
      <c r="F4604">
        <v>45.1703</v>
      </c>
      <c r="G4604">
        <v>18279.39</v>
      </c>
      <c r="H4604" s="1">
        <v>36490</v>
      </c>
      <c r="I4604" s="1">
        <v>36492</v>
      </c>
      <c r="J4604" t="s">
        <v>15</v>
      </c>
      <c r="K4604">
        <v>0</v>
      </c>
      <c r="L4604">
        <v>100</v>
      </c>
      <c r="M4604" t="s">
        <v>16</v>
      </c>
      <c r="N4604">
        <v>2</v>
      </c>
    </row>
    <row r="4605" hidden="1" spans="1:14">
      <c r="A4605">
        <v>1585</v>
      </c>
      <c r="B4605">
        <v>0</v>
      </c>
      <c r="C4605" t="s">
        <v>128</v>
      </c>
      <c r="D4605">
        <v>0</v>
      </c>
      <c r="E4605">
        <v>-83.55</v>
      </c>
      <c r="F4605">
        <v>37.7227</v>
      </c>
      <c r="G4605">
        <v>55642.9</v>
      </c>
      <c r="H4605" s="1">
        <v>36574</v>
      </c>
      <c r="I4605" s="1">
        <v>36578</v>
      </c>
      <c r="J4605" t="s">
        <v>15</v>
      </c>
      <c r="K4605">
        <v>8</v>
      </c>
      <c r="L4605">
        <v>40</v>
      </c>
      <c r="M4605" t="s">
        <v>16</v>
      </c>
      <c r="N4605">
        <v>1</v>
      </c>
    </row>
    <row r="4606" hidden="1" spans="1:14">
      <c r="A4606">
        <v>1594</v>
      </c>
      <c r="B4606">
        <v>0</v>
      </c>
      <c r="C4606" t="s">
        <v>128</v>
      </c>
      <c r="D4606">
        <v>0</v>
      </c>
      <c r="E4606">
        <v>-99.9306</v>
      </c>
      <c r="F4606">
        <v>33.7394</v>
      </c>
      <c r="G4606">
        <v>24096.74</v>
      </c>
      <c r="H4606" s="1">
        <v>36614</v>
      </c>
      <c r="I4606" s="1">
        <v>36616</v>
      </c>
      <c r="J4606" t="s">
        <v>15</v>
      </c>
      <c r="K4606">
        <v>3</v>
      </c>
      <c r="L4606">
        <v>0</v>
      </c>
      <c r="M4606" t="s">
        <v>18</v>
      </c>
      <c r="N4606">
        <v>1</v>
      </c>
    </row>
    <row r="4607" hidden="1" spans="1:14">
      <c r="A4607">
        <v>1652</v>
      </c>
      <c r="B4607">
        <v>0</v>
      </c>
      <c r="C4607" t="s">
        <v>128</v>
      </c>
      <c r="D4607">
        <v>0</v>
      </c>
      <c r="E4607">
        <v>-113.627</v>
      </c>
      <c r="F4607">
        <v>33.7958</v>
      </c>
      <c r="G4607">
        <v>313.934</v>
      </c>
      <c r="H4607" s="1">
        <v>36821</v>
      </c>
      <c r="I4607" s="1">
        <v>36822</v>
      </c>
      <c r="J4607" t="s">
        <v>15</v>
      </c>
      <c r="K4607">
        <v>1</v>
      </c>
      <c r="L4607">
        <v>500</v>
      </c>
      <c r="M4607" t="s">
        <v>18</v>
      </c>
      <c r="N4607">
        <v>1</v>
      </c>
    </row>
    <row r="4608" hidden="1" spans="1:14">
      <c r="A4608">
        <v>1659</v>
      </c>
      <c r="B4608">
        <v>0</v>
      </c>
      <c r="C4608" t="s">
        <v>128</v>
      </c>
      <c r="D4608">
        <v>0</v>
      </c>
      <c r="E4608">
        <v>-155.099</v>
      </c>
      <c r="F4608">
        <v>19.7397</v>
      </c>
      <c r="G4608">
        <v>86.6495</v>
      </c>
      <c r="H4608" s="1">
        <v>36832</v>
      </c>
      <c r="I4608" s="1">
        <v>36833</v>
      </c>
      <c r="J4608" t="s">
        <v>15</v>
      </c>
      <c r="K4608">
        <v>0</v>
      </c>
      <c r="L4608">
        <v>100</v>
      </c>
      <c r="M4608" t="s">
        <v>16</v>
      </c>
      <c r="N4608">
        <v>1</v>
      </c>
    </row>
    <row r="4609" hidden="1" spans="1:14">
      <c r="A4609">
        <v>1661</v>
      </c>
      <c r="B4609">
        <v>0</v>
      </c>
      <c r="C4609" t="s">
        <v>128</v>
      </c>
      <c r="D4609">
        <v>0</v>
      </c>
      <c r="E4609">
        <v>-99.3783</v>
      </c>
      <c r="F4609">
        <v>30.6009</v>
      </c>
      <c r="G4609">
        <v>9655.08</v>
      </c>
      <c r="H4609" s="1">
        <v>36832</v>
      </c>
      <c r="I4609" s="1">
        <v>36837</v>
      </c>
      <c r="J4609" t="s">
        <v>15</v>
      </c>
      <c r="K4609">
        <v>6</v>
      </c>
      <c r="L4609">
        <v>0</v>
      </c>
      <c r="M4609">
        <v>0</v>
      </c>
      <c r="N4609">
        <v>1</v>
      </c>
    </row>
    <row r="4610" hidden="1" spans="1:14">
      <c r="A4610">
        <v>1697</v>
      </c>
      <c r="B4610">
        <v>0</v>
      </c>
      <c r="C4610" t="s">
        <v>128</v>
      </c>
      <c r="D4610">
        <v>0</v>
      </c>
      <c r="E4610">
        <v>-90.3139</v>
      </c>
      <c r="F4610">
        <v>41.5085</v>
      </c>
      <c r="G4610">
        <v>24.3252</v>
      </c>
      <c r="H4610" s="1">
        <v>36949</v>
      </c>
      <c r="I4610" s="1">
        <v>36951</v>
      </c>
      <c r="J4610" t="s">
        <v>15</v>
      </c>
      <c r="K4610">
        <v>0</v>
      </c>
      <c r="L4610">
        <v>200</v>
      </c>
      <c r="M4610" t="s">
        <v>48</v>
      </c>
      <c r="N4610">
        <v>2</v>
      </c>
    </row>
    <row r="4611" hidden="1" spans="1:14">
      <c r="A4611">
        <v>1712</v>
      </c>
      <c r="B4611">
        <v>0</v>
      </c>
      <c r="C4611" t="s">
        <v>128</v>
      </c>
      <c r="D4611">
        <v>0</v>
      </c>
      <c r="E4611">
        <v>-90.4728</v>
      </c>
      <c r="F4611">
        <v>42.657</v>
      </c>
      <c r="G4611">
        <v>63376.98</v>
      </c>
      <c r="H4611" s="1">
        <v>36996</v>
      </c>
      <c r="I4611" s="1">
        <v>37026</v>
      </c>
      <c r="J4611" t="s">
        <v>15</v>
      </c>
      <c r="K4611">
        <v>1</v>
      </c>
      <c r="L4611">
        <v>4400</v>
      </c>
      <c r="M4611" t="s">
        <v>39</v>
      </c>
      <c r="N4611">
        <v>2</v>
      </c>
    </row>
    <row r="4612" hidden="1" spans="1:14">
      <c r="A4612">
        <v>1723</v>
      </c>
      <c r="B4612">
        <v>0</v>
      </c>
      <c r="C4612" t="s">
        <v>128</v>
      </c>
      <c r="D4612">
        <v>0</v>
      </c>
      <c r="E4612">
        <v>-66.841</v>
      </c>
      <c r="F4612">
        <v>18.0491</v>
      </c>
      <c r="G4612">
        <v>245.95</v>
      </c>
      <c r="H4612" s="1">
        <v>37017</v>
      </c>
      <c r="I4612" s="1">
        <v>37018</v>
      </c>
      <c r="J4612" t="s">
        <v>15</v>
      </c>
      <c r="K4612">
        <v>2</v>
      </c>
      <c r="L4612">
        <v>0</v>
      </c>
      <c r="M4612" t="s">
        <v>16</v>
      </c>
      <c r="N4612">
        <v>1</v>
      </c>
    </row>
    <row r="4613" hidden="1" spans="1:14">
      <c r="A4613">
        <v>1729</v>
      </c>
      <c r="B4613">
        <v>0</v>
      </c>
      <c r="C4613" t="s">
        <v>128</v>
      </c>
      <c r="D4613">
        <v>0</v>
      </c>
      <c r="E4613">
        <v>-157.137</v>
      </c>
      <c r="F4613">
        <v>64.9787</v>
      </c>
      <c r="G4613">
        <v>4095.94</v>
      </c>
      <c r="H4613" s="1">
        <v>37035</v>
      </c>
      <c r="I4613" s="1">
        <v>37041</v>
      </c>
      <c r="J4613" t="s">
        <v>15</v>
      </c>
      <c r="K4613">
        <v>0</v>
      </c>
      <c r="L4613">
        <v>32</v>
      </c>
      <c r="M4613" t="s">
        <v>48</v>
      </c>
      <c r="N4613">
        <v>1</v>
      </c>
    </row>
    <row r="4614" hidden="1" spans="1:14">
      <c r="A4614">
        <v>1733</v>
      </c>
      <c r="B4614">
        <v>0</v>
      </c>
      <c r="C4614" t="s">
        <v>128</v>
      </c>
      <c r="D4614">
        <v>0</v>
      </c>
      <c r="E4614">
        <v>-93.6825</v>
      </c>
      <c r="F4614">
        <v>29.7675</v>
      </c>
      <c r="G4614">
        <v>32060.65</v>
      </c>
      <c r="H4614" s="1">
        <v>37048</v>
      </c>
      <c r="I4614" s="1">
        <v>37055</v>
      </c>
      <c r="J4614" t="s">
        <v>15</v>
      </c>
      <c r="K4614">
        <v>47</v>
      </c>
      <c r="L4614">
        <v>30000</v>
      </c>
      <c r="M4614" t="s">
        <v>86</v>
      </c>
      <c r="N4614">
        <v>1</v>
      </c>
    </row>
    <row r="4615" hidden="1" spans="1:14">
      <c r="A4615">
        <v>1746</v>
      </c>
      <c r="B4615">
        <v>0</v>
      </c>
      <c r="C4615" t="s">
        <v>128</v>
      </c>
      <c r="D4615">
        <v>0</v>
      </c>
      <c r="E4615">
        <v>-81.8767</v>
      </c>
      <c r="F4615">
        <v>37.8401</v>
      </c>
      <c r="G4615">
        <v>8533.79</v>
      </c>
      <c r="H4615" s="1">
        <v>37080</v>
      </c>
      <c r="I4615" s="1">
        <v>37081</v>
      </c>
      <c r="J4615" t="s">
        <v>15</v>
      </c>
      <c r="K4615">
        <v>2</v>
      </c>
      <c r="L4615">
        <v>6000</v>
      </c>
      <c r="M4615" t="s">
        <v>16</v>
      </c>
      <c r="N4615">
        <v>2</v>
      </c>
    </row>
    <row r="4616" hidden="1" spans="1:14">
      <c r="A4616">
        <v>1754</v>
      </c>
      <c r="B4616">
        <v>0</v>
      </c>
      <c r="C4616" t="s">
        <v>128</v>
      </c>
      <c r="D4616">
        <v>0</v>
      </c>
      <c r="E4616">
        <v>-84.5578</v>
      </c>
      <c r="F4616">
        <v>39.5376</v>
      </c>
      <c r="G4616">
        <v>1713.61</v>
      </c>
      <c r="H4616" s="1">
        <v>37089</v>
      </c>
      <c r="I4616" s="1">
        <v>37090</v>
      </c>
      <c r="J4616" t="s">
        <v>15</v>
      </c>
      <c r="K4616">
        <v>3</v>
      </c>
      <c r="L4616">
        <v>0</v>
      </c>
      <c r="M4616" t="s">
        <v>18</v>
      </c>
      <c r="N4616">
        <v>2</v>
      </c>
    </row>
    <row r="4617" hidden="1" spans="1:14">
      <c r="A4617">
        <v>1761</v>
      </c>
      <c r="B4617">
        <v>0</v>
      </c>
      <c r="C4617" t="s">
        <v>128</v>
      </c>
      <c r="D4617">
        <v>0</v>
      </c>
      <c r="E4617">
        <v>-81.566</v>
      </c>
      <c r="F4617">
        <v>37.3243</v>
      </c>
      <c r="G4617">
        <v>14006.98</v>
      </c>
      <c r="H4617" s="1">
        <v>37101</v>
      </c>
      <c r="I4617" s="1">
        <v>37101</v>
      </c>
      <c r="J4617" t="s">
        <v>15</v>
      </c>
      <c r="K4617">
        <v>2</v>
      </c>
      <c r="L4617">
        <v>300</v>
      </c>
      <c r="M4617" t="s">
        <v>16</v>
      </c>
      <c r="N4617">
        <v>1</v>
      </c>
    </row>
    <row r="4618" hidden="1" spans="1:14">
      <c r="A4618">
        <v>1769</v>
      </c>
      <c r="B4618">
        <v>0</v>
      </c>
      <c r="C4618" t="s">
        <v>128</v>
      </c>
      <c r="D4618">
        <v>0</v>
      </c>
      <c r="E4618">
        <v>-83.0259</v>
      </c>
      <c r="F4618">
        <v>37.0795</v>
      </c>
      <c r="G4618">
        <v>19308.47</v>
      </c>
      <c r="H4618" s="1">
        <v>37106</v>
      </c>
      <c r="I4618" s="1">
        <v>37107</v>
      </c>
      <c r="J4618" t="s">
        <v>15</v>
      </c>
      <c r="K4618">
        <v>2</v>
      </c>
      <c r="L4618">
        <v>100</v>
      </c>
      <c r="M4618" t="s">
        <v>16</v>
      </c>
      <c r="N4618">
        <v>1</v>
      </c>
    </row>
    <row r="4619" hidden="1" spans="1:14">
      <c r="A4619">
        <v>1825</v>
      </c>
      <c r="B4619">
        <v>0</v>
      </c>
      <c r="C4619" t="s">
        <v>128</v>
      </c>
      <c r="D4619">
        <v>0</v>
      </c>
      <c r="E4619">
        <v>-99.8764</v>
      </c>
      <c r="F4619">
        <v>29.8942</v>
      </c>
      <c r="G4619">
        <v>7733.72</v>
      </c>
      <c r="H4619" s="1">
        <v>37210</v>
      </c>
      <c r="I4619" s="1">
        <v>37214</v>
      </c>
      <c r="J4619" t="s">
        <v>15</v>
      </c>
      <c r="K4619">
        <v>10</v>
      </c>
      <c r="L4619">
        <v>0</v>
      </c>
      <c r="M4619" t="s">
        <v>16</v>
      </c>
      <c r="N4619">
        <v>1</v>
      </c>
    </row>
    <row r="4620" hidden="1" spans="1:14">
      <c r="A4620">
        <v>1829</v>
      </c>
      <c r="B4620">
        <v>0</v>
      </c>
      <c r="C4620" t="s">
        <v>128</v>
      </c>
      <c r="D4620">
        <v>0</v>
      </c>
      <c r="E4620">
        <v>-89.8684</v>
      </c>
      <c r="F4620">
        <v>35.1833</v>
      </c>
      <c r="G4620">
        <v>132283.24</v>
      </c>
      <c r="H4620" s="1">
        <v>37223</v>
      </c>
      <c r="I4620" s="1">
        <v>37232</v>
      </c>
      <c r="J4620" t="s">
        <v>15</v>
      </c>
      <c r="K4620">
        <v>1</v>
      </c>
      <c r="L4620">
        <v>400</v>
      </c>
      <c r="M4620" t="s">
        <v>16</v>
      </c>
      <c r="N4620">
        <v>1</v>
      </c>
    </row>
    <row r="4621" hidden="1" spans="1:14">
      <c r="A4621">
        <v>1840</v>
      </c>
      <c r="B4621">
        <v>0</v>
      </c>
      <c r="C4621" t="s">
        <v>128</v>
      </c>
      <c r="D4621">
        <v>0</v>
      </c>
      <c r="E4621">
        <v>-91.7958</v>
      </c>
      <c r="F4621">
        <v>34.9309</v>
      </c>
      <c r="G4621">
        <v>45272.89</v>
      </c>
      <c r="H4621" s="1">
        <v>37242</v>
      </c>
      <c r="I4621" s="1">
        <v>37250</v>
      </c>
      <c r="J4621" t="s">
        <v>15</v>
      </c>
      <c r="K4621">
        <v>3</v>
      </c>
      <c r="L4621">
        <v>100</v>
      </c>
      <c r="M4621" t="s">
        <v>16</v>
      </c>
      <c r="N4621">
        <v>1</v>
      </c>
    </row>
    <row r="4622" hidden="1" spans="1:14">
      <c r="A4622">
        <v>1867</v>
      </c>
      <c r="B4622">
        <v>0</v>
      </c>
      <c r="C4622" t="s">
        <v>128</v>
      </c>
      <c r="D4622">
        <v>0</v>
      </c>
      <c r="E4622">
        <v>-85.6892</v>
      </c>
      <c r="F4622">
        <v>35.6744</v>
      </c>
      <c r="G4622">
        <v>87111.92</v>
      </c>
      <c r="H4622" s="1">
        <v>37279</v>
      </c>
      <c r="I4622" s="1">
        <v>37285</v>
      </c>
      <c r="J4622" t="s">
        <v>15</v>
      </c>
      <c r="K4622">
        <v>6</v>
      </c>
      <c r="L4622">
        <v>0</v>
      </c>
      <c r="M4622" t="s">
        <v>16</v>
      </c>
      <c r="N4622">
        <v>1</v>
      </c>
    </row>
    <row r="4623" hidden="1" spans="1:14">
      <c r="A4623">
        <v>1868</v>
      </c>
      <c r="B4623">
        <v>0</v>
      </c>
      <c r="C4623" t="s">
        <v>128</v>
      </c>
      <c r="D4623">
        <v>0</v>
      </c>
      <c r="E4623">
        <v>-157.92</v>
      </c>
      <c r="F4623">
        <v>21.361</v>
      </c>
      <c r="G4623">
        <v>655.981</v>
      </c>
      <c r="H4623" s="1">
        <v>37282</v>
      </c>
      <c r="I4623" s="1">
        <v>37284</v>
      </c>
      <c r="J4623" t="s">
        <v>15</v>
      </c>
      <c r="K4623">
        <v>3</v>
      </c>
      <c r="L4623">
        <v>0</v>
      </c>
      <c r="M4623" t="s">
        <v>16</v>
      </c>
      <c r="N4623">
        <v>1</v>
      </c>
    </row>
    <row r="4624" hidden="1" spans="1:14">
      <c r="A4624">
        <v>1904</v>
      </c>
      <c r="B4624">
        <v>0</v>
      </c>
      <c r="C4624" t="s">
        <v>128</v>
      </c>
      <c r="D4624">
        <v>0</v>
      </c>
      <c r="E4624">
        <v>-89.5756</v>
      </c>
      <c r="F4624">
        <v>46.4874</v>
      </c>
      <c r="G4624">
        <v>22335.39</v>
      </c>
      <c r="H4624" s="1">
        <v>37363</v>
      </c>
      <c r="I4624" s="1">
        <v>37368</v>
      </c>
      <c r="J4624" t="s">
        <v>15</v>
      </c>
      <c r="K4624">
        <v>0</v>
      </c>
      <c r="L4624">
        <v>300</v>
      </c>
      <c r="M4624" t="s">
        <v>16</v>
      </c>
      <c r="N4624">
        <v>2</v>
      </c>
    </row>
    <row r="4625" hidden="1" spans="1:14">
      <c r="A4625">
        <v>1911</v>
      </c>
      <c r="B4625">
        <v>0</v>
      </c>
      <c r="C4625" t="s">
        <v>128</v>
      </c>
      <c r="D4625">
        <v>0</v>
      </c>
      <c r="E4625">
        <v>-99.3162</v>
      </c>
      <c r="F4625">
        <v>32.7318</v>
      </c>
      <c r="G4625">
        <v>312.833</v>
      </c>
      <c r="H4625" s="1">
        <v>37371</v>
      </c>
      <c r="I4625" s="1">
        <v>37373</v>
      </c>
      <c r="J4625" t="s">
        <v>15</v>
      </c>
      <c r="K4625">
        <v>1</v>
      </c>
      <c r="L4625">
        <v>32</v>
      </c>
      <c r="M4625" t="s">
        <v>16</v>
      </c>
      <c r="N4625">
        <v>2</v>
      </c>
    </row>
    <row r="4626" hidden="1" spans="1:14">
      <c r="A4626">
        <v>1916</v>
      </c>
      <c r="B4626">
        <v>0</v>
      </c>
      <c r="C4626" t="s">
        <v>128</v>
      </c>
      <c r="D4626">
        <v>0</v>
      </c>
      <c r="E4626">
        <v>-81.9867</v>
      </c>
      <c r="F4626">
        <v>37.5469</v>
      </c>
      <c r="G4626">
        <v>19788.37</v>
      </c>
      <c r="H4626" s="1">
        <v>37378</v>
      </c>
      <c r="I4626" s="1">
        <v>37384</v>
      </c>
      <c r="J4626" t="s">
        <v>15</v>
      </c>
      <c r="K4626">
        <v>9</v>
      </c>
      <c r="L4626">
        <v>1000</v>
      </c>
      <c r="M4626" t="s">
        <v>16</v>
      </c>
      <c r="N4626">
        <v>1</v>
      </c>
    </row>
    <row r="4627" hidden="1" spans="1:14">
      <c r="A4627">
        <v>1919</v>
      </c>
      <c r="B4627">
        <v>0</v>
      </c>
      <c r="C4627" t="s">
        <v>128</v>
      </c>
      <c r="D4627">
        <v>0</v>
      </c>
      <c r="E4627">
        <v>-88.2883</v>
      </c>
      <c r="F4627">
        <v>39.1954</v>
      </c>
      <c r="G4627">
        <v>257337.97</v>
      </c>
      <c r="H4627" s="1">
        <v>37383</v>
      </c>
      <c r="I4627" s="1">
        <v>37415</v>
      </c>
      <c r="J4627" t="s">
        <v>15</v>
      </c>
      <c r="K4627">
        <v>9</v>
      </c>
      <c r="L4627">
        <v>100</v>
      </c>
      <c r="M4627" t="s">
        <v>16</v>
      </c>
      <c r="N4627">
        <v>1</v>
      </c>
    </row>
    <row r="4628" hidden="1" spans="1:14">
      <c r="A4628">
        <v>1920</v>
      </c>
      <c r="B4628">
        <v>0</v>
      </c>
      <c r="C4628" t="s">
        <v>128</v>
      </c>
      <c r="D4628">
        <v>0</v>
      </c>
      <c r="E4628">
        <v>-157.366</v>
      </c>
      <c r="F4628">
        <v>59.4398</v>
      </c>
      <c r="G4628">
        <v>684.754</v>
      </c>
      <c r="H4628" s="1">
        <v>37383</v>
      </c>
      <c r="I4628" s="1">
        <v>37385</v>
      </c>
      <c r="J4628" t="s">
        <v>15</v>
      </c>
      <c r="K4628">
        <v>0</v>
      </c>
      <c r="L4628">
        <v>24</v>
      </c>
      <c r="M4628" t="s">
        <v>48</v>
      </c>
      <c r="N4628">
        <v>1</v>
      </c>
    </row>
    <row r="4629" hidden="1" spans="1:14">
      <c r="A4629">
        <v>1927</v>
      </c>
      <c r="B4629">
        <v>0</v>
      </c>
      <c r="C4629" t="s">
        <v>128</v>
      </c>
      <c r="D4629">
        <v>0</v>
      </c>
      <c r="E4629">
        <v>-75.8722</v>
      </c>
      <c r="F4629">
        <v>41.2484</v>
      </c>
      <c r="G4629">
        <v>654.578</v>
      </c>
      <c r="H4629" s="1">
        <v>37404</v>
      </c>
      <c r="I4629" s="1">
        <v>37406</v>
      </c>
      <c r="J4629" t="s">
        <v>15</v>
      </c>
      <c r="K4629">
        <v>0</v>
      </c>
      <c r="L4629">
        <v>0</v>
      </c>
      <c r="M4629" t="s">
        <v>16</v>
      </c>
      <c r="N4629">
        <v>1</v>
      </c>
    </row>
    <row r="4630" hidden="1" spans="1:14">
      <c r="A4630">
        <v>1935</v>
      </c>
      <c r="B4630">
        <v>0</v>
      </c>
      <c r="C4630" t="s">
        <v>128</v>
      </c>
      <c r="D4630">
        <v>0</v>
      </c>
      <c r="E4630">
        <v>-77.1518</v>
      </c>
      <c r="F4630">
        <v>42.8491</v>
      </c>
      <c r="G4630">
        <v>5261.39</v>
      </c>
      <c r="H4630" s="1">
        <v>37406</v>
      </c>
      <c r="I4630" s="1">
        <v>37408</v>
      </c>
      <c r="J4630" t="s">
        <v>15</v>
      </c>
      <c r="K4630">
        <v>0</v>
      </c>
      <c r="L4630">
        <v>0</v>
      </c>
      <c r="M4630" t="s">
        <v>16</v>
      </c>
      <c r="N4630">
        <v>2</v>
      </c>
    </row>
    <row r="4631" hidden="1" spans="1:14">
      <c r="A4631">
        <v>1937</v>
      </c>
      <c r="B4631">
        <v>0</v>
      </c>
      <c r="C4631" t="s">
        <v>128</v>
      </c>
      <c r="D4631">
        <v>0</v>
      </c>
      <c r="E4631">
        <v>-91.0233</v>
      </c>
      <c r="F4631">
        <v>42.2633</v>
      </c>
      <c r="G4631">
        <v>43981.36</v>
      </c>
      <c r="H4631" s="1">
        <v>37411</v>
      </c>
      <c r="I4631" s="1">
        <v>37413</v>
      </c>
      <c r="J4631" t="s">
        <v>15</v>
      </c>
      <c r="K4631">
        <v>0</v>
      </c>
      <c r="L4631">
        <v>500</v>
      </c>
      <c r="M4631" t="s">
        <v>16</v>
      </c>
      <c r="N4631">
        <v>1</v>
      </c>
    </row>
    <row r="4632" hidden="1" spans="1:14">
      <c r="A4632">
        <v>1943</v>
      </c>
      <c r="B4632">
        <v>0</v>
      </c>
      <c r="C4632" t="s">
        <v>128</v>
      </c>
      <c r="D4632">
        <v>0</v>
      </c>
      <c r="E4632">
        <v>-95.9064</v>
      </c>
      <c r="F4632">
        <v>47.3407</v>
      </c>
      <c r="G4632">
        <v>47497.79</v>
      </c>
      <c r="H4632" s="1">
        <v>37415</v>
      </c>
      <c r="I4632" s="1">
        <v>37436</v>
      </c>
      <c r="J4632" t="s">
        <v>15</v>
      </c>
      <c r="K4632">
        <v>0</v>
      </c>
      <c r="L4632">
        <v>0</v>
      </c>
      <c r="M4632" t="s">
        <v>16</v>
      </c>
      <c r="N4632">
        <v>2</v>
      </c>
    </row>
    <row r="4633" hidden="1" spans="1:14">
      <c r="A4633">
        <v>1950</v>
      </c>
      <c r="B4633">
        <v>0</v>
      </c>
      <c r="C4633" t="s">
        <v>128</v>
      </c>
      <c r="D4633">
        <v>0</v>
      </c>
      <c r="E4633">
        <v>-72.4438</v>
      </c>
      <c r="F4633">
        <v>44.533</v>
      </c>
      <c r="G4633">
        <v>11377.32</v>
      </c>
      <c r="H4633" s="1">
        <v>37419</v>
      </c>
      <c r="I4633" s="1">
        <v>37421</v>
      </c>
      <c r="J4633" t="s">
        <v>15</v>
      </c>
      <c r="K4633">
        <v>0</v>
      </c>
      <c r="L4633">
        <v>0</v>
      </c>
      <c r="M4633" t="s">
        <v>16</v>
      </c>
      <c r="N4633">
        <v>1</v>
      </c>
    </row>
    <row r="4634" hidden="1" spans="1:14">
      <c r="A4634">
        <v>1979</v>
      </c>
      <c r="B4634">
        <v>0</v>
      </c>
      <c r="C4634" t="s">
        <v>128</v>
      </c>
      <c r="D4634">
        <v>0</v>
      </c>
      <c r="E4634">
        <v>-101.738</v>
      </c>
      <c r="F4634">
        <v>41.0922</v>
      </c>
      <c r="G4634">
        <v>712.688</v>
      </c>
      <c r="H4634" s="1">
        <v>37443</v>
      </c>
      <c r="I4634" s="1">
        <v>37445</v>
      </c>
      <c r="J4634" t="s">
        <v>15</v>
      </c>
      <c r="K4634">
        <v>1</v>
      </c>
      <c r="L4634">
        <v>0</v>
      </c>
      <c r="M4634" t="s">
        <v>16</v>
      </c>
      <c r="N4634">
        <v>1</v>
      </c>
    </row>
    <row r="4635" hidden="1" spans="1:14">
      <c r="A4635">
        <v>2006</v>
      </c>
      <c r="B4635">
        <v>0</v>
      </c>
      <c r="C4635" t="s">
        <v>128</v>
      </c>
      <c r="D4635">
        <v>0</v>
      </c>
      <c r="E4635">
        <v>-80.6862</v>
      </c>
      <c r="F4635">
        <v>37.2114</v>
      </c>
      <c r="G4635">
        <v>2046.79</v>
      </c>
      <c r="H4635" s="1">
        <v>37462</v>
      </c>
      <c r="I4635" s="1">
        <v>37464</v>
      </c>
      <c r="J4635" t="s">
        <v>15</v>
      </c>
      <c r="K4635">
        <v>0</v>
      </c>
      <c r="L4635">
        <v>100</v>
      </c>
      <c r="M4635" t="s">
        <v>16</v>
      </c>
      <c r="N4635">
        <v>1</v>
      </c>
    </row>
    <row r="4636" hidden="1" spans="1:14">
      <c r="A4636">
        <v>2007</v>
      </c>
      <c r="B4636">
        <v>0</v>
      </c>
      <c r="C4636" t="s">
        <v>128</v>
      </c>
      <c r="D4636">
        <v>0</v>
      </c>
      <c r="E4636">
        <v>-156.216</v>
      </c>
      <c r="F4636">
        <v>62.2333</v>
      </c>
      <c r="G4636">
        <v>17605.45</v>
      </c>
      <c r="H4636" s="1">
        <v>37373</v>
      </c>
      <c r="I4636" s="1">
        <v>37407</v>
      </c>
      <c r="J4636" t="s">
        <v>15</v>
      </c>
      <c r="K4636">
        <v>0</v>
      </c>
      <c r="L4636">
        <v>0</v>
      </c>
      <c r="M4636" t="s">
        <v>39</v>
      </c>
      <c r="N4636">
        <v>1</v>
      </c>
    </row>
    <row r="4637" hidden="1" spans="1:14">
      <c r="A4637">
        <v>2056</v>
      </c>
      <c r="B4637">
        <v>0</v>
      </c>
      <c r="C4637" t="s">
        <v>128</v>
      </c>
      <c r="D4637">
        <v>0</v>
      </c>
      <c r="E4637">
        <v>-96.0297</v>
      </c>
      <c r="F4637">
        <v>29.6511</v>
      </c>
      <c r="G4637">
        <v>97964.82</v>
      </c>
      <c r="H4637" s="1">
        <v>37505</v>
      </c>
      <c r="I4637" s="1">
        <v>37518</v>
      </c>
      <c r="J4637" t="s">
        <v>15</v>
      </c>
      <c r="K4637">
        <v>0</v>
      </c>
      <c r="L4637">
        <v>0</v>
      </c>
      <c r="M4637" t="s">
        <v>16</v>
      </c>
      <c r="N4637">
        <v>1</v>
      </c>
    </row>
    <row r="4638" hidden="1" spans="1:14">
      <c r="A4638">
        <v>2057</v>
      </c>
      <c r="B4638">
        <v>0</v>
      </c>
      <c r="C4638" t="s">
        <v>128</v>
      </c>
      <c r="D4638">
        <v>0</v>
      </c>
      <c r="E4638">
        <v>-84.8804</v>
      </c>
      <c r="F4638">
        <v>31.0424</v>
      </c>
      <c r="G4638">
        <v>5643.54</v>
      </c>
      <c r="H4638" s="1">
        <v>37520</v>
      </c>
      <c r="I4638" s="1">
        <v>37523</v>
      </c>
      <c r="J4638" t="s">
        <v>15</v>
      </c>
      <c r="K4638">
        <v>0</v>
      </c>
      <c r="L4638">
        <v>0</v>
      </c>
      <c r="M4638" t="s">
        <v>16</v>
      </c>
      <c r="N4638">
        <v>1</v>
      </c>
    </row>
    <row r="4639" hidden="1" spans="1:14">
      <c r="A4639">
        <v>2063</v>
      </c>
      <c r="B4639">
        <v>0</v>
      </c>
      <c r="C4639" t="s">
        <v>128</v>
      </c>
      <c r="D4639">
        <v>0</v>
      </c>
      <c r="E4639">
        <v>-90.0119</v>
      </c>
      <c r="F4639">
        <v>29.8703</v>
      </c>
      <c r="G4639">
        <v>31074.07</v>
      </c>
      <c r="H4639" s="1">
        <v>37525</v>
      </c>
      <c r="I4639" s="1">
        <v>37528</v>
      </c>
      <c r="J4639" t="s">
        <v>15</v>
      </c>
      <c r="K4639">
        <v>1</v>
      </c>
      <c r="L4639">
        <v>2500</v>
      </c>
      <c r="M4639" t="s">
        <v>86</v>
      </c>
      <c r="N4639">
        <v>1</v>
      </c>
    </row>
    <row r="4640" hidden="1" spans="1:14">
      <c r="A4640">
        <v>2064</v>
      </c>
      <c r="B4640">
        <v>0</v>
      </c>
      <c r="C4640" t="s">
        <v>128</v>
      </c>
      <c r="D4640">
        <v>0</v>
      </c>
      <c r="E4640">
        <v>-83.9795</v>
      </c>
      <c r="F4640">
        <v>22.3815</v>
      </c>
      <c r="G4640">
        <v>20039.47</v>
      </c>
      <c r="H4640" s="1">
        <v>37528</v>
      </c>
      <c r="I4640" s="1">
        <v>37536</v>
      </c>
      <c r="J4640" t="s">
        <v>15</v>
      </c>
      <c r="K4640">
        <v>8</v>
      </c>
      <c r="L4640">
        <v>317000</v>
      </c>
      <c r="M4640" t="s">
        <v>16</v>
      </c>
      <c r="N4640">
        <v>1</v>
      </c>
    </row>
    <row r="4641" hidden="1" spans="1:14">
      <c r="A4641">
        <v>2066</v>
      </c>
      <c r="B4641">
        <v>0</v>
      </c>
      <c r="C4641" t="s">
        <v>128</v>
      </c>
      <c r="D4641">
        <v>0</v>
      </c>
      <c r="E4641">
        <v>-89.9243</v>
      </c>
      <c r="F4641">
        <v>34.6073</v>
      </c>
      <c r="G4641">
        <v>11708.02</v>
      </c>
      <c r="H4641" s="1">
        <v>37539</v>
      </c>
      <c r="I4641" s="1">
        <v>37541</v>
      </c>
      <c r="J4641" t="s">
        <v>15</v>
      </c>
      <c r="K4641">
        <v>3</v>
      </c>
      <c r="L4641">
        <v>0</v>
      </c>
      <c r="M4641" t="s">
        <v>16</v>
      </c>
      <c r="N4641">
        <v>1</v>
      </c>
    </row>
    <row r="4642" hidden="1" spans="1:14">
      <c r="A4642">
        <v>2067</v>
      </c>
      <c r="B4642">
        <v>0</v>
      </c>
      <c r="C4642" t="s">
        <v>128</v>
      </c>
      <c r="D4642">
        <v>0</v>
      </c>
      <c r="E4642">
        <v>-99.2878</v>
      </c>
      <c r="F4642">
        <v>26.7222</v>
      </c>
      <c r="G4642">
        <v>16617.71</v>
      </c>
      <c r="H4642" s="1">
        <v>37539</v>
      </c>
      <c r="I4642" s="1">
        <v>37544</v>
      </c>
      <c r="J4642" t="s">
        <v>15</v>
      </c>
      <c r="K4642">
        <v>1</v>
      </c>
      <c r="L4642">
        <v>800</v>
      </c>
      <c r="M4642" t="s">
        <v>16</v>
      </c>
      <c r="N4642">
        <v>1</v>
      </c>
    </row>
    <row r="4643" hidden="1" spans="1:14">
      <c r="A4643">
        <v>2075</v>
      </c>
      <c r="B4643">
        <v>0</v>
      </c>
      <c r="C4643" t="s">
        <v>128</v>
      </c>
      <c r="D4643">
        <v>0</v>
      </c>
      <c r="E4643">
        <v>-150.891</v>
      </c>
      <c r="F4643">
        <v>60.3357</v>
      </c>
      <c r="G4643">
        <v>13912.96</v>
      </c>
      <c r="H4643" s="1">
        <v>37553</v>
      </c>
      <c r="I4643" s="1">
        <v>37557</v>
      </c>
      <c r="J4643" t="s">
        <v>15</v>
      </c>
      <c r="K4643">
        <v>0</v>
      </c>
      <c r="L4643">
        <v>0</v>
      </c>
      <c r="M4643" t="s">
        <v>16</v>
      </c>
      <c r="N4643">
        <v>2</v>
      </c>
    </row>
    <row r="4644" hidden="1" spans="1:14">
      <c r="A4644">
        <v>2076</v>
      </c>
      <c r="B4644">
        <v>0</v>
      </c>
      <c r="C4644" t="s">
        <v>128</v>
      </c>
      <c r="D4644">
        <v>0</v>
      </c>
      <c r="E4644">
        <v>-96.0297</v>
      </c>
      <c r="F4644">
        <v>29.6511</v>
      </c>
      <c r="G4644">
        <v>106239.37</v>
      </c>
      <c r="H4644" s="1">
        <v>37552</v>
      </c>
      <c r="I4644" s="1">
        <v>37573</v>
      </c>
      <c r="J4644" t="s">
        <v>15</v>
      </c>
      <c r="K4644">
        <v>1</v>
      </c>
      <c r="L4644">
        <v>75</v>
      </c>
      <c r="M4644" t="s">
        <v>16</v>
      </c>
      <c r="N4644">
        <v>1</v>
      </c>
    </row>
    <row r="4645" hidden="1" spans="1:14">
      <c r="A4645">
        <v>2091</v>
      </c>
      <c r="B4645">
        <v>0</v>
      </c>
      <c r="C4645" t="s">
        <v>128</v>
      </c>
      <c r="D4645">
        <v>0</v>
      </c>
      <c r="E4645">
        <v>-147.024</v>
      </c>
      <c r="F4645">
        <v>64.5052</v>
      </c>
      <c r="G4645">
        <v>590.451</v>
      </c>
      <c r="H4645" s="1">
        <v>37579</v>
      </c>
      <c r="I4645" s="1">
        <v>37581</v>
      </c>
      <c r="J4645" t="s">
        <v>15</v>
      </c>
      <c r="K4645">
        <v>0</v>
      </c>
      <c r="L4645">
        <v>0</v>
      </c>
      <c r="M4645" t="s">
        <v>48</v>
      </c>
      <c r="N4645">
        <v>1</v>
      </c>
    </row>
    <row r="4646" hidden="1" spans="1:14">
      <c r="A4646">
        <v>2096</v>
      </c>
      <c r="B4646">
        <v>0</v>
      </c>
      <c r="C4646" t="s">
        <v>128</v>
      </c>
      <c r="D4646">
        <v>0</v>
      </c>
      <c r="E4646">
        <v>-151.454</v>
      </c>
      <c r="F4646">
        <v>59.9306</v>
      </c>
      <c r="G4646">
        <v>1721.59</v>
      </c>
      <c r="H4646" s="1">
        <v>37583</v>
      </c>
      <c r="I4646" s="1">
        <v>37585</v>
      </c>
      <c r="J4646" t="s">
        <v>15</v>
      </c>
      <c r="K4646">
        <v>0</v>
      </c>
      <c r="L4646">
        <v>0</v>
      </c>
      <c r="M4646" t="s">
        <v>16</v>
      </c>
      <c r="N4646">
        <v>1</v>
      </c>
    </row>
    <row r="4647" hidden="1" spans="1:14">
      <c r="A4647">
        <v>2104</v>
      </c>
      <c r="B4647">
        <v>0</v>
      </c>
      <c r="C4647" t="s">
        <v>128</v>
      </c>
      <c r="D4647">
        <v>0</v>
      </c>
      <c r="E4647">
        <v>-122.478</v>
      </c>
      <c r="F4647">
        <v>38.9397</v>
      </c>
      <c r="G4647">
        <v>44627.03</v>
      </c>
      <c r="H4647" s="1">
        <v>37604</v>
      </c>
      <c r="I4647" s="1">
        <v>37614</v>
      </c>
      <c r="J4647" t="s">
        <v>15</v>
      </c>
      <c r="K4647">
        <v>6</v>
      </c>
      <c r="L4647">
        <v>0</v>
      </c>
      <c r="M4647" t="s">
        <v>16</v>
      </c>
      <c r="N4647">
        <v>1</v>
      </c>
    </row>
    <row r="4648" hidden="1" spans="1:14">
      <c r="A4648">
        <v>2113</v>
      </c>
      <c r="B4648">
        <v>0</v>
      </c>
      <c r="C4648" t="s">
        <v>128</v>
      </c>
      <c r="D4648">
        <v>0</v>
      </c>
      <c r="E4648">
        <v>-124.001</v>
      </c>
      <c r="F4648">
        <v>40.2055</v>
      </c>
      <c r="G4648">
        <v>20634.73</v>
      </c>
      <c r="H4648" s="1">
        <v>37618</v>
      </c>
      <c r="I4648" s="1">
        <v>37621</v>
      </c>
      <c r="J4648" t="s">
        <v>15</v>
      </c>
      <c r="K4648">
        <v>0</v>
      </c>
      <c r="L4648">
        <v>0</v>
      </c>
      <c r="M4648" t="s">
        <v>16</v>
      </c>
      <c r="N4648">
        <v>1</v>
      </c>
    </row>
    <row r="4649" hidden="1" spans="1:14">
      <c r="A4649">
        <v>2115</v>
      </c>
      <c r="B4649">
        <v>0</v>
      </c>
      <c r="C4649" t="s">
        <v>128</v>
      </c>
      <c r="D4649">
        <v>0</v>
      </c>
      <c r="E4649">
        <v>-92.6206</v>
      </c>
      <c r="F4649">
        <v>31.8332</v>
      </c>
      <c r="G4649">
        <v>457677.64</v>
      </c>
      <c r="H4649" s="1">
        <v>37622</v>
      </c>
      <c r="I4649" s="1">
        <v>37627</v>
      </c>
      <c r="J4649" t="s">
        <v>15</v>
      </c>
      <c r="K4649">
        <v>0</v>
      </c>
      <c r="L4649">
        <v>0</v>
      </c>
      <c r="M4649" t="s">
        <v>16</v>
      </c>
      <c r="N4649">
        <v>1</v>
      </c>
    </row>
    <row r="4650" hidden="1" spans="1:14">
      <c r="A4650">
        <v>2121</v>
      </c>
      <c r="B4650">
        <v>0</v>
      </c>
      <c r="C4650" t="s">
        <v>128</v>
      </c>
      <c r="D4650">
        <v>0</v>
      </c>
      <c r="E4650">
        <v>-147.248</v>
      </c>
      <c r="F4650">
        <v>64.6959</v>
      </c>
      <c r="G4650">
        <v>1681.67</v>
      </c>
      <c r="H4650" s="1">
        <v>37625</v>
      </c>
      <c r="I4650" s="1">
        <v>37629</v>
      </c>
      <c r="J4650" t="s">
        <v>15</v>
      </c>
      <c r="K4650">
        <v>0</v>
      </c>
      <c r="L4650">
        <v>0</v>
      </c>
      <c r="M4650" t="s">
        <v>249</v>
      </c>
      <c r="N4650">
        <v>1</v>
      </c>
    </row>
    <row r="4651" hidden="1" spans="1:14">
      <c r="A4651">
        <v>2155</v>
      </c>
      <c r="B4651">
        <v>0</v>
      </c>
      <c r="C4651" t="s">
        <v>128</v>
      </c>
      <c r="D4651">
        <v>0</v>
      </c>
      <c r="E4651">
        <v>-119.012</v>
      </c>
      <c r="F4651">
        <v>34.3071</v>
      </c>
      <c r="G4651">
        <v>29456.33</v>
      </c>
      <c r="H4651" s="1">
        <v>37664</v>
      </c>
      <c r="I4651" s="1">
        <v>37665</v>
      </c>
      <c r="J4651" t="s">
        <v>15</v>
      </c>
      <c r="K4651">
        <v>0</v>
      </c>
      <c r="L4651">
        <v>0</v>
      </c>
      <c r="M4651" t="s">
        <v>16</v>
      </c>
      <c r="N4651">
        <v>1</v>
      </c>
    </row>
    <row r="4652" hidden="1" spans="1:14">
      <c r="A4652">
        <v>2159</v>
      </c>
      <c r="B4652">
        <v>0</v>
      </c>
      <c r="C4652" t="s">
        <v>128</v>
      </c>
      <c r="D4652">
        <v>0</v>
      </c>
      <c r="E4652">
        <v>-82.2846</v>
      </c>
      <c r="F4652">
        <v>37.6968</v>
      </c>
      <c r="G4652">
        <v>42499.87</v>
      </c>
      <c r="H4652" s="1">
        <v>37667</v>
      </c>
      <c r="I4652" s="1">
        <v>37670</v>
      </c>
      <c r="J4652" t="s">
        <v>15</v>
      </c>
      <c r="K4652">
        <v>2</v>
      </c>
      <c r="L4652">
        <v>100</v>
      </c>
      <c r="M4652" t="s">
        <v>1048</v>
      </c>
      <c r="N4652">
        <v>1</v>
      </c>
    </row>
    <row r="4653" hidden="1" spans="1:14">
      <c r="A4653">
        <v>2167</v>
      </c>
      <c r="B4653">
        <v>0</v>
      </c>
      <c r="C4653" t="s">
        <v>128</v>
      </c>
      <c r="D4653">
        <v>0</v>
      </c>
      <c r="E4653">
        <v>-90.0652</v>
      </c>
      <c r="F4653">
        <v>31.4633</v>
      </c>
      <c r="G4653">
        <v>785574.94</v>
      </c>
      <c r="H4653" s="1">
        <v>37674</v>
      </c>
      <c r="I4653" s="1">
        <v>37697</v>
      </c>
      <c r="J4653" t="s">
        <v>15</v>
      </c>
      <c r="K4653">
        <v>1</v>
      </c>
      <c r="L4653">
        <v>0</v>
      </c>
      <c r="M4653" t="s">
        <v>16</v>
      </c>
      <c r="N4653">
        <v>1</v>
      </c>
    </row>
    <row r="4654" hidden="1" spans="1:14">
      <c r="A4654">
        <v>2168</v>
      </c>
      <c r="B4654">
        <v>0</v>
      </c>
      <c r="C4654" t="s">
        <v>128</v>
      </c>
      <c r="D4654">
        <v>0</v>
      </c>
      <c r="E4654">
        <v>-80.6513</v>
      </c>
      <c r="F4654">
        <v>37.679</v>
      </c>
      <c r="G4654">
        <v>82478.43</v>
      </c>
      <c r="H4654" s="1">
        <v>37674</v>
      </c>
      <c r="I4654" s="1">
        <v>37675</v>
      </c>
      <c r="J4654" t="s">
        <v>15</v>
      </c>
      <c r="K4654">
        <v>2</v>
      </c>
      <c r="L4654">
        <v>0</v>
      </c>
      <c r="M4654" t="s">
        <v>16</v>
      </c>
      <c r="N4654">
        <v>1</v>
      </c>
    </row>
    <row r="4655" hidden="1" spans="1:14">
      <c r="A4655">
        <v>2177</v>
      </c>
      <c r="B4655">
        <v>0</v>
      </c>
      <c r="C4655" t="s">
        <v>128</v>
      </c>
      <c r="D4655">
        <v>0</v>
      </c>
      <c r="E4655">
        <v>-88.0179</v>
      </c>
      <c r="F4655">
        <v>37.411</v>
      </c>
      <c r="G4655">
        <v>32682.01</v>
      </c>
      <c r="H4655" s="1">
        <v>37678</v>
      </c>
      <c r="I4655" s="1">
        <v>37687</v>
      </c>
      <c r="J4655" t="s">
        <v>15</v>
      </c>
      <c r="K4655">
        <v>0</v>
      </c>
      <c r="L4655">
        <v>0</v>
      </c>
      <c r="M4655" t="s">
        <v>16</v>
      </c>
      <c r="N4655">
        <v>1</v>
      </c>
    </row>
    <row r="4656" hidden="1" spans="1:14">
      <c r="A4656">
        <v>2182</v>
      </c>
      <c r="B4656">
        <v>0</v>
      </c>
      <c r="C4656" t="s">
        <v>128</v>
      </c>
      <c r="D4656">
        <v>0</v>
      </c>
      <c r="E4656">
        <v>-104.729</v>
      </c>
      <c r="F4656">
        <v>47.7159</v>
      </c>
      <c r="G4656">
        <v>30706.8</v>
      </c>
      <c r="H4656" s="1">
        <v>37697</v>
      </c>
      <c r="I4656" s="1">
        <v>37701</v>
      </c>
      <c r="J4656" t="s">
        <v>15</v>
      </c>
      <c r="K4656">
        <v>0</v>
      </c>
      <c r="L4656">
        <v>0</v>
      </c>
      <c r="M4656" t="s">
        <v>249</v>
      </c>
      <c r="N4656">
        <v>1</v>
      </c>
    </row>
    <row r="4657" hidden="1" spans="1:14">
      <c r="A4657">
        <v>2183</v>
      </c>
      <c r="B4657">
        <v>0</v>
      </c>
      <c r="C4657" t="s">
        <v>128</v>
      </c>
      <c r="D4657">
        <v>0</v>
      </c>
      <c r="E4657">
        <v>-81.7756</v>
      </c>
      <c r="F4657">
        <v>35.1516</v>
      </c>
      <c r="G4657">
        <v>269996.83</v>
      </c>
      <c r="H4657" s="1">
        <v>37699</v>
      </c>
      <c r="I4657" s="1">
        <v>37711</v>
      </c>
      <c r="J4657" t="s">
        <v>15</v>
      </c>
      <c r="K4657">
        <v>0</v>
      </c>
      <c r="L4657">
        <v>0</v>
      </c>
      <c r="M4657" t="s">
        <v>16</v>
      </c>
      <c r="N4657">
        <v>1</v>
      </c>
    </row>
    <row r="4658" hidden="1" spans="1:14">
      <c r="A4658">
        <v>2203</v>
      </c>
      <c r="B4658">
        <v>0</v>
      </c>
      <c r="C4658" t="s">
        <v>128</v>
      </c>
      <c r="D4658">
        <v>0</v>
      </c>
      <c r="E4658">
        <v>-88.6506</v>
      </c>
      <c r="F4658">
        <v>32.3342</v>
      </c>
      <c r="G4658">
        <v>83502.65</v>
      </c>
      <c r="H4658" s="1">
        <v>37718</v>
      </c>
      <c r="I4658" s="1">
        <v>37721</v>
      </c>
      <c r="J4658" t="s">
        <v>15</v>
      </c>
      <c r="K4658">
        <v>0</v>
      </c>
      <c r="L4658">
        <v>100</v>
      </c>
      <c r="M4658" t="s">
        <v>16</v>
      </c>
      <c r="N4658">
        <v>2</v>
      </c>
    </row>
    <row r="4659" hidden="1" spans="1:14">
      <c r="A4659">
        <v>2219</v>
      </c>
      <c r="B4659">
        <v>0</v>
      </c>
      <c r="C4659" t="s">
        <v>128</v>
      </c>
      <c r="D4659">
        <v>0</v>
      </c>
      <c r="E4659">
        <v>-148.177</v>
      </c>
      <c r="F4659">
        <v>64.9771</v>
      </c>
      <c r="G4659">
        <v>6718.98</v>
      </c>
      <c r="H4659" s="1">
        <v>37740</v>
      </c>
      <c r="I4659" s="1">
        <v>37745</v>
      </c>
      <c r="J4659" t="s">
        <v>15</v>
      </c>
      <c r="K4659">
        <v>0</v>
      </c>
      <c r="L4659">
        <v>0</v>
      </c>
      <c r="M4659" t="s">
        <v>249</v>
      </c>
      <c r="N4659">
        <v>1</v>
      </c>
    </row>
    <row r="4660" hidden="1" spans="1:14">
      <c r="A4660">
        <v>2223</v>
      </c>
      <c r="B4660">
        <v>0</v>
      </c>
      <c r="C4660" t="s">
        <v>128</v>
      </c>
      <c r="D4660">
        <v>0</v>
      </c>
      <c r="E4660">
        <v>-83.023</v>
      </c>
      <c r="F4660">
        <v>38.2891</v>
      </c>
      <c r="G4660">
        <v>4845.05</v>
      </c>
      <c r="H4660" s="1">
        <v>37746</v>
      </c>
      <c r="I4660" s="1">
        <v>37747</v>
      </c>
      <c r="J4660" t="s">
        <v>15</v>
      </c>
      <c r="K4660">
        <v>0</v>
      </c>
      <c r="L4660">
        <v>200</v>
      </c>
      <c r="M4660" t="s">
        <v>16</v>
      </c>
      <c r="N4660">
        <v>1</v>
      </c>
    </row>
    <row r="4661" hidden="1" spans="1:14">
      <c r="A4661">
        <v>2225</v>
      </c>
      <c r="B4661">
        <v>0</v>
      </c>
      <c r="C4661" t="s">
        <v>128</v>
      </c>
      <c r="D4661">
        <v>0</v>
      </c>
      <c r="E4661">
        <v>-85.4845</v>
      </c>
      <c r="F4661">
        <v>35.2142</v>
      </c>
      <c r="G4661">
        <v>313672.72</v>
      </c>
      <c r="H4661" s="1">
        <v>37747</v>
      </c>
      <c r="I4661" s="1">
        <v>37755</v>
      </c>
      <c r="J4661" t="s">
        <v>15</v>
      </c>
      <c r="K4661">
        <v>3</v>
      </c>
      <c r="L4661">
        <v>2000</v>
      </c>
      <c r="M4661" t="s">
        <v>16</v>
      </c>
      <c r="N4661">
        <v>2</v>
      </c>
    </row>
    <row r="4662" hidden="1" spans="1:14">
      <c r="A4662">
        <v>2229</v>
      </c>
      <c r="B4662">
        <v>0</v>
      </c>
      <c r="C4662" t="s">
        <v>128</v>
      </c>
      <c r="D4662">
        <v>0</v>
      </c>
      <c r="E4662">
        <v>-87.7071</v>
      </c>
      <c r="F4662">
        <v>46.6398</v>
      </c>
      <c r="G4662">
        <v>856.765</v>
      </c>
      <c r="H4662" s="1">
        <v>37755</v>
      </c>
      <c r="I4662" s="1">
        <v>37758</v>
      </c>
      <c r="J4662" t="s">
        <v>15</v>
      </c>
      <c r="K4662">
        <v>0</v>
      </c>
      <c r="L4662">
        <v>1752</v>
      </c>
      <c r="M4662" t="s">
        <v>25</v>
      </c>
      <c r="N4662">
        <v>1</v>
      </c>
    </row>
    <row r="4663" hidden="1" spans="1:14">
      <c r="A4663">
        <v>2237</v>
      </c>
      <c r="B4663">
        <v>0</v>
      </c>
      <c r="C4663" t="s">
        <v>128</v>
      </c>
      <c r="D4663">
        <v>0</v>
      </c>
      <c r="E4663">
        <v>-78.4955</v>
      </c>
      <c r="F4663">
        <v>37.2228</v>
      </c>
      <c r="G4663">
        <v>17832.44</v>
      </c>
      <c r="H4663" s="1">
        <v>37766</v>
      </c>
      <c r="I4663" s="1">
        <v>37771</v>
      </c>
      <c r="J4663" t="s">
        <v>15</v>
      </c>
      <c r="K4663">
        <v>1</v>
      </c>
      <c r="L4663">
        <v>0</v>
      </c>
      <c r="M4663" t="s">
        <v>16</v>
      </c>
      <c r="N4663">
        <v>1</v>
      </c>
    </row>
    <row r="4664" hidden="1" spans="1:14">
      <c r="A4664">
        <v>2253</v>
      </c>
      <c r="B4664">
        <v>0</v>
      </c>
      <c r="C4664" t="s">
        <v>128</v>
      </c>
      <c r="D4664">
        <v>0</v>
      </c>
      <c r="E4664">
        <v>-82.3633</v>
      </c>
      <c r="F4664">
        <v>38.3574</v>
      </c>
      <c r="G4664">
        <v>60614.8</v>
      </c>
      <c r="H4664" s="1">
        <v>37785</v>
      </c>
      <c r="I4664" s="1">
        <v>37791</v>
      </c>
      <c r="J4664" t="s">
        <v>15</v>
      </c>
      <c r="K4664">
        <v>7</v>
      </c>
      <c r="L4664">
        <v>1500</v>
      </c>
      <c r="M4664" t="s">
        <v>16</v>
      </c>
      <c r="N4664">
        <v>1</v>
      </c>
    </row>
    <row r="4665" hidden="1" spans="1:14">
      <c r="A4665">
        <v>2259</v>
      </c>
      <c r="B4665">
        <v>0</v>
      </c>
      <c r="C4665" t="s">
        <v>128</v>
      </c>
      <c r="D4665">
        <v>0</v>
      </c>
      <c r="E4665">
        <v>-81.8936</v>
      </c>
      <c r="F4665">
        <v>27.2672</v>
      </c>
      <c r="G4665">
        <v>18773.56</v>
      </c>
      <c r="H4665" s="1">
        <v>37794</v>
      </c>
      <c r="I4665" s="1">
        <v>37800</v>
      </c>
      <c r="J4665" t="s">
        <v>15</v>
      </c>
      <c r="K4665">
        <v>0</v>
      </c>
      <c r="L4665">
        <v>250</v>
      </c>
      <c r="M4665" t="s">
        <v>16</v>
      </c>
      <c r="N4665">
        <v>1</v>
      </c>
    </row>
    <row r="4666" hidden="1" spans="1:14">
      <c r="A4666">
        <v>2262</v>
      </c>
      <c r="B4666">
        <v>0</v>
      </c>
      <c r="C4666" t="s">
        <v>128</v>
      </c>
      <c r="D4666">
        <v>0</v>
      </c>
      <c r="E4666">
        <v>-97.0958</v>
      </c>
      <c r="F4666">
        <v>40.7146</v>
      </c>
      <c r="G4666">
        <v>41056.59</v>
      </c>
      <c r="H4666" s="1">
        <v>37795</v>
      </c>
      <c r="I4666" s="1">
        <v>37798</v>
      </c>
      <c r="J4666" t="s">
        <v>15</v>
      </c>
      <c r="K4666">
        <v>1</v>
      </c>
      <c r="L4666">
        <v>0</v>
      </c>
      <c r="M4666" t="s">
        <v>16</v>
      </c>
      <c r="N4666">
        <v>1</v>
      </c>
    </row>
    <row r="4667" hidden="1" spans="1:14">
      <c r="A4667">
        <v>2273</v>
      </c>
      <c r="B4667">
        <v>0</v>
      </c>
      <c r="C4667" t="s">
        <v>128</v>
      </c>
      <c r="D4667">
        <v>0</v>
      </c>
      <c r="E4667">
        <v>-85.9761</v>
      </c>
      <c r="F4667">
        <v>39.7887</v>
      </c>
      <c r="G4667">
        <v>150549.91</v>
      </c>
      <c r="H4667" s="1">
        <v>37807</v>
      </c>
      <c r="I4667" s="1">
        <v>37823</v>
      </c>
      <c r="J4667" t="s">
        <v>15</v>
      </c>
      <c r="K4667">
        <v>3</v>
      </c>
      <c r="L4667">
        <v>1200</v>
      </c>
      <c r="M4667" t="s">
        <v>16</v>
      </c>
      <c r="N4667">
        <v>2</v>
      </c>
    </row>
    <row r="4668" hidden="1" spans="1:14">
      <c r="A4668">
        <v>2286</v>
      </c>
      <c r="B4668">
        <v>0</v>
      </c>
      <c r="C4668" t="s">
        <v>128</v>
      </c>
      <c r="D4668">
        <v>0</v>
      </c>
      <c r="E4668">
        <v>-80.9253</v>
      </c>
      <c r="F4668">
        <v>41.0649</v>
      </c>
      <c r="G4668">
        <v>12173.27</v>
      </c>
      <c r="H4668" s="1">
        <v>37823</v>
      </c>
      <c r="I4668" s="1">
        <v>37830</v>
      </c>
      <c r="J4668" t="s">
        <v>15</v>
      </c>
      <c r="K4668">
        <v>3</v>
      </c>
      <c r="L4668">
        <v>1000</v>
      </c>
      <c r="M4668" t="s">
        <v>16</v>
      </c>
      <c r="N4668">
        <v>1</v>
      </c>
    </row>
    <row r="4669" hidden="1" spans="1:14">
      <c r="A4669">
        <v>2295</v>
      </c>
      <c r="B4669">
        <v>0</v>
      </c>
      <c r="C4669" t="s">
        <v>128</v>
      </c>
      <c r="D4669">
        <v>0</v>
      </c>
      <c r="E4669">
        <v>-149.976</v>
      </c>
      <c r="F4669">
        <v>63.9124</v>
      </c>
      <c r="G4669">
        <v>13111.55</v>
      </c>
      <c r="H4669" s="1">
        <v>37829</v>
      </c>
      <c r="I4669" s="1">
        <v>37833</v>
      </c>
      <c r="J4669" t="s">
        <v>15</v>
      </c>
      <c r="K4669">
        <v>0</v>
      </c>
      <c r="L4669">
        <v>20</v>
      </c>
      <c r="M4669" t="s">
        <v>16</v>
      </c>
      <c r="N4669">
        <v>1</v>
      </c>
    </row>
    <row r="4670" hidden="1" spans="1:14">
      <c r="A4670">
        <v>2324</v>
      </c>
      <c r="B4670">
        <v>0</v>
      </c>
      <c r="C4670" t="s">
        <v>128</v>
      </c>
      <c r="D4670">
        <v>0</v>
      </c>
      <c r="E4670">
        <v>-115.508</v>
      </c>
      <c r="F4670">
        <v>35.5295</v>
      </c>
      <c r="G4670">
        <v>34209.05</v>
      </c>
      <c r="H4670" s="1">
        <v>37852</v>
      </c>
      <c r="I4670" s="1">
        <v>37854</v>
      </c>
      <c r="J4670" t="s">
        <v>15</v>
      </c>
      <c r="K4670">
        <v>0</v>
      </c>
      <c r="L4670">
        <v>0</v>
      </c>
      <c r="M4670" t="s">
        <v>52</v>
      </c>
      <c r="N4670">
        <v>1</v>
      </c>
    </row>
    <row r="4671" hidden="1" spans="1:14">
      <c r="A4671">
        <v>2325</v>
      </c>
      <c r="B4671">
        <v>0</v>
      </c>
      <c r="C4671" t="s">
        <v>128</v>
      </c>
      <c r="D4671">
        <v>0</v>
      </c>
      <c r="E4671">
        <v>-84.6831</v>
      </c>
      <c r="F4671">
        <v>38.1186</v>
      </c>
      <c r="G4671">
        <v>10537.09</v>
      </c>
      <c r="H4671" s="1">
        <v>37855</v>
      </c>
      <c r="I4671" s="1">
        <v>37855</v>
      </c>
      <c r="J4671" t="s">
        <v>15</v>
      </c>
      <c r="K4671">
        <v>2</v>
      </c>
      <c r="L4671">
        <v>0</v>
      </c>
      <c r="M4671" t="s">
        <v>64</v>
      </c>
      <c r="N4671">
        <v>1</v>
      </c>
    </row>
    <row r="4672" hidden="1" spans="1:14">
      <c r="A4672">
        <v>2333</v>
      </c>
      <c r="B4672">
        <v>0</v>
      </c>
      <c r="C4672" t="s">
        <v>128</v>
      </c>
      <c r="D4672">
        <v>0</v>
      </c>
      <c r="E4672">
        <v>-115.879</v>
      </c>
      <c r="F4672">
        <v>34.2795</v>
      </c>
      <c r="G4672">
        <v>5002.79</v>
      </c>
      <c r="H4672" s="1">
        <v>37859</v>
      </c>
      <c r="I4672" s="1">
        <v>37859</v>
      </c>
      <c r="J4672" t="s">
        <v>15</v>
      </c>
      <c r="K4672">
        <v>3</v>
      </c>
      <c r="L4672">
        <v>30</v>
      </c>
      <c r="M4672" t="s">
        <v>18</v>
      </c>
      <c r="N4672">
        <v>1</v>
      </c>
    </row>
    <row r="4673" hidden="1" spans="1:14">
      <c r="A4673">
        <v>2342</v>
      </c>
      <c r="B4673">
        <v>0</v>
      </c>
      <c r="C4673" t="s">
        <v>128</v>
      </c>
      <c r="D4673">
        <v>0</v>
      </c>
      <c r="E4673">
        <v>-86.6173</v>
      </c>
      <c r="F4673">
        <v>39.7344</v>
      </c>
      <c r="G4673">
        <v>32128.23</v>
      </c>
      <c r="H4673" s="1">
        <v>37865</v>
      </c>
      <c r="I4673" s="1">
        <v>37873</v>
      </c>
      <c r="J4673" t="s">
        <v>15</v>
      </c>
      <c r="K4673">
        <v>1</v>
      </c>
      <c r="L4673">
        <v>500</v>
      </c>
      <c r="M4673" t="s">
        <v>16</v>
      </c>
      <c r="N4673">
        <v>2</v>
      </c>
    </row>
    <row r="4674" hidden="1" spans="1:14">
      <c r="A4674">
        <v>2341</v>
      </c>
      <c r="B4674">
        <v>0</v>
      </c>
      <c r="C4674" t="s">
        <v>128</v>
      </c>
      <c r="D4674">
        <v>0</v>
      </c>
      <c r="E4674">
        <v>-96.3291</v>
      </c>
      <c r="F4674">
        <v>38.5104</v>
      </c>
      <c r="G4674">
        <v>1168.71</v>
      </c>
      <c r="H4674" s="1">
        <v>37863</v>
      </c>
      <c r="I4674" s="1">
        <v>37864</v>
      </c>
      <c r="J4674" t="s">
        <v>15</v>
      </c>
      <c r="K4674">
        <v>6</v>
      </c>
      <c r="L4674">
        <v>0</v>
      </c>
      <c r="M4674" t="s">
        <v>18</v>
      </c>
      <c r="N4674">
        <v>2</v>
      </c>
    </row>
    <row r="4675" hidden="1" spans="1:14">
      <c r="A4675">
        <v>2352</v>
      </c>
      <c r="B4675">
        <v>0</v>
      </c>
      <c r="C4675" t="s">
        <v>128</v>
      </c>
      <c r="D4675">
        <v>0</v>
      </c>
      <c r="E4675">
        <v>-78.4245</v>
      </c>
      <c r="F4675">
        <v>37.3311</v>
      </c>
      <c r="G4675">
        <v>171199.17</v>
      </c>
      <c r="H4675" s="1">
        <v>37882</v>
      </c>
      <c r="I4675" s="1">
        <v>37888</v>
      </c>
      <c r="J4675" t="s">
        <v>15</v>
      </c>
      <c r="K4675">
        <v>7</v>
      </c>
      <c r="L4675">
        <v>2500</v>
      </c>
      <c r="M4675" t="s">
        <v>103</v>
      </c>
      <c r="N4675">
        <v>1</v>
      </c>
    </row>
    <row r="4676" hidden="1" spans="1:14">
      <c r="A4676">
        <v>2349</v>
      </c>
      <c r="B4676">
        <v>0</v>
      </c>
      <c r="C4676" t="s">
        <v>128</v>
      </c>
      <c r="D4676">
        <v>0</v>
      </c>
      <c r="E4676">
        <v>-75.4413</v>
      </c>
      <c r="F4676">
        <v>39.8192</v>
      </c>
      <c r="G4676">
        <v>2826.32</v>
      </c>
      <c r="H4676" s="1">
        <v>37879</v>
      </c>
      <c r="I4676" s="1">
        <v>37880</v>
      </c>
      <c r="J4676" t="s">
        <v>15</v>
      </c>
      <c r="K4676">
        <v>0</v>
      </c>
      <c r="L4676">
        <v>200</v>
      </c>
      <c r="M4676" t="s">
        <v>16</v>
      </c>
      <c r="N4676">
        <v>1</v>
      </c>
    </row>
    <row r="4677" hidden="1" spans="1:14">
      <c r="A4677">
        <v>2366</v>
      </c>
      <c r="B4677">
        <v>0</v>
      </c>
      <c r="C4677" t="s">
        <v>128</v>
      </c>
      <c r="D4677">
        <v>0</v>
      </c>
      <c r="E4677">
        <v>-99.2055</v>
      </c>
      <c r="F4677">
        <v>27.6304</v>
      </c>
      <c r="G4677">
        <v>62960.79</v>
      </c>
      <c r="H4677" s="1">
        <v>37906</v>
      </c>
      <c r="I4677" s="1">
        <v>37918</v>
      </c>
      <c r="J4677" t="s">
        <v>15</v>
      </c>
      <c r="K4677">
        <v>0</v>
      </c>
      <c r="L4677">
        <v>50</v>
      </c>
      <c r="M4677" t="s">
        <v>16</v>
      </c>
      <c r="N4677">
        <v>2</v>
      </c>
    </row>
    <row r="4678" hidden="1" spans="1:14">
      <c r="A4678">
        <v>2382</v>
      </c>
      <c r="B4678">
        <v>0</v>
      </c>
      <c r="C4678" t="s">
        <v>128</v>
      </c>
      <c r="D4678">
        <v>0</v>
      </c>
      <c r="E4678">
        <v>-118.273</v>
      </c>
      <c r="F4678">
        <v>33.8989</v>
      </c>
      <c r="G4678">
        <v>254.649</v>
      </c>
      <c r="H4678" s="1">
        <v>37937</v>
      </c>
      <c r="I4678" s="1">
        <v>37938</v>
      </c>
      <c r="J4678" t="s">
        <v>15</v>
      </c>
      <c r="K4678">
        <v>18</v>
      </c>
      <c r="L4678">
        <v>0</v>
      </c>
      <c r="M4678" t="s">
        <v>18</v>
      </c>
      <c r="N4678">
        <v>1</v>
      </c>
    </row>
    <row r="4679" hidden="1" spans="1:14">
      <c r="A4679">
        <v>2388</v>
      </c>
      <c r="B4679">
        <v>0</v>
      </c>
      <c r="C4679" t="s">
        <v>128</v>
      </c>
      <c r="D4679">
        <v>0</v>
      </c>
      <c r="E4679">
        <v>-79.3157</v>
      </c>
      <c r="F4679">
        <v>38.8759</v>
      </c>
      <c r="G4679">
        <v>213997.96</v>
      </c>
      <c r="H4679" s="1">
        <v>37944</v>
      </c>
      <c r="I4679" s="1">
        <v>37947</v>
      </c>
      <c r="J4679" t="s">
        <v>15</v>
      </c>
      <c r="K4679">
        <v>9</v>
      </c>
      <c r="L4679">
        <v>250</v>
      </c>
      <c r="M4679" t="s">
        <v>16</v>
      </c>
      <c r="N4679">
        <v>2</v>
      </c>
    </row>
    <row r="4680" hidden="1" spans="1:14">
      <c r="A4680">
        <v>2411</v>
      </c>
      <c r="B4680">
        <v>0</v>
      </c>
      <c r="C4680" t="s">
        <v>128</v>
      </c>
      <c r="D4680">
        <v>0</v>
      </c>
      <c r="E4680">
        <v>-117.246</v>
      </c>
      <c r="F4680">
        <v>34.2005</v>
      </c>
      <c r="G4680">
        <v>257.162</v>
      </c>
      <c r="H4680" s="1">
        <v>37980</v>
      </c>
      <c r="I4680" s="1">
        <v>37981</v>
      </c>
      <c r="J4680" t="s">
        <v>15</v>
      </c>
      <c r="K4680">
        <v>15</v>
      </c>
      <c r="L4680">
        <v>0</v>
      </c>
      <c r="M4680" t="s">
        <v>16</v>
      </c>
      <c r="N4680">
        <v>1</v>
      </c>
    </row>
    <row r="4681" hidden="1" spans="1:14">
      <c r="A4681">
        <v>2412</v>
      </c>
      <c r="B4681">
        <v>0</v>
      </c>
      <c r="C4681" t="s">
        <v>128</v>
      </c>
      <c r="D4681">
        <v>0</v>
      </c>
      <c r="E4681">
        <v>-85.3878</v>
      </c>
      <c r="F4681">
        <v>38.677</v>
      </c>
      <c r="G4681">
        <v>167998.11</v>
      </c>
      <c r="H4681" s="1">
        <v>37990</v>
      </c>
      <c r="I4681" s="1">
        <v>38002</v>
      </c>
      <c r="J4681" t="s">
        <v>15</v>
      </c>
      <c r="K4681">
        <v>2</v>
      </c>
      <c r="L4681">
        <v>60</v>
      </c>
      <c r="M4681" t="s">
        <v>16</v>
      </c>
      <c r="N4681">
        <v>1</v>
      </c>
    </row>
    <row r="4682" hidden="1" spans="1:14">
      <c r="A4682">
        <v>2446</v>
      </c>
      <c r="B4682">
        <v>0</v>
      </c>
      <c r="C4682" t="s">
        <v>128</v>
      </c>
      <c r="D4682">
        <v>0</v>
      </c>
      <c r="E4682">
        <v>-83.7764</v>
      </c>
      <c r="F4682">
        <v>37.7875</v>
      </c>
      <c r="G4682">
        <v>70496.68</v>
      </c>
      <c r="H4682" s="1">
        <v>38051</v>
      </c>
      <c r="I4682" s="1">
        <v>38053</v>
      </c>
      <c r="J4682" t="s">
        <v>15</v>
      </c>
      <c r="K4682">
        <v>3</v>
      </c>
      <c r="L4682">
        <v>0</v>
      </c>
      <c r="M4682" t="s">
        <v>16</v>
      </c>
      <c r="N4682">
        <v>1</v>
      </c>
    </row>
    <row r="4683" hidden="1" spans="1:14">
      <c r="A4683">
        <v>2455</v>
      </c>
      <c r="B4683">
        <v>0</v>
      </c>
      <c r="C4683" t="s">
        <v>128</v>
      </c>
      <c r="D4683">
        <v>0</v>
      </c>
      <c r="E4683">
        <v>-95.9635</v>
      </c>
      <c r="F4683">
        <v>37.1562</v>
      </c>
      <c r="G4683">
        <v>108613.62</v>
      </c>
      <c r="H4683" s="1">
        <v>38050</v>
      </c>
      <c r="I4683" s="1">
        <v>38054</v>
      </c>
      <c r="J4683" t="s">
        <v>15</v>
      </c>
      <c r="K4683">
        <v>0</v>
      </c>
      <c r="L4683">
        <v>30</v>
      </c>
      <c r="M4683" t="s">
        <v>16</v>
      </c>
      <c r="N4683">
        <v>1</v>
      </c>
    </row>
    <row r="4684" hidden="1" spans="1:14">
      <c r="A4684">
        <v>2462</v>
      </c>
      <c r="B4684">
        <v>0</v>
      </c>
      <c r="C4684" t="s">
        <v>128</v>
      </c>
      <c r="D4684" t="s">
        <v>248</v>
      </c>
      <c r="E4684">
        <v>-97.9994</v>
      </c>
      <c r="F4684">
        <v>48.162</v>
      </c>
      <c r="G4684">
        <v>30761.93</v>
      </c>
      <c r="H4684" s="1">
        <v>38074</v>
      </c>
      <c r="I4684" s="1">
        <v>38088</v>
      </c>
      <c r="J4684" t="s">
        <v>15</v>
      </c>
      <c r="K4684">
        <v>0</v>
      </c>
      <c r="L4684">
        <v>1000</v>
      </c>
      <c r="M4684" t="s">
        <v>38</v>
      </c>
      <c r="N4684">
        <v>2</v>
      </c>
    </row>
    <row r="4685" hidden="1" spans="1:14">
      <c r="A4685">
        <v>2476</v>
      </c>
      <c r="B4685">
        <v>0</v>
      </c>
      <c r="C4685" t="s">
        <v>128</v>
      </c>
      <c r="D4685">
        <v>0</v>
      </c>
      <c r="E4685">
        <v>-93.2793</v>
      </c>
      <c r="F4685">
        <v>35.7496</v>
      </c>
      <c r="G4685">
        <v>177018.72</v>
      </c>
      <c r="H4685" s="1">
        <v>38101</v>
      </c>
      <c r="I4685" s="1">
        <v>38109</v>
      </c>
      <c r="J4685" t="s">
        <v>15</v>
      </c>
      <c r="K4685">
        <v>4</v>
      </c>
      <c r="L4685">
        <v>0</v>
      </c>
      <c r="M4685" t="s">
        <v>16</v>
      </c>
      <c r="N4685">
        <v>1</v>
      </c>
    </row>
    <row r="4686" hidden="1" spans="1:14">
      <c r="A4686">
        <v>2478</v>
      </c>
      <c r="B4686">
        <v>0</v>
      </c>
      <c r="C4686" t="s">
        <v>128</v>
      </c>
      <c r="D4686">
        <v>0</v>
      </c>
      <c r="E4686">
        <v>-96.95</v>
      </c>
      <c r="F4686">
        <v>32.0697</v>
      </c>
      <c r="G4686">
        <v>18401.2</v>
      </c>
      <c r="H4686" s="1">
        <v>38107</v>
      </c>
      <c r="I4686" s="1">
        <v>38108</v>
      </c>
      <c r="J4686" t="s">
        <v>15</v>
      </c>
      <c r="K4686">
        <v>6</v>
      </c>
      <c r="L4686">
        <v>0</v>
      </c>
      <c r="M4686" t="s">
        <v>18</v>
      </c>
      <c r="N4686">
        <v>1</v>
      </c>
    </row>
    <row r="4687" hidden="1" spans="1:14">
      <c r="A4687">
        <v>2482</v>
      </c>
      <c r="B4687">
        <v>0</v>
      </c>
      <c r="C4687" t="s">
        <v>128</v>
      </c>
      <c r="D4687">
        <v>0</v>
      </c>
      <c r="E4687">
        <v>-96.5166</v>
      </c>
      <c r="F4687">
        <v>30.8453</v>
      </c>
      <c r="G4687">
        <v>7786.59</v>
      </c>
      <c r="H4687" s="1">
        <v>38120</v>
      </c>
      <c r="I4687" s="1">
        <v>38122</v>
      </c>
      <c r="J4687" t="s">
        <v>15</v>
      </c>
      <c r="K4687">
        <v>0</v>
      </c>
      <c r="L4687">
        <v>250</v>
      </c>
      <c r="M4687" t="s">
        <v>16</v>
      </c>
      <c r="N4687">
        <v>1</v>
      </c>
    </row>
    <row r="4688" hidden="1" spans="1:14">
      <c r="A4688">
        <v>2485</v>
      </c>
      <c r="B4688">
        <v>0</v>
      </c>
      <c r="C4688" t="s">
        <v>128</v>
      </c>
      <c r="D4688">
        <v>0</v>
      </c>
      <c r="E4688">
        <v>-90.0126</v>
      </c>
      <c r="F4688">
        <v>41.9518</v>
      </c>
      <c r="G4688">
        <v>117312.56</v>
      </c>
      <c r="H4688" s="1">
        <v>38129</v>
      </c>
      <c r="I4688" s="1">
        <v>38133</v>
      </c>
      <c r="J4688" t="s">
        <v>15</v>
      </c>
      <c r="K4688">
        <v>1</v>
      </c>
      <c r="L4688">
        <v>150</v>
      </c>
      <c r="M4688" t="s">
        <v>16</v>
      </c>
      <c r="N4688">
        <v>1</v>
      </c>
    </row>
    <row r="4689" hidden="1" spans="1:14">
      <c r="A4689">
        <v>2488</v>
      </c>
      <c r="B4689">
        <v>0</v>
      </c>
      <c r="C4689" t="s">
        <v>128</v>
      </c>
      <c r="D4689">
        <v>0</v>
      </c>
      <c r="E4689">
        <v>-83.8407</v>
      </c>
      <c r="F4689">
        <v>37.8801</v>
      </c>
      <c r="G4689">
        <v>59887.68</v>
      </c>
      <c r="H4689" s="1">
        <v>38134</v>
      </c>
      <c r="I4689" s="1">
        <v>38139</v>
      </c>
      <c r="J4689" t="s">
        <v>15</v>
      </c>
      <c r="K4689">
        <v>3</v>
      </c>
      <c r="L4689">
        <v>0</v>
      </c>
      <c r="M4689" t="s">
        <v>16</v>
      </c>
      <c r="N4689">
        <v>1</v>
      </c>
    </row>
    <row r="4690" hidden="1" spans="1:14">
      <c r="A4690">
        <v>2491</v>
      </c>
      <c r="B4690">
        <v>0</v>
      </c>
      <c r="C4690" t="s">
        <v>128</v>
      </c>
      <c r="D4690">
        <v>0</v>
      </c>
      <c r="E4690">
        <v>-121.357</v>
      </c>
      <c r="F4690">
        <v>37.9526</v>
      </c>
      <c r="G4690">
        <v>607.755</v>
      </c>
      <c r="H4690" s="1">
        <v>38141</v>
      </c>
      <c r="I4690" s="1">
        <v>38271</v>
      </c>
      <c r="J4690" t="s">
        <v>15</v>
      </c>
      <c r="K4690">
        <v>0</v>
      </c>
      <c r="L4690">
        <v>300</v>
      </c>
      <c r="M4690" t="s">
        <v>25</v>
      </c>
      <c r="N4690">
        <v>1</v>
      </c>
    </row>
    <row r="4691" hidden="1" spans="1:14">
      <c r="A4691">
        <v>2494</v>
      </c>
      <c r="B4691">
        <v>0</v>
      </c>
      <c r="C4691" t="s">
        <v>128</v>
      </c>
      <c r="D4691">
        <v>0</v>
      </c>
      <c r="E4691">
        <v>-97.291</v>
      </c>
      <c r="F4691">
        <v>31.0405</v>
      </c>
      <c r="G4691">
        <v>114505.27</v>
      </c>
      <c r="H4691" s="1">
        <v>38143</v>
      </c>
      <c r="I4691" s="1">
        <v>38148</v>
      </c>
      <c r="J4691" t="s">
        <v>15</v>
      </c>
      <c r="K4691">
        <v>0</v>
      </c>
      <c r="L4691">
        <v>200</v>
      </c>
      <c r="M4691" t="s">
        <v>16</v>
      </c>
      <c r="N4691">
        <v>1</v>
      </c>
    </row>
    <row r="4692" hidden="1" spans="1:14">
      <c r="A4692">
        <v>2498</v>
      </c>
      <c r="B4692">
        <v>0</v>
      </c>
      <c r="C4692" t="s">
        <v>128</v>
      </c>
      <c r="D4692">
        <v>0</v>
      </c>
      <c r="E4692">
        <v>-88.7195</v>
      </c>
      <c r="F4692">
        <v>43.4752</v>
      </c>
      <c r="G4692">
        <v>28979.14</v>
      </c>
      <c r="H4692" s="1">
        <v>38148</v>
      </c>
      <c r="I4692" s="1">
        <v>38159</v>
      </c>
      <c r="J4692" t="s">
        <v>15</v>
      </c>
      <c r="K4692">
        <v>0</v>
      </c>
      <c r="L4692">
        <v>500</v>
      </c>
      <c r="M4692" t="s">
        <v>16</v>
      </c>
      <c r="N4692">
        <v>2</v>
      </c>
    </row>
    <row r="4693" hidden="1" spans="1:14">
      <c r="A4693">
        <v>2520</v>
      </c>
      <c r="B4693">
        <v>0</v>
      </c>
      <c r="C4693" t="s">
        <v>128</v>
      </c>
      <c r="D4693">
        <v>0</v>
      </c>
      <c r="E4693">
        <v>-74.6219</v>
      </c>
      <c r="F4693">
        <v>39.7967</v>
      </c>
      <c r="G4693">
        <v>2441.81</v>
      </c>
      <c r="H4693" s="1">
        <v>38180</v>
      </c>
      <c r="I4693" s="1">
        <v>38183</v>
      </c>
      <c r="J4693" t="s">
        <v>15</v>
      </c>
      <c r="K4693">
        <v>0</v>
      </c>
      <c r="L4693">
        <v>500</v>
      </c>
      <c r="M4693" t="s">
        <v>16</v>
      </c>
      <c r="N4693">
        <v>2</v>
      </c>
    </row>
    <row r="4694" hidden="1" spans="1:14">
      <c r="A4694">
        <v>2535</v>
      </c>
      <c r="B4694">
        <v>0</v>
      </c>
      <c r="C4694" t="s">
        <v>128</v>
      </c>
      <c r="D4694">
        <v>0</v>
      </c>
      <c r="E4694">
        <v>-97.13</v>
      </c>
      <c r="F4694">
        <v>32.6528</v>
      </c>
      <c r="G4694">
        <v>21194.51</v>
      </c>
      <c r="H4694" s="1">
        <v>38196</v>
      </c>
      <c r="I4694" s="1">
        <v>38199</v>
      </c>
      <c r="J4694" t="s">
        <v>15</v>
      </c>
      <c r="K4694">
        <v>3</v>
      </c>
      <c r="L4694">
        <v>0</v>
      </c>
      <c r="M4694" t="s">
        <v>16</v>
      </c>
      <c r="N4694">
        <v>2</v>
      </c>
    </row>
    <row r="4695" hidden="1" spans="1:14">
      <c r="A4695">
        <v>2537</v>
      </c>
      <c r="B4695">
        <v>0</v>
      </c>
      <c r="C4695" t="s">
        <v>128</v>
      </c>
      <c r="D4695">
        <v>0</v>
      </c>
      <c r="E4695">
        <v>-82.3471</v>
      </c>
      <c r="F4695">
        <v>34.7498</v>
      </c>
      <c r="G4695">
        <v>274.971</v>
      </c>
      <c r="H4695" s="1">
        <v>38197</v>
      </c>
      <c r="I4695" s="1">
        <v>38198</v>
      </c>
      <c r="J4695" t="s">
        <v>15</v>
      </c>
      <c r="K4695">
        <v>0</v>
      </c>
      <c r="L4695">
        <v>60</v>
      </c>
      <c r="M4695" t="s">
        <v>18</v>
      </c>
      <c r="N4695">
        <v>2</v>
      </c>
    </row>
    <row r="4696" hidden="1" spans="1:14">
      <c r="A4696">
        <v>2550</v>
      </c>
      <c r="B4696">
        <v>0</v>
      </c>
      <c r="C4696" t="s">
        <v>128</v>
      </c>
      <c r="D4696">
        <v>0</v>
      </c>
      <c r="E4696">
        <v>-116.759</v>
      </c>
      <c r="F4696">
        <v>36.3928</v>
      </c>
      <c r="G4696">
        <v>582.05</v>
      </c>
      <c r="H4696" s="1">
        <v>38214</v>
      </c>
      <c r="I4696" s="1">
        <v>38215</v>
      </c>
      <c r="J4696" t="s">
        <v>15</v>
      </c>
      <c r="K4696">
        <v>2</v>
      </c>
      <c r="L4696">
        <v>0</v>
      </c>
      <c r="M4696" t="s">
        <v>18</v>
      </c>
      <c r="N4696">
        <v>1</v>
      </c>
    </row>
    <row r="4697" hidden="1" spans="1:14">
      <c r="A4697">
        <v>2557</v>
      </c>
      <c r="B4697">
        <v>0</v>
      </c>
      <c r="C4697" t="s">
        <v>128</v>
      </c>
      <c r="D4697">
        <v>0</v>
      </c>
      <c r="E4697">
        <v>-77.6284</v>
      </c>
      <c r="F4697">
        <v>37.3684</v>
      </c>
      <c r="G4697">
        <v>10713.94</v>
      </c>
      <c r="H4697" s="1">
        <v>38229</v>
      </c>
      <c r="I4697" s="1">
        <v>38231</v>
      </c>
      <c r="J4697" t="s">
        <v>15</v>
      </c>
      <c r="K4697">
        <v>7</v>
      </c>
      <c r="L4697">
        <v>0</v>
      </c>
      <c r="M4697" t="s">
        <v>86</v>
      </c>
      <c r="N4697">
        <v>1</v>
      </c>
    </row>
    <row r="4698" hidden="1" spans="1:14">
      <c r="A4698">
        <v>2560</v>
      </c>
      <c r="B4698">
        <v>0</v>
      </c>
      <c r="C4698" t="s">
        <v>128</v>
      </c>
      <c r="D4698" t="s">
        <v>126</v>
      </c>
      <c r="E4698">
        <v>-81.4393</v>
      </c>
      <c r="F4698">
        <v>27.6084</v>
      </c>
      <c r="G4698">
        <v>308986.37</v>
      </c>
      <c r="H4698" s="1">
        <v>38235</v>
      </c>
      <c r="I4698" s="1">
        <v>38244</v>
      </c>
      <c r="J4698" t="s">
        <v>15</v>
      </c>
      <c r="K4698">
        <v>16</v>
      </c>
      <c r="L4698">
        <v>300</v>
      </c>
      <c r="M4698" t="s">
        <v>86</v>
      </c>
      <c r="N4698">
        <v>1</v>
      </c>
    </row>
    <row r="4699" hidden="1" spans="1:14">
      <c r="A4699">
        <v>2565</v>
      </c>
      <c r="B4699">
        <v>0</v>
      </c>
      <c r="C4699" t="s">
        <v>128</v>
      </c>
      <c r="D4699">
        <v>0</v>
      </c>
      <c r="E4699">
        <v>-92.8998</v>
      </c>
      <c r="F4699">
        <v>43.3726</v>
      </c>
      <c r="G4699">
        <v>15942.11</v>
      </c>
      <c r="H4699" s="1">
        <v>38245</v>
      </c>
      <c r="I4699" s="1">
        <v>38249</v>
      </c>
      <c r="J4699" t="s">
        <v>15</v>
      </c>
      <c r="K4699">
        <v>1</v>
      </c>
      <c r="L4699">
        <v>0</v>
      </c>
      <c r="M4699" t="s">
        <v>16</v>
      </c>
      <c r="N4699">
        <v>1</v>
      </c>
    </row>
    <row r="4700" hidden="1" spans="1:14">
      <c r="A4700">
        <v>2584</v>
      </c>
      <c r="B4700">
        <v>0</v>
      </c>
      <c r="C4700" t="s">
        <v>128</v>
      </c>
      <c r="D4700">
        <v>0</v>
      </c>
      <c r="E4700">
        <v>-97.4818</v>
      </c>
      <c r="F4700">
        <v>29.9969</v>
      </c>
      <c r="G4700">
        <v>107063.04</v>
      </c>
      <c r="H4700" s="1">
        <v>38306</v>
      </c>
      <c r="I4700" s="1">
        <v>38320</v>
      </c>
      <c r="J4700" t="s">
        <v>15</v>
      </c>
      <c r="K4700">
        <v>3</v>
      </c>
      <c r="L4700">
        <v>600</v>
      </c>
      <c r="M4700" t="s">
        <v>16</v>
      </c>
      <c r="N4700">
        <v>1</v>
      </c>
    </row>
    <row r="4701" hidden="1" spans="1:14">
      <c r="A4701">
        <v>2597</v>
      </c>
      <c r="B4701">
        <v>0</v>
      </c>
      <c r="C4701" t="s">
        <v>128</v>
      </c>
      <c r="D4701">
        <v>0</v>
      </c>
      <c r="E4701">
        <v>-89.5703</v>
      </c>
      <c r="F4701">
        <v>33.963</v>
      </c>
      <c r="G4701">
        <v>263934.24</v>
      </c>
      <c r="H4701" s="1">
        <v>38328</v>
      </c>
      <c r="I4701" s="1">
        <v>38341</v>
      </c>
      <c r="J4701" t="s">
        <v>15</v>
      </c>
      <c r="K4701">
        <v>0</v>
      </c>
      <c r="L4701">
        <v>0</v>
      </c>
      <c r="M4701" t="s">
        <v>16</v>
      </c>
      <c r="N4701">
        <v>1</v>
      </c>
    </row>
    <row r="4702" hidden="1" spans="1:14">
      <c r="A4702">
        <v>2606</v>
      </c>
      <c r="B4702">
        <v>0</v>
      </c>
      <c r="C4702" t="s">
        <v>128</v>
      </c>
      <c r="D4702">
        <v>0</v>
      </c>
      <c r="E4702">
        <v>-85.3524</v>
      </c>
      <c r="F4702">
        <v>38.2106</v>
      </c>
      <c r="G4702">
        <v>285908.88</v>
      </c>
      <c r="H4702" s="1">
        <v>38357</v>
      </c>
      <c r="I4702" s="1">
        <v>38384</v>
      </c>
      <c r="J4702" t="s">
        <v>15</v>
      </c>
      <c r="K4702">
        <v>3</v>
      </c>
      <c r="L4702">
        <v>4000</v>
      </c>
      <c r="M4702" t="s">
        <v>16</v>
      </c>
      <c r="N4702">
        <v>2</v>
      </c>
    </row>
    <row r="4703" hidden="1" spans="1:14">
      <c r="A4703">
        <v>2608</v>
      </c>
      <c r="B4703">
        <v>0</v>
      </c>
      <c r="C4703" t="s">
        <v>128</v>
      </c>
      <c r="D4703">
        <v>0</v>
      </c>
      <c r="E4703">
        <v>-118.094</v>
      </c>
      <c r="F4703">
        <v>34.0959</v>
      </c>
      <c r="G4703">
        <v>11751.45</v>
      </c>
      <c r="H4703" s="1">
        <v>38360</v>
      </c>
      <c r="I4703" s="1">
        <v>38363</v>
      </c>
      <c r="J4703" t="s">
        <v>15</v>
      </c>
      <c r="K4703">
        <v>4</v>
      </c>
      <c r="L4703">
        <v>500</v>
      </c>
      <c r="M4703" t="s">
        <v>16</v>
      </c>
      <c r="N4703">
        <v>1</v>
      </c>
    </row>
    <row r="4704" hidden="1" spans="1:14">
      <c r="A4704">
        <v>2610</v>
      </c>
      <c r="B4704">
        <v>0</v>
      </c>
      <c r="C4704" t="s">
        <v>128</v>
      </c>
      <c r="D4704">
        <v>0</v>
      </c>
      <c r="E4704">
        <v>-113.736</v>
      </c>
      <c r="F4704">
        <v>37.2699</v>
      </c>
      <c r="G4704">
        <v>71018.19</v>
      </c>
      <c r="H4704" s="1">
        <v>38362</v>
      </c>
      <c r="I4704" s="1">
        <v>38365</v>
      </c>
      <c r="J4704" t="s">
        <v>15</v>
      </c>
      <c r="K4704">
        <v>1</v>
      </c>
      <c r="L4704">
        <v>850</v>
      </c>
      <c r="M4704" t="s">
        <v>16</v>
      </c>
      <c r="N4704">
        <v>2</v>
      </c>
    </row>
    <row r="4705" hidden="1" spans="1:14">
      <c r="A4705">
        <v>2645</v>
      </c>
      <c r="B4705">
        <v>0</v>
      </c>
      <c r="C4705" t="s">
        <v>128</v>
      </c>
      <c r="D4705">
        <v>0</v>
      </c>
      <c r="E4705">
        <v>-74.7348</v>
      </c>
      <c r="F4705">
        <v>42.219</v>
      </c>
      <c r="G4705">
        <v>130491.54</v>
      </c>
      <c r="H4705" s="1">
        <v>38443</v>
      </c>
      <c r="I4705" s="1">
        <v>38448</v>
      </c>
      <c r="J4705" t="s">
        <v>15</v>
      </c>
      <c r="K4705">
        <v>2</v>
      </c>
      <c r="L4705">
        <v>11000</v>
      </c>
      <c r="M4705" t="s">
        <v>16</v>
      </c>
      <c r="N4705">
        <v>2</v>
      </c>
    </row>
    <row r="4706" hidden="1" spans="1:14">
      <c r="A4706">
        <v>2719</v>
      </c>
      <c r="B4706">
        <v>0</v>
      </c>
      <c r="C4706" t="s">
        <v>128</v>
      </c>
      <c r="D4706">
        <v>0</v>
      </c>
      <c r="E4706">
        <v>-90.3201</v>
      </c>
      <c r="F4706">
        <v>30.191</v>
      </c>
      <c r="G4706">
        <v>50377.42</v>
      </c>
      <c r="H4706" s="1">
        <v>38593</v>
      </c>
      <c r="I4706" s="1">
        <v>38614</v>
      </c>
      <c r="J4706" t="s">
        <v>15</v>
      </c>
      <c r="K4706">
        <v>1053</v>
      </c>
      <c r="L4706">
        <v>500000</v>
      </c>
      <c r="M4706" t="s">
        <v>86</v>
      </c>
      <c r="N4706">
        <v>2</v>
      </c>
    </row>
    <row r="4707" hidden="1" spans="1:14">
      <c r="A4707">
        <v>2735</v>
      </c>
      <c r="B4707">
        <v>0</v>
      </c>
      <c r="C4707" t="s">
        <v>128</v>
      </c>
      <c r="D4707">
        <v>0</v>
      </c>
      <c r="E4707">
        <v>-92.9979</v>
      </c>
      <c r="F4707">
        <v>29.9816</v>
      </c>
      <c r="G4707">
        <v>33402.88</v>
      </c>
      <c r="H4707" s="1">
        <v>38618</v>
      </c>
      <c r="I4707" s="1">
        <v>38626</v>
      </c>
      <c r="J4707" t="s">
        <v>15</v>
      </c>
      <c r="K4707">
        <v>0</v>
      </c>
      <c r="L4707">
        <v>0</v>
      </c>
      <c r="M4707" t="s">
        <v>86</v>
      </c>
      <c r="N4707">
        <v>1</v>
      </c>
    </row>
    <row r="4708" hidden="1" spans="1:14">
      <c r="A4708">
        <v>2749</v>
      </c>
      <c r="B4708">
        <v>0</v>
      </c>
      <c r="C4708" t="s">
        <v>128</v>
      </c>
      <c r="D4708">
        <v>0</v>
      </c>
      <c r="E4708">
        <v>-72.314</v>
      </c>
      <c r="F4708">
        <v>43.0798</v>
      </c>
      <c r="G4708">
        <v>38291.77</v>
      </c>
      <c r="H4708" s="1">
        <v>38633</v>
      </c>
      <c r="I4708" s="1">
        <v>38642</v>
      </c>
      <c r="J4708" t="s">
        <v>15</v>
      </c>
      <c r="K4708">
        <v>11</v>
      </c>
      <c r="L4708">
        <v>3000</v>
      </c>
      <c r="M4708" t="s">
        <v>16</v>
      </c>
      <c r="N4708">
        <v>2</v>
      </c>
    </row>
    <row r="4709" hidden="1" spans="1:14">
      <c r="A4709">
        <v>2776</v>
      </c>
      <c r="B4709">
        <v>0</v>
      </c>
      <c r="C4709" t="s">
        <v>128</v>
      </c>
      <c r="D4709">
        <v>0</v>
      </c>
      <c r="E4709">
        <v>-121.099</v>
      </c>
      <c r="F4709">
        <v>39.494</v>
      </c>
      <c r="G4709">
        <v>140515.03</v>
      </c>
      <c r="H4709" s="1">
        <v>38717</v>
      </c>
      <c r="I4709" s="1">
        <v>38735</v>
      </c>
      <c r="J4709" t="s">
        <v>15</v>
      </c>
      <c r="K4709">
        <v>0</v>
      </c>
      <c r="L4709">
        <v>4000</v>
      </c>
      <c r="M4709" t="s">
        <v>16</v>
      </c>
      <c r="N4709">
        <v>1</v>
      </c>
    </row>
    <row r="4710" hidden="1" spans="1:14">
      <c r="A4710">
        <v>2808</v>
      </c>
      <c r="B4710">
        <v>0</v>
      </c>
      <c r="C4710" t="s">
        <v>128</v>
      </c>
      <c r="D4710">
        <v>0</v>
      </c>
      <c r="E4710">
        <v>-157.97</v>
      </c>
      <c r="F4710">
        <v>21.494</v>
      </c>
      <c r="G4710">
        <v>3020.97</v>
      </c>
      <c r="H4710" s="1">
        <v>38769</v>
      </c>
      <c r="I4710" s="1">
        <v>38782</v>
      </c>
      <c r="J4710" t="s">
        <v>15</v>
      </c>
      <c r="K4710">
        <v>0</v>
      </c>
      <c r="L4710">
        <v>0</v>
      </c>
      <c r="M4710" t="s">
        <v>16</v>
      </c>
      <c r="N4710">
        <v>1</v>
      </c>
    </row>
    <row r="4711" hidden="1" spans="1:14">
      <c r="A4711">
        <v>2818</v>
      </c>
      <c r="B4711">
        <v>0</v>
      </c>
      <c r="C4711" t="s">
        <v>128</v>
      </c>
      <c r="D4711">
        <v>0</v>
      </c>
      <c r="E4711">
        <v>-86.4197</v>
      </c>
      <c r="F4711">
        <v>38.254</v>
      </c>
      <c r="G4711">
        <v>6790.16</v>
      </c>
      <c r="H4711" s="1">
        <v>38788</v>
      </c>
      <c r="I4711" s="1">
        <v>38798</v>
      </c>
      <c r="J4711" t="s">
        <v>15</v>
      </c>
      <c r="K4711">
        <v>2</v>
      </c>
      <c r="L4711">
        <v>0</v>
      </c>
      <c r="M4711" t="s">
        <v>16</v>
      </c>
      <c r="N4711">
        <v>1</v>
      </c>
    </row>
    <row r="4712" hidden="1" spans="1:14">
      <c r="A4712">
        <v>2820</v>
      </c>
      <c r="B4712">
        <v>0</v>
      </c>
      <c r="C4712" t="s">
        <v>128</v>
      </c>
      <c r="D4712">
        <v>0</v>
      </c>
      <c r="E4712">
        <v>-159.5</v>
      </c>
      <c r="F4712">
        <v>22.1481</v>
      </c>
      <c r="G4712">
        <v>585.622</v>
      </c>
      <c r="H4712" s="1">
        <v>38790</v>
      </c>
      <c r="I4712" s="1">
        <v>38799</v>
      </c>
      <c r="J4712" t="s">
        <v>15</v>
      </c>
      <c r="K4712">
        <v>7</v>
      </c>
      <c r="L4712">
        <v>0</v>
      </c>
      <c r="M4712" t="s">
        <v>25</v>
      </c>
      <c r="N4712">
        <v>1</v>
      </c>
    </row>
    <row r="4713" hidden="1" spans="1:14">
      <c r="A4713">
        <v>2822</v>
      </c>
      <c r="B4713">
        <v>0</v>
      </c>
      <c r="C4713" t="s">
        <v>128</v>
      </c>
      <c r="D4713">
        <v>0</v>
      </c>
      <c r="E4713">
        <v>-96.9701</v>
      </c>
      <c r="F4713">
        <v>33.1445</v>
      </c>
      <c r="G4713">
        <v>16205.26</v>
      </c>
      <c r="H4713" s="1">
        <v>38794</v>
      </c>
      <c r="I4713" s="1">
        <v>38801</v>
      </c>
      <c r="J4713" t="s">
        <v>15</v>
      </c>
      <c r="K4713">
        <v>1</v>
      </c>
      <c r="L4713">
        <v>0</v>
      </c>
      <c r="M4713" t="s">
        <v>16</v>
      </c>
      <c r="N4713">
        <v>1</v>
      </c>
    </row>
    <row r="4714" hidden="1" spans="1:14">
      <c r="A4714">
        <v>2829</v>
      </c>
      <c r="B4714">
        <v>0</v>
      </c>
      <c r="C4714" t="s">
        <v>128</v>
      </c>
      <c r="D4714">
        <v>0</v>
      </c>
      <c r="E4714">
        <v>-96.8936</v>
      </c>
      <c r="F4714">
        <v>47.0035</v>
      </c>
      <c r="G4714">
        <v>15349.57</v>
      </c>
      <c r="H4714" s="1">
        <v>38806</v>
      </c>
      <c r="I4714" s="1">
        <v>38832</v>
      </c>
      <c r="J4714" t="s">
        <v>15</v>
      </c>
      <c r="K4714">
        <v>1</v>
      </c>
      <c r="L4714">
        <v>0</v>
      </c>
      <c r="M4714" t="s">
        <v>38</v>
      </c>
      <c r="N4714">
        <v>1</v>
      </c>
    </row>
    <row r="4715" hidden="1" spans="1:14">
      <c r="A4715">
        <v>2831</v>
      </c>
      <c r="B4715">
        <v>0</v>
      </c>
      <c r="C4715" t="s">
        <v>128</v>
      </c>
      <c r="D4715">
        <v>0</v>
      </c>
      <c r="E4715">
        <v>-157.847</v>
      </c>
      <c r="F4715">
        <v>21.3538</v>
      </c>
      <c r="G4715">
        <v>529.715</v>
      </c>
      <c r="H4715" s="1">
        <v>38807</v>
      </c>
      <c r="I4715" s="1">
        <v>38810</v>
      </c>
      <c r="J4715" t="s">
        <v>15</v>
      </c>
      <c r="K4715">
        <v>0</v>
      </c>
      <c r="L4715">
        <v>0</v>
      </c>
      <c r="M4715" t="s">
        <v>16</v>
      </c>
      <c r="N4715">
        <v>1</v>
      </c>
    </row>
    <row r="4716" hidden="1" spans="1:14">
      <c r="A4716">
        <v>2834</v>
      </c>
      <c r="B4716">
        <v>0</v>
      </c>
      <c r="C4716" t="s">
        <v>128</v>
      </c>
      <c r="D4716">
        <v>0</v>
      </c>
      <c r="E4716">
        <v>-120.675</v>
      </c>
      <c r="F4716">
        <v>37.6911</v>
      </c>
      <c r="G4716">
        <v>44107.11</v>
      </c>
      <c r="H4716" s="1">
        <v>38811</v>
      </c>
      <c r="I4716" s="1">
        <v>38824</v>
      </c>
      <c r="J4716" t="s">
        <v>15</v>
      </c>
      <c r="K4716">
        <v>1</v>
      </c>
      <c r="L4716">
        <v>600</v>
      </c>
      <c r="M4716" t="s">
        <v>16</v>
      </c>
      <c r="N4716">
        <v>1</v>
      </c>
    </row>
    <row r="4717" hidden="1" spans="1:14">
      <c r="A4717">
        <v>2864</v>
      </c>
      <c r="B4717">
        <v>0</v>
      </c>
      <c r="C4717" t="s">
        <v>128</v>
      </c>
      <c r="D4717">
        <v>0</v>
      </c>
      <c r="E4717">
        <v>-70.7895</v>
      </c>
      <c r="F4717">
        <v>43.1639</v>
      </c>
      <c r="G4717">
        <v>42910.99</v>
      </c>
      <c r="H4717" s="1">
        <v>38848</v>
      </c>
      <c r="I4717" s="1">
        <v>38859</v>
      </c>
      <c r="J4717" t="s">
        <v>15</v>
      </c>
      <c r="K4717">
        <v>1</v>
      </c>
      <c r="L4717">
        <v>2500</v>
      </c>
      <c r="M4717" t="s">
        <v>16</v>
      </c>
      <c r="N4717">
        <v>2</v>
      </c>
    </row>
    <row r="4718" hidden="1" spans="1:14">
      <c r="A4718">
        <v>2871</v>
      </c>
      <c r="B4718">
        <v>0</v>
      </c>
      <c r="C4718" t="s">
        <v>128</v>
      </c>
      <c r="D4718">
        <v>0</v>
      </c>
      <c r="E4718">
        <v>-88.5858</v>
      </c>
      <c r="F4718">
        <v>36.9628</v>
      </c>
      <c r="G4718">
        <v>17035.91</v>
      </c>
      <c r="H4718" s="1">
        <v>38862</v>
      </c>
      <c r="I4718" s="1">
        <v>38865</v>
      </c>
      <c r="J4718" t="s">
        <v>15</v>
      </c>
      <c r="K4718">
        <v>6</v>
      </c>
      <c r="L4718">
        <v>0</v>
      </c>
      <c r="M4718" t="s">
        <v>18</v>
      </c>
      <c r="N4718">
        <v>1</v>
      </c>
    </row>
    <row r="4719" hidden="1" spans="1:14">
      <c r="A4719">
        <v>2874</v>
      </c>
      <c r="B4719">
        <v>0</v>
      </c>
      <c r="C4719" t="s">
        <v>128</v>
      </c>
      <c r="D4719">
        <v>0</v>
      </c>
      <c r="E4719">
        <v>-94.7275</v>
      </c>
      <c r="F4719">
        <v>30.1671</v>
      </c>
      <c r="G4719">
        <v>39986.1</v>
      </c>
      <c r="H4719" s="1">
        <v>38865</v>
      </c>
      <c r="I4719" s="1">
        <v>38870</v>
      </c>
      <c r="J4719" t="s">
        <v>15</v>
      </c>
      <c r="K4719">
        <v>0</v>
      </c>
      <c r="L4719">
        <v>0</v>
      </c>
      <c r="M4719" t="s">
        <v>16</v>
      </c>
      <c r="N4719">
        <v>2</v>
      </c>
    </row>
    <row r="4720" hidden="1" spans="1:14">
      <c r="A4720">
        <v>2881</v>
      </c>
      <c r="B4720">
        <v>0</v>
      </c>
      <c r="C4720" t="s">
        <v>128</v>
      </c>
      <c r="D4720">
        <v>0</v>
      </c>
      <c r="E4720">
        <v>-117.219</v>
      </c>
      <c r="F4720">
        <v>40.8331</v>
      </c>
      <c r="G4720">
        <v>85035.01</v>
      </c>
      <c r="H4720" s="1">
        <v>38814</v>
      </c>
      <c r="I4720" s="1">
        <v>38871</v>
      </c>
      <c r="J4720" t="s">
        <v>15</v>
      </c>
      <c r="K4720">
        <v>0</v>
      </c>
      <c r="L4720">
        <v>0</v>
      </c>
      <c r="M4720" t="s">
        <v>16</v>
      </c>
      <c r="N4720">
        <v>1</v>
      </c>
    </row>
    <row r="4721" hidden="1" spans="1:14">
      <c r="A4721">
        <v>2882</v>
      </c>
      <c r="B4721">
        <v>0</v>
      </c>
      <c r="C4721" t="s">
        <v>128</v>
      </c>
      <c r="D4721">
        <v>0</v>
      </c>
      <c r="E4721">
        <v>-159.327</v>
      </c>
      <c r="F4721">
        <v>63.2944</v>
      </c>
      <c r="G4721">
        <v>86843.55</v>
      </c>
      <c r="H4721" s="1">
        <v>38859</v>
      </c>
      <c r="I4721" s="1">
        <v>38866</v>
      </c>
      <c r="J4721" t="s">
        <v>15</v>
      </c>
      <c r="K4721">
        <v>0</v>
      </c>
      <c r="L4721">
        <v>0</v>
      </c>
      <c r="M4721" t="s">
        <v>48</v>
      </c>
      <c r="N4721">
        <v>1</v>
      </c>
    </row>
    <row r="4722" hidden="1" spans="1:14">
      <c r="A4722">
        <v>2892</v>
      </c>
      <c r="B4722">
        <v>0</v>
      </c>
      <c r="C4722" t="s">
        <v>128</v>
      </c>
      <c r="D4722">
        <v>0</v>
      </c>
      <c r="E4722">
        <v>-86.911</v>
      </c>
      <c r="F4722">
        <v>41.4127</v>
      </c>
      <c r="G4722">
        <v>6787.66</v>
      </c>
      <c r="H4722" s="1">
        <v>38890</v>
      </c>
      <c r="I4722" s="1">
        <v>38893</v>
      </c>
      <c r="J4722" t="s">
        <v>15</v>
      </c>
      <c r="K4722">
        <v>2</v>
      </c>
      <c r="L4722">
        <v>0</v>
      </c>
      <c r="M4722" t="s">
        <v>16</v>
      </c>
      <c r="N4722">
        <v>1</v>
      </c>
    </row>
    <row r="4723" hidden="1" spans="1:14">
      <c r="A4723">
        <v>2895</v>
      </c>
      <c r="B4723" t="s">
        <v>1049</v>
      </c>
      <c r="C4723" t="s">
        <v>128</v>
      </c>
      <c r="D4723">
        <v>0</v>
      </c>
      <c r="E4723">
        <v>-75.7832</v>
      </c>
      <c r="F4723">
        <v>40.4133</v>
      </c>
      <c r="G4723">
        <v>122594.39</v>
      </c>
      <c r="H4723" s="1">
        <v>38893</v>
      </c>
      <c r="I4723" s="1">
        <v>38899</v>
      </c>
      <c r="J4723" t="s">
        <v>15</v>
      </c>
      <c r="K4723">
        <v>11</v>
      </c>
      <c r="L4723">
        <v>65000</v>
      </c>
      <c r="M4723" t="s">
        <v>16</v>
      </c>
      <c r="N4723">
        <v>2</v>
      </c>
    </row>
    <row r="4724" hidden="1" spans="1:14">
      <c r="A4724">
        <v>2934</v>
      </c>
      <c r="B4724">
        <v>0</v>
      </c>
      <c r="C4724" t="s">
        <v>128</v>
      </c>
      <c r="D4724">
        <v>0</v>
      </c>
      <c r="E4724">
        <v>-81.0925</v>
      </c>
      <c r="F4724">
        <v>41.5191</v>
      </c>
      <c r="G4724">
        <v>4721.61</v>
      </c>
      <c r="H4724" s="1">
        <v>38925</v>
      </c>
      <c r="I4724" s="1">
        <v>38928</v>
      </c>
      <c r="J4724" t="s">
        <v>15</v>
      </c>
      <c r="K4724">
        <v>1</v>
      </c>
      <c r="L4724">
        <v>600</v>
      </c>
      <c r="M4724" t="s">
        <v>16</v>
      </c>
      <c r="N4724">
        <v>1</v>
      </c>
    </row>
    <row r="4725" hidden="1" spans="1:14">
      <c r="A4725">
        <v>2939</v>
      </c>
      <c r="B4725">
        <v>0</v>
      </c>
      <c r="C4725" t="s">
        <v>128</v>
      </c>
      <c r="D4725" t="s">
        <v>158</v>
      </c>
      <c r="E4725">
        <v>-106.391</v>
      </c>
      <c r="F4725">
        <v>31.7556</v>
      </c>
      <c r="G4725">
        <v>3609.62</v>
      </c>
      <c r="H4725" s="1">
        <v>38925</v>
      </c>
      <c r="I4725" s="1">
        <v>38936</v>
      </c>
      <c r="J4725" t="s">
        <v>15</v>
      </c>
      <c r="K4725">
        <v>1</v>
      </c>
      <c r="L4725">
        <v>5000</v>
      </c>
      <c r="M4725" t="s">
        <v>16</v>
      </c>
      <c r="N4725">
        <v>1</v>
      </c>
    </row>
    <row r="4726" hidden="1" spans="1:14">
      <c r="A4726">
        <v>2953</v>
      </c>
      <c r="B4726">
        <v>0</v>
      </c>
      <c r="C4726" t="s">
        <v>128</v>
      </c>
      <c r="D4726">
        <v>0</v>
      </c>
      <c r="E4726">
        <v>-147.016</v>
      </c>
      <c r="F4726">
        <v>62.4474</v>
      </c>
      <c r="G4726">
        <v>123353.8</v>
      </c>
      <c r="H4726" s="1">
        <v>38948</v>
      </c>
      <c r="I4726" s="1">
        <v>38953</v>
      </c>
      <c r="J4726" t="s">
        <v>15</v>
      </c>
      <c r="K4726">
        <v>0</v>
      </c>
      <c r="L4726">
        <v>150</v>
      </c>
      <c r="M4726" t="s">
        <v>16</v>
      </c>
      <c r="N4726">
        <v>1</v>
      </c>
    </row>
    <row r="4727" hidden="1" spans="1:14">
      <c r="A4727">
        <v>2959</v>
      </c>
      <c r="B4727">
        <v>0</v>
      </c>
      <c r="C4727" t="s">
        <v>128</v>
      </c>
      <c r="D4727">
        <v>0</v>
      </c>
      <c r="E4727">
        <v>-77.8707</v>
      </c>
      <c r="F4727">
        <v>34.744</v>
      </c>
      <c r="G4727">
        <v>4560.17</v>
      </c>
      <c r="H4727" s="1">
        <v>38962</v>
      </c>
      <c r="I4727" s="1">
        <v>38967</v>
      </c>
      <c r="J4727" t="s">
        <v>15</v>
      </c>
      <c r="K4727">
        <v>0</v>
      </c>
      <c r="L4727">
        <v>140</v>
      </c>
      <c r="M4727" t="s">
        <v>103</v>
      </c>
      <c r="N4727">
        <v>1</v>
      </c>
    </row>
    <row r="4728" hidden="1" spans="1:14">
      <c r="A4728">
        <v>2966</v>
      </c>
      <c r="B4728">
        <v>0</v>
      </c>
      <c r="C4728" t="s">
        <v>128</v>
      </c>
      <c r="D4728">
        <v>0</v>
      </c>
      <c r="E4728">
        <v>-87.6162</v>
      </c>
      <c r="F4728">
        <v>37.2109</v>
      </c>
      <c r="G4728">
        <v>146006.3</v>
      </c>
      <c r="H4728" s="1">
        <v>38982</v>
      </c>
      <c r="I4728" s="1">
        <v>38986</v>
      </c>
      <c r="J4728" t="s">
        <v>15</v>
      </c>
      <c r="K4728">
        <v>13</v>
      </c>
      <c r="L4728">
        <v>600</v>
      </c>
      <c r="M4728" t="s">
        <v>16</v>
      </c>
      <c r="N4728">
        <v>1</v>
      </c>
    </row>
    <row r="4729" hidden="1" spans="1:14">
      <c r="A4729">
        <v>2973</v>
      </c>
      <c r="B4729">
        <v>0</v>
      </c>
      <c r="C4729" t="s">
        <v>128</v>
      </c>
      <c r="D4729">
        <v>0</v>
      </c>
      <c r="E4729">
        <v>-145.994</v>
      </c>
      <c r="F4729">
        <v>60.8752</v>
      </c>
      <c r="G4729">
        <v>51559.62</v>
      </c>
      <c r="H4729" s="1">
        <v>38999</v>
      </c>
      <c r="I4729" s="1">
        <v>39004</v>
      </c>
      <c r="J4729" t="s">
        <v>15</v>
      </c>
      <c r="K4729">
        <v>0</v>
      </c>
      <c r="L4729">
        <v>100</v>
      </c>
      <c r="M4729" t="s">
        <v>16</v>
      </c>
      <c r="N4729">
        <v>1</v>
      </c>
    </row>
    <row r="4730" hidden="1" spans="1:14">
      <c r="A4730">
        <v>2975</v>
      </c>
      <c r="B4730">
        <v>0</v>
      </c>
      <c r="C4730" t="s">
        <v>128</v>
      </c>
      <c r="D4730">
        <v>0</v>
      </c>
      <c r="E4730">
        <v>-95.2917</v>
      </c>
      <c r="F4730">
        <v>29.7836</v>
      </c>
      <c r="G4730">
        <v>35644.75</v>
      </c>
      <c r="H4730" s="1">
        <v>39005</v>
      </c>
      <c r="I4730" s="1">
        <v>39022</v>
      </c>
      <c r="J4730" t="s">
        <v>15</v>
      </c>
      <c r="K4730">
        <v>4</v>
      </c>
      <c r="L4730">
        <v>0</v>
      </c>
      <c r="M4730" t="s">
        <v>16</v>
      </c>
      <c r="N4730">
        <v>1</v>
      </c>
    </row>
    <row r="4731" hidden="1" spans="1:14">
      <c r="A4731">
        <v>2990</v>
      </c>
      <c r="B4731">
        <v>0</v>
      </c>
      <c r="C4731" t="s">
        <v>128</v>
      </c>
      <c r="D4731">
        <v>0</v>
      </c>
      <c r="E4731">
        <v>-122.149</v>
      </c>
      <c r="F4731">
        <v>47.8554</v>
      </c>
      <c r="G4731">
        <v>57886.05</v>
      </c>
      <c r="H4731" s="1">
        <v>39026</v>
      </c>
      <c r="I4731" s="1">
        <v>39031</v>
      </c>
      <c r="J4731" t="s">
        <v>15</v>
      </c>
      <c r="K4731">
        <v>2</v>
      </c>
      <c r="L4731">
        <v>1500</v>
      </c>
      <c r="M4731" t="s">
        <v>16</v>
      </c>
      <c r="N4731">
        <v>1</v>
      </c>
    </row>
    <row r="4732" hidden="1" spans="1:14">
      <c r="A4732">
        <v>3020</v>
      </c>
      <c r="B4732">
        <v>0</v>
      </c>
      <c r="C4732" t="s">
        <v>128</v>
      </c>
      <c r="D4732">
        <v>0</v>
      </c>
      <c r="E4732">
        <v>-90.0659</v>
      </c>
      <c r="F4732">
        <v>34.878</v>
      </c>
      <c r="G4732">
        <v>434387.22</v>
      </c>
      <c r="H4732" s="1">
        <v>39097</v>
      </c>
      <c r="I4732" s="1">
        <v>39116</v>
      </c>
      <c r="J4732" t="s">
        <v>15</v>
      </c>
      <c r="K4732">
        <v>24</v>
      </c>
      <c r="L4732">
        <v>0</v>
      </c>
      <c r="M4732" t="s">
        <v>16</v>
      </c>
      <c r="N4732">
        <v>1</v>
      </c>
    </row>
    <row r="4733" hidden="1" spans="1:14">
      <c r="A4733">
        <v>3037</v>
      </c>
      <c r="B4733">
        <v>0</v>
      </c>
      <c r="C4733" t="s">
        <v>128</v>
      </c>
      <c r="D4733">
        <v>0</v>
      </c>
      <c r="E4733">
        <v>-97.9324</v>
      </c>
      <c r="F4733">
        <v>29.8672</v>
      </c>
      <c r="G4733">
        <v>11015.63</v>
      </c>
      <c r="H4733" s="1">
        <v>39152</v>
      </c>
      <c r="I4733" s="1">
        <v>39154</v>
      </c>
      <c r="J4733" t="s">
        <v>15</v>
      </c>
      <c r="K4733">
        <v>2</v>
      </c>
      <c r="L4733">
        <v>0</v>
      </c>
      <c r="M4733" t="s">
        <v>16</v>
      </c>
      <c r="N4733">
        <v>1</v>
      </c>
    </row>
    <row r="4734" hidden="1" spans="1:14">
      <c r="A4734">
        <v>3052</v>
      </c>
      <c r="B4734">
        <v>0</v>
      </c>
      <c r="C4734" t="s">
        <v>128</v>
      </c>
      <c r="D4734">
        <v>0</v>
      </c>
      <c r="E4734">
        <v>-72.189</v>
      </c>
      <c r="F4734">
        <v>42.3423</v>
      </c>
      <c r="G4734">
        <v>109079.09</v>
      </c>
      <c r="H4734" s="1">
        <v>39187</v>
      </c>
      <c r="I4734" s="1">
        <v>39193</v>
      </c>
      <c r="J4734" t="s">
        <v>15</v>
      </c>
      <c r="K4734">
        <v>9</v>
      </c>
      <c r="L4734">
        <v>0</v>
      </c>
      <c r="M4734" t="s">
        <v>16</v>
      </c>
      <c r="N4734">
        <v>1</v>
      </c>
    </row>
    <row r="4735" hidden="1" spans="1:14">
      <c r="A4735">
        <v>3070</v>
      </c>
      <c r="B4735">
        <v>0</v>
      </c>
      <c r="C4735" t="s">
        <v>128</v>
      </c>
      <c r="D4735">
        <v>0</v>
      </c>
      <c r="E4735">
        <v>-95.2382</v>
      </c>
      <c r="F4735">
        <v>40.4342</v>
      </c>
      <c r="G4735">
        <v>642775.91</v>
      </c>
      <c r="H4735" s="1">
        <v>39208</v>
      </c>
      <c r="I4735" s="1">
        <v>39220</v>
      </c>
      <c r="J4735" t="s">
        <v>15</v>
      </c>
      <c r="K4735">
        <v>2</v>
      </c>
      <c r="L4735">
        <v>1000</v>
      </c>
      <c r="M4735" t="s">
        <v>16</v>
      </c>
      <c r="N4735">
        <v>1</v>
      </c>
    </row>
    <row r="4736" hidden="1" spans="1:14">
      <c r="A4736">
        <v>3083</v>
      </c>
      <c r="B4736">
        <v>0</v>
      </c>
      <c r="C4736" t="s">
        <v>128</v>
      </c>
      <c r="D4736">
        <v>0</v>
      </c>
      <c r="E4736">
        <v>-98.6645</v>
      </c>
      <c r="F4736">
        <v>30.2434</v>
      </c>
      <c r="G4736">
        <v>341278.41</v>
      </c>
      <c r="H4736" s="1">
        <v>39226</v>
      </c>
      <c r="I4736" s="1">
        <v>39231</v>
      </c>
      <c r="J4736" t="s">
        <v>15</v>
      </c>
      <c r="K4736">
        <v>6</v>
      </c>
      <c r="L4736">
        <v>100</v>
      </c>
      <c r="M4736" t="s">
        <v>16</v>
      </c>
      <c r="N4736">
        <v>1</v>
      </c>
    </row>
    <row r="4737" hidden="1" spans="1:14">
      <c r="A4737">
        <v>3102</v>
      </c>
      <c r="B4737">
        <v>0</v>
      </c>
      <c r="C4737" t="s">
        <v>128</v>
      </c>
      <c r="D4737">
        <v>0</v>
      </c>
      <c r="E4737">
        <v>-97.3047</v>
      </c>
      <c r="F4737">
        <v>33.4497</v>
      </c>
      <c r="G4737">
        <v>34567.94</v>
      </c>
      <c r="H4737" s="1">
        <v>39250</v>
      </c>
      <c r="I4737" s="1">
        <v>39255</v>
      </c>
      <c r="J4737" t="s">
        <v>15</v>
      </c>
      <c r="K4737">
        <v>10</v>
      </c>
      <c r="L4737">
        <v>750</v>
      </c>
      <c r="M4737" t="s">
        <v>16</v>
      </c>
      <c r="N4737">
        <v>1</v>
      </c>
    </row>
    <row r="4738" hidden="1" spans="1:14">
      <c r="A4738">
        <v>3106</v>
      </c>
      <c r="B4738">
        <v>0</v>
      </c>
      <c r="C4738" t="s">
        <v>128</v>
      </c>
      <c r="D4738">
        <v>0</v>
      </c>
      <c r="E4738">
        <v>-74.9541</v>
      </c>
      <c r="F4738">
        <v>42.2316</v>
      </c>
      <c r="G4738">
        <v>6498.35</v>
      </c>
      <c r="H4738" s="1">
        <v>39252</v>
      </c>
      <c r="I4738" s="1">
        <v>39253</v>
      </c>
      <c r="J4738" t="s">
        <v>15</v>
      </c>
      <c r="K4738">
        <v>2</v>
      </c>
      <c r="L4738">
        <v>120</v>
      </c>
      <c r="M4738" t="s">
        <v>18</v>
      </c>
      <c r="N4738">
        <v>1</v>
      </c>
    </row>
    <row r="4739" hidden="1" spans="1:14">
      <c r="A4739">
        <v>3113</v>
      </c>
      <c r="B4739">
        <v>0</v>
      </c>
      <c r="C4739" t="s">
        <v>128</v>
      </c>
      <c r="D4739">
        <v>0</v>
      </c>
      <c r="E4739">
        <v>-97.1657</v>
      </c>
      <c r="F4739">
        <v>32.8366</v>
      </c>
      <c r="G4739">
        <v>507778.21</v>
      </c>
      <c r="H4739" s="1">
        <v>39259</v>
      </c>
      <c r="I4739" s="1">
        <v>39286</v>
      </c>
      <c r="J4739" t="s">
        <v>15</v>
      </c>
      <c r="K4739">
        <v>8</v>
      </c>
      <c r="L4739">
        <v>5000</v>
      </c>
      <c r="M4739" t="s">
        <v>16</v>
      </c>
      <c r="N4739">
        <v>1.5</v>
      </c>
    </row>
    <row r="4740" hidden="1" spans="1:14">
      <c r="A4740">
        <v>3171</v>
      </c>
      <c r="B4740">
        <v>0</v>
      </c>
      <c r="C4740" t="s">
        <v>128</v>
      </c>
      <c r="D4740">
        <v>0</v>
      </c>
      <c r="E4740">
        <v>-94.6379</v>
      </c>
      <c r="F4740">
        <v>36.8622</v>
      </c>
      <c r="G4740">
        <v>1216616.2</v>
      </c>
      <c r="H4740" s="1">
        <v>39310</v>
      </c>
      <c r="I4740" s="1">
        <v>39321</v>
      </c>
      <c r="J4740" t="s">
        <v>15</v>
      </c>
      <c r="K4740">
        <v>26</v>
      </c>
      <c r="L4740">
        <v>2800</v>
      </c>
      <c r="M4740" t="s">
        <v>16</v>
      </c>
      <c r="N4740">
        <v>1.5</v>
      </c>
    </row>
    <row r="4741" hidden="1" spans="1:14">
      <c r="A4741">
        <v>3236</v>
      </c>
      <c r="B4741">
        <v>0</v>
      </c>
      <c r="C4741" t="s">
        <v>128</v>
      </c>
      <c r="E4741">
        <v>-122.912</v>
      </c>
      <c r="F4741">
        <v>47.091</v>
      </c>
      <c r="G4741">
        <v>41684.03</v>
      </c>
      <c r="H4741" s="1">
        <v>39419</v>
      </c>
      <c r="I4741" s="1">
        <v>39423</v>
      </c>
      <c r="J4741" t="s">
        <v>15</v>
      </c>
      <c r="K4741">
        <v>2</v>
      </c>
      <c r="L4741">
        <v>1100</v>
      </c>
      <c r="M4741" t="s">
        <v>16</v>
      </c>
      <c r="N4741">
        <v>1</v>
      </c>
    </row>
    <row r="4742" hidden="1" spans="1:14">
      <c r="A4742">
        <v>3253</v>
      </c>
      <c r="B4742">
        <v>0</v>
      </c>
      <c r="C4742" t="s">
        <v>128</v>
      </c>
      <c r="D4742">
        <v>0</v>
      </c>
      <c r="E4742">
        <v>-119.197</v>
      </c>
      <c r="F4742">
        <v>39.6308</v>
      </c>
      <c r="G4742">
        <v>551.192</v>
      </c>
      <c r="H4742" s="1">
        <v>39452</v>
      </c>
      <c r="I4742" s="1">
        <v>39456</v>
      </c>
      <c r="J4742" t="s">
        <v>15</v>
      </c>
      <c r="K4742">
        <v>0</v>
      </c>
      <c r="L4742">
        <v>1500</v>
      </c>
      <c r="M4742" t="s">
        <v>25</v>
      </c>
      <c r="N4742">
        <v>1</v>
      </c>
    </row>
    <row r="4743" hidden="1" spans="1:14">
      <c r="A4743">
        <v>3255</v>
      </c>
      <c r="B4743">
        <v>0</v>
      </c>
      <c r="C4743" t="s">
        <v>128</v>
      </c>
      <c r="D4743">
        <v>0</v>
      </c>
      <c r="E4743">
        <v>-86.6978</v>
      </c>
      <c r="F4743">
        <v>40.7767</v>
      </c>
      <c r="G4743">
        <v>102262.86</v>
      </c>
      <c r="H4743" s="1">
        <v>39455</v>
      </c>
      <c r="I4743" s="1">
        <v>39462</v>
      </c>
      <c r="J4743" t="s">
        <v>15</v>
      </c>
      <c r="K4743">
        <v>5</v>
      </c>
      <c r="L4743">
        <v>500</v>
      </c>
      <c r="M4743" t="s">
        <v>38</v>
      </c>
      <c r="N4743">
        <v>1.5</v>
      </c>
    </row>
    <row r="4744" hidden="1" spans="1:14">
      <c r="A4744">
        <v>3268</v>
      </c>
      <c r="B4744">
        <v>0</v>
      </c>
      <c r="C4744" t="s">
        <v>128</v>
      </c>
      <c r="D4744">
        <v>0</v>
      </c>
      <c r="E4744">
        <v>-86.8374</v>
      </c>
      <c r="F4744">
        <v>40.8507</v>
      </c>
      <c r="G4744">
        <v>118976.95</v>
      </c>
      <c r="H4744" s="1">
        <v>39484</v>
      </c>
      <c r="I4744" s="1">
        <v>39490</v>
      </c>
      <c r="J4744" t="s">
        <v>15</v>
      </c>
      <c r="K4744">
        <v>0</v>
      </c>
      <c r="L4744">
        <v>150</v>
      </c>
      <c r="M4744" t="s">
        <v>38</v>
      </c>
      <c r="N4744">
        <v>1.5</v>
      </c>
    </row>
    <row r="4745" hidden="1" spans="1:14">
      <c r="A4745">
        <v>3285</v>
      </c>
      <c r="B4745">
        <v>0</v>
      </c>
      <c r="C4745" t="s">
        <v>128</v>
      </c>
      <c r="D4745">
        <v>0</v>
      </c>
      <c r="E4745">
        <v>-89.1522</v>
      </c>
      <c r="F4745">
        <v>36.2266</v>
      </c>
      <c r="G4745">
        <v>928709.92</v>
      </c>
      <c r="H4745" s="1">
        <v>39524</v>
      </c>
      <c r="I4745" s="1">
        <v>39570</v>
      </c>
      <c r="J4745" t="s">
        <v>15</v>
      </c>
      <c r="K4745">
        <v>18</v>
      </c>
      <c r="L4745">
        <v>1000</v>
      </c>
      <c r="M4745" t="s">
        <v>38</v>
      </c>
      <c r="N4745">
        <v>1.5</v>
      </c>
    </row>
    <row r="4746" hidden="1" spans="1:14">
      <c r="A4746">
        <v>3300</v>
      </c>
      <c r="B4746">
        <v>0</v>
      </c>
      <c r="C4746" t="s">
        <v>128</v>
      </c>
      <c r="E4746">
        <v>-67.3445</v>
      </c>
      <c r="F4746">
        <v>46.3538</v>
      </c>
      <c r="G4746">
        <v>25489.82</v>
      </c>
      <c r="H4746" s="1">
        <v>39563</v>
      </c>
      <c r="I4746" s="1">
        <v>39575</v>
      </c>
      <c r="J4746" t="s">
        <v>15</v>
      </c>
      <c r="K4746">
        <v>0</v>
      </c>
      <c r="L4746">
        <v>2500</v>
      </c>
      <c r="M4746" t="s">
        <v>38</v>
      </c>
      <c r="N4746">
        <v>1.5</v>
      </c>
    </row>
    <row r="4747" hidden="1" spans="1:14">
      <c r="A4747">
        <v>3313</v>
      </c>
      <c r="C4747" t="s">
        <v>128</v>
      </c>
      <c r="D4747">
        <v>0</v>
      </c>
      <c r="E4747">
        <v>-88.4442</v>
      </c>
      <c r="F4747">
        <v>36.9808</v>
      </c>
      <c r="G4747">
        <v>337703.28</v>
      </c>
      <c r="H4747" s="1">
        <v>39592</v>
      </c>
      <c r="I4747" s="1">
        <v>39604</v>
      </c>
      <c r="J4747" t="s">
        <v>15</v>
      </c>
      <c r="K4747">
        <v>13</v>
      </c>
      <c r="L4747">
        <v>0</v>
      </c>
      <c r="M4747" t="s">
        <v>16</v>
      </c>
      <c r="N4747">
        <v>1</v>
      </c>
    </row>
    <row r="4748" hidden="1" spans="1:14">
      <c r="A4748">
        <v>3317</v>
      </c>
      <c r="C4748" t="s">
        <v>128</v>
      </c>
      <c r="D4748">
        <v>0</v>
      </c>
      <c r="E4748">
        <v>-92.2335</v>
      </c>
      <c r="F4748">
        <v>39.8226</v>
      </c>
      <c r="G4748">
        <v>759750.43</v>
      </c>
      <c r="H4748" s="1">
        <v>39604</v>
      </c>
      <c r="I4748" s="1">
        <v>39632</v>
      </c>
      <c r="J4748" t="s">
        <v>15</v>
      </c>
      <c r="K4748">
        <v>0</v>
      </c>
      <c r="L4748">
        <v>38000</v>
      </c>
      <c r="M4748" t="s">
        <v>16</v>
      </c>
      <c r="N4748">
        <v>2</v>
      </c>
    </row>
    <row r="4749" hidden="1" spans="1:14">
      <c r="A4749">
        <v>3340</v>
      </c>
      <c r="B4749">
        <v>0</v>
      </c>
      <c r="C4749" t="s">
        <v>128</v>
      </c>
      <c r="D4749">
        <v>0</v>
      </c>
      <c r="E4749">
        <v>-151.02</v>
      </c>
      <c r="F4749">
        <v>64.2769</v>
      </c>
      <c r="G4749">
        <v>163705.55</v>
      </c>
      <c r="H4749" s="1">
        <v>39659</v>
      </c>
      <c r="I4749" s="1">
        <v>39671</v>
      </c>
      <c r="J4749" t="s">
        <v>15</v>
      </c>
      <c r="K4749">
        <v>0</v>
      </c>
      <c r="L4749">
        <v>0</v>
      </c>
      <c r="M4749" t="s">
        <v>661</v>
      </c>
      <c r="N4749">
        <v>2</v>
      </c>
    </row>
    <row r="4750" hidden="1" spans="1:14">
      <c r="A4750">
        <v>3357</v>
      </c>
      <c r="B4750">
        <v>0</v>
      </c>
      <c r="C4750" t="s">
        <v>128</v>
      </c>
      <c r="D4750">
        <v>0</v>
      </c>
      <c r="E4750">
        <v>-71.4519</v>
      </c>
      <c r="F4750">
        <v>44.3352</v>
      </c>
      <c r="G4750">
        <v>53271.24</v>
      </c>
      <c r="H4750" s="1">
        <v>39668</v>
      </c>
      <c r="I4750" s="1">
        <v>39671</v>
      </c>
      <c r="J4750" t="s">
        <v>15</v>
      </c>
      <c r="K4750">
        <v>1</v>
      </c>
      <c r="L4750">
        <v>0</v>
      </c>
      <c r="M4750" t="s">
        <v>64</v>
      </c>
      <c r="N4750">
        <v>2</v>
      </c>
    </row>
    <row r="4751" hidden="1" spans="1:14">
      <c r="A4751">
        <v>3358</v>
      </c>
      <c r="B4751">
        <v>0</v>
      </c>
      <c r="C4751" t="s">
        <v>128</v>
      </c>
      <c r="D4751">
        <v>0</v>
      </c>
      <c r="E4751">
        <v>-96.3204</v>
      </c>
      <c r="F4751">
        <v>37.8284</v>
      </c>
      <c r="G4751">
        <v>136109.5</v>
      </c>
      <c r="H4751" s="1">
        <v>39669</v>
      </c>
      <c r="I4751" s="1">
        <v>39671</v>
      </c>
      <c r="J4751" t="s">
        <v>15</v>
      </c>
      <c r="K4751">
        <v>0</v>
      </c>
      <c r="L4751">
        <v>0</v>
      </c>
      <c r="M4751" t="s">
        <v>64</v>
      </c>
      <c r="N4751">
        <v>1</v>
      </c>
    </row>
    <row r="4752" hidden="1" spans="1:14">
      <c r="A4752">
        <v>3363</v>
      </c>
      <c r="B4752">
        <v>0</v>
      </c>
      <c r="C4752" t="s">
        <v>128</v>
      </c>
      <c r="D4752">
        <v>0</v>
      </c>
      <c r="E4752">
        <v>-112.735</v>
      </c>
      <c r="F4752">
        <v>36.2538</v>
      </c>
      <c r="G4752">
        <v>385.02</v>
      </c>
      <c r="H4752" s="1">
        <v>39677</v>
      </c>
      <c r="I4752" s="1">
        <v>39678</v>
      </c>
      <c r="J4752" t="s">
        <v>15</v>
      </c>
      <c r="K4752">
        <v>0</v>
      </c>
      <c r="L4752">
        <v>250</v>
      </c>
      <c r="M4752" t="s">
        <v>1050</v>
      </c>
      <c r="N4752">
        <v>1.5</v>
      </c>
    </row>
    <row r="4753" hidden="1" spans="1:14">
      <c r="A4753">
        <v>3364</v>
      </c>
      <c r="B4753">
        <v>0</v>
      </c>
      <c r="C4753" t="s">
        <v>128</v>
      </c>
      <c r="E4753">
        <v>-106.02</v>
      </c>
      <c r="F4753">
        <v>31.4889</v>
      </c>
      <c r="G4753">
        <v>4187.8</v>
      </c>
      <c r="H4753" s="1">
        <v>39677</v>
      </c>
      <c r="I4753" s="1">
        <v>39680</v>
      </c>
      <c r="J4753" t="s">
        <v>15</v>
      </c>
      <c r="K4753">
        <v>0</v>
      </c>
      <c r="L4753">
        <v>4000</v>
      </c>
      <c r="M4753" t="s">
        <v>661</v>
      </c>
      <c r="N4753">
        <v>1.5</v>
      </c>
    </row>
    <row r="4754" hidden="1" spans="1:14">
      <c r="A4754">
        <v>3366</v>
      </c>
      <c r="B4754" t="s">
        <v>1051</v>
      </c>
      <c r="C4754" t="s">
        <v>128</v>
      </c>
      <c r="D4754">
        <v>0</v>
      </c>
      <c r="E4754">
        <v>-82.8587</v>
      </c>
      <c r="F4754">
        <v>29.657</v>
      </c>
      <c r="G4754">
        <v>98478.89</v>
      </c>
      <c r="H4754" s="1">
        <v>39680</v>
      </c>
      <c r="I4754" s="1">
        <v>39688</v>
      </c>
      <c r="J4754" t="s">
        <v>15</v>
      </c>
      <c r="K4754">
        <v>12</v>
      </c>
      <c r="L4754">
        <v>400</v>
      </c>
      <c r="M4754" t="s">
        <v>367</v>
      </c>
      <c r="N4754">
        <v>2</v>
      </c>
    </row>
    <row r="4755" hidden="1" spans="1:14">
      <c r="A4755">
        <v>3370</v>
      </c>
      <c r="B4755">
        <v>0</v>
      </c>
      <c r="C4755" t="s">
        <v>128</v>
      </c>
      <c r="D4755">
        <v>0</v>
      </c>
      <c r="E4755">
        <v>-92.493</v>
      </c>
      <c r="F4755">
        <v>31.3413</v>
      </c>
      <c r="G4755">
        <v>163438.25</v>
      </c>
      <c r="H4755" s="1">
        <v>39692</v>
      </c>
      <c r="I4755" s="1">
        <v>39693</v>
      </c>
      <c r="J4755" t="s">
        <v>15</v>
      </c>
      <c r="K4755">
        <v>0</v>
      </c>
      <c r="L4755">
        <v>0</v>
      </c>
      <c r="M4755" t="s">
        <v>1052</v>
      </c>
      <c r="N4755">
        <v>1.5</v>
      </c>
    </row>
    <row r="4756" hidden="1" spans="1:14">
      <c r="A4756">
        <v>3379</v>
      </c>
      <c r="B4756">
        <v>0</v>
      </c>
      <c r="C4756" t="s">
        <v>128</v>
      </c>
      <c r="D4756">
        <v>0</v>
      </c>
      <c r="E4756">
        <v>-90.4534</v>
      </c>
      <c r="F4756">
        <v>35.0542</v>
      </c>
      <c r="G4756">
        <v>652500.87</v>
      </c>
      <c r="H4756" s="1">
        <v>39703</v>
      </c>
      <c r="I4756" s="1">
        <v>39707</v>
      </c>
      <c r="J4756" t="s">
        <v>15</v>
      </c>
      <c r="K4756">
        <v>8</v>
      </c>
      <c r="L4756">
        <v>200000</v>
      </c>
      <c r="M4756" t="s">
        <v>459</v>
      </c>
      <c r="N4756">
        <v>1.5</v>
      </c>
    </row>
    <row r="4757" hidden="1" spans="1:14">
      <c r="A4757">
        <v>3403</v>
      </c>
      <c r="B4757" t="s">
        <v>1053</v>
      </c>
      <c r="C4757" t="s">
        <v>128</v>
      </c>
      <c r="D4757">
        <v>0</v>
      </c>
      <c r="E4757">
        <v>-122.774</v>
      </c>
      <c r="F4757">
        <v>47.0143</v>
      </c>
      <c r="G4757">
        <v>75156.68</v>
      </c>
      <c r="H4757" s="1">
        <v>39758</v>
      </c>
      <c r="I4757" s="1">
        <v>39764</v>
      </c>
      <c r="J4757" t="s">
        <v>15</v>
      </c>
      <c r="K4757">
        <v>2</v>
      </c>
      <c r="L4757">
        <v>0</v>
      </c>
      <c r="M4757" t="s">
        <v>49</v>
      </c>
      <c r="N4757">
        <v>1.5</v>
      </c>
    </row>
    <row r="4758" hidden="1" spans="1:14">
      <c r="A4758">
        <v>3419</v>
      </c>
      <c r="B4758">
        <v>0</v>
      </c>
      <c r="C4758" t="s">
        <v>128</v>
      </c>
      <c r="D4758">
        <v>0</v>
      </c>
      <c r="E4758">
        <v>-155.457</v>
      </c>
      <c r="F4758">
        <v>19.6228</v>
      </c>
      <c r="G4758">
        <v>4904.87</v>
      </c>
      <c r="H4758" s="1">
        <v>39793</v>
      </c>
      <c r="I4758" s="1">
        <v>39797</v>
      </c>
      <c r="J4758" t="s">
        <v>15</v>
      </c>
      <c r="K4758">
        <v>0</v>
      </c>
      <c r="L4758">
        <v>0</v>
      </c>
      <c r="M4758" t="s">
        <v>49</v>
      </c>
      <c r="N4758">
        <v>1</v>
      </c>
    </row>
    <row r="4759" hidden="1" spans="1:14">
      <c r="A4759">
        <v>3423</v>
      </c>
      <c r="B4759">
        <v>0</v>
      </c>
      <c r="C4759" t="s">
        <v>128</v>
      </c>
      <c r="D4759">
        <v>0</v>
      </c>
      <c r="E4759">
        <v>-89.4584</v>
      </c>
      <c r="F4759">
        <v>41.0441</v>
      </c>
      <c r="G4759">
        <v>313350.84</v>
      </c>
      <c r="H4759" s="1">
        <v>39792</v>
      </c>
      <c r="I4759" s="1">
        <v>39799</v>
      </c>
      <c r="J4759" t="s">
        <v>15</v>
      </c>
      <c r="K4759">
        <v>0</v>
      </c>
      <c r="L4759">
        <v>0</v>
      </c>
      <c r="M4759" t="s">
        <v>49</v>
      </c>
      <c r="N4759">
        <v>1</v>
      </c>
    </row>
    <row r="4760" hidden="1" spans="1:14">
      <c r="A4760">
        <v>3424</v>
      </c>
      <c r="B4760">
        <v>0</v>
      </c>
      <c r="C4760" t="s">
        <v>128</v>
      </c>
      <c r="D4760">
        <v>0</v>
      </c>
      <c r="E4760">
        <v>-123.524</v>
      </c>
      <c r="F4760">
        <v>44.6568</v>
      </c>
      <c r="G4760">
        <v>66257.06</v>
      </c>
      <c r="H4760" s="1">
        <v>39808</v>
      </c>
      <c r="I4760" s="1">
        <v>39810</v>
      </c>
      <c r="J4760" t="s">
        <v>15</v>
      </c>
      <c r="K4760">
        <v>0</v>
      </c>
      <c r="L4760">
        <v>0</v>
      </c>
      <c r="M4760" t="s">
        <v>39</v>
      </c>
      <c r="N4760">
        <v>1</v>
      </c>
    </row>
    <row r="4761" hidden="1" spans="1:14">
      <c r="A4761">
        <v>3430</v>
      </c>
      <c r="B4761">
        <v>0</v>
      </c>
      <c r="C4761" t="s">
        <v>128</v>
      </c>
      <c r="E4761">
        <v>-123.769</v>
      </c>
      <c r="F4761">
        <v>42.8402</v>
      </c>
      <c r="G4761">
        <v>35113.3</v>
      </c>
      <c r="H4761" s="1">
        <v>39811</v>
      </c>
      <c r="I4761" s="1">
        <v>39832</v>
      </c>
      <c r="J4761" t="s">
        <v>15</v>
      </c>
      <c r="K4761">
        <v>0</v>
      </c>
      <c r="L4761">
        <v>10000</v>
      </c>
      <c r="M4761" t="s">
        <v>49</v>
      </c>
      <c r="N4761">
        <v>1</v>
      </c>
    </row>
    <row r="4762" hidden="1" spans="1:14">
      <c r="A4762">
        <v>3449</v>
      </c>
      <c r="B4762">
        <v>0</v>
      </c>
      <c r="C4762" t="s">
        <v>128</v>
      </c>
      <c r="D4762">
        <v>0</v>
      </c>
      <c r="E4762">
        <v>-122.912</v>
      </c>
      <c r="F4762">
        <v>46.9122</v>
      </c>
      <c r="G4762">
        <v>47811.61</v>
      </c>
      <c r="H4762" s="1">
        <v>39853</v>
      </c>
      <c r="I4762" s="1">
        <v>39854</v>
      </c>
      <c r="J4762" t="s">
        <v>15</v>
      </c>
      <c r="K4762">
        <v>9</v>
      </c>
      <c r="L4762">
        <v>0</v>
      </c>
      <c r="M4762" t="s">
        <v>1054</v>
      </c>
      <c r="N4762">
        <v>1.5</v>
      </c>
    </row>
    <row r="4763" hidden="1" spans="1:14">
      <c r="A4763">
        <v>3460</v>
      </c>
      <c r="B4763">
        <v>0</v>
      </c>
      <c r="C4763" t="s">
        <v>128</v>
      </c>
      <c r="D4763">
        <v>0</v>
      </c>
      <c r="E4763">
        <v>-91.0096</v>
      </c>
      <c r="F4763">
        <v>41.6768</v>
      </c>
      <c r="G4763">
        <v>94116.41</v>
      </c>
      <c r="H4763" s="1">
        <v>39872</v>
      </c>
      <c r="I4763" s="1">
        <v>39875</v>
      </c>
      <c r="J4763" t="s">
        <v>15</v>
      </c>
      <c r="K4763">
        <v>5</v>
      </c>
      <c r="L4763">
        <v>300</v>
      </c>
      <c r="M4763" t="s">
        <v>49</v>
      </c>
      <c r="N4763">
        <v>1</v>
      </c>
    </row>
    <row r="4764" hidden="1" spans="1:14">
      <c r="A4764">
        <v>3464</v>
      </c>
      <c r="B4764">
        <v>0</v>
      </c>
      <c r="C4764" t="s">
        <v>128</v>
      </c>
      <c r="D4764">
        <v>0</v>
      </c>
      <c r="E4764">
        <v>-97.0308</v>
      </c>
      <c r="F4764">
        <v>48.2491</v>
      </c>
      <c r="G4764">
        <v>39742.02</v>
      </c>
      <c r="H4764" s="1">
        <v>39889</v>
      </c>
      <c r="I4764" s="1">
        <v>39891</v>
      </c>
      <c r="J4764" t="s">
        <v>15</v>
      </c>
      <c r="K4764">
        <v>1</v>
      </c>
      <c r="L4764">
        <v>330</v>
      </c>
      <c r="M4764" t="s">
        <v>49</v>
      </c>
      <c r="N4764">
        <v>1</v>
      </c>
    </row>
    <row r="4765" hidden="1" spans="1:14">
      <c r="A4765">
        <v>3469</v>
      </c>
      <c r="B4765">
        <v>0</v>
      </c>
      <c r="C4765" t="s">
        <v>128</v>
      </c>
      <c r="D4765">
        <v>0</v>
      </c>
      <c r="E4765">
        <v>-85.2333</v>
      </c>
      <c r="F4765">
        <v>30.8386</v>
      </c>
      <c r="G4765">
        <v>82061.7</v>
      </c>
      <c r="H4765" s="1">
        <v>39902</v>
      </c>
      <c r="I4765" s="1">
        <v>39903</v>
      </c>
      <c r="J4765" t="s">
        <v>15</v>
      </c>
      <c r="K4765">
        <v>0</v>
      </c>
      <c r="L4765">
        <v>0</v>
      </c>
      <c r="M4765" t="s">
        <v>49</v>
      </c>
      <c r="N4765">
        <v>1.5</v>
      </c>
    </row>
    <row r="4766" hidden="1" spans="1:14">
      <c r="A4766">
        <v>3474</v>
      </c>
      <c r="B4766">
        <v>0</v>
      </c>
      <c r="C4766" t="s">
        <v>128</v>
      </c>
      <c r="D4766">
        <v>0</v>
      </c>
      <c r="E4766">
        <v>-95.5153</v>
      </c>
      <c r="F4766">
        <v>29.6701</v>
      </c>
      <c r="G4766">
        <v>6812.65</v>
      </c>
      <c r="H4766" s="1">
        <v>39920</v>
      </c>
      <c r="I4766" s="1">
        <v>39930</v>
      </c>
      <c r="J4766" t="s">
        <v>15</v>
      </c>
      <c r="K4766">
        <v>0</v>
      </c>
      <c r="L4766">
        <v>20000</v>
      </c>
      <c r="M4766" t="s">
        <v>49</v>
      </c>
      <c r="N4766">
        <v>1</v>
      </c>
    </row>
    <row r="4767" hidden="1" spans="1:14">
      <c r="A4767">
        <v>3476</v>
      </c>
      <c r="B4767">
        <v>0</v>
      </c>
      <c r="C4767" t="s">
        <v>128</v>
      </c>
      <c r="D4767">
        <v>0</v>
      </c>
      <c r="E4767">
        <v>-142.302</v>
      </c>
      <c r="F4767">
        <v>65.4351</v>
      </c>
      <c r="G4767">
        <v>484756.54</v>
      </c>
      <c r="H4767" s="1">
        <v>39925</v>
      </c>
      <c r="I4767" s="1">
        <v>39947</v>
      </c>
      <c r="J4767" t="s">
        <v>15</v>
      </c>
      <c r="K4767">
        <v>39</v>
      </c>
      <c r="L4767">
        <v>408000</v>
      </c>
      <c r="M4767" t="s">
        <v>49</v>
      </c>
      <c r="N4767">
        <v>2</v>
      </c>
    </row>
    <row r="4768" hidden="1" spans="1:14">
      <c r="A4768">
        <v>3478</v>
      </c>
      <c r="B4768">
        <v>0</v>
      </c>
      <c r="C4768" t="s">
        <v>128</v>
      </c>
      <c r="D4768">
        <v>0</v>
      </c>
      <c r="E4768">
        <v>-81.2838</v>
      </c>
      <c r="F4768">
        <v>37.6558</v>
      </c>
      <c r="G4768">
        <v>16459.25</v>
      </c>
      <c r="H4768" s="1">
        <v>39936</v>
      </c>
      <c r="I4768" s="1">
        <v>39941</v>
      </c>
      <c r="J4768" t="s">
        <v>15</v>
      </c>
      <c r="K4768">
        <v>47</v>
      </c>
      <c r="L4768">
        <v>65000</v>
      </c>
      <c r="M4768" t="s">
        <v>762</v>
      </c>
      <c r="N4768">
        <v>1.5</v>
      </c>
    </row>
    <row r="4769" hidden="1" spans="1:14">
      <c r="A4769">
        <v>3484</v>
      </c>
      <c r="B4769">
        <v>0</v>
      </c>
      <c r="C4769" t="s">
        <v>128</v>
      </c>
      <c r="D4769">
        <v>0</v>
      </c>
      <c r="E4769">
        <v>-81.2123</v>
      </c>
      <c r="F4769">
        <v>28.9812</v>
      </c>
      <c r="G4769">
        <v>13738.76</v>
      </c>
      <c r="H4769" s="1">
        <v>39948</v>
      </c>
      <c r="I4769" s="1">
        <v>39954</v>
      </c>
      <c r="J4769" t="s">
        <v>15</v>
      </c>
      <c r="K4769">
        <v>21</v>
      </c>
      <c r="L4769">
        <v>0</v>
      </c>
      <c r="M4769" t="s">
        <v>49</v>
      </c>
      <c r="N4769">
        <v>1.5</v>
      </c>
    </row>
    <row r="4770" hidden="1" spans="1:14">
      <c r="A4770">
        <v>3488</v>
      </c>
      <c r="B4770">
        <v>0</v>
      </c>
      <c r="C4770" t="s">
        <v>128</v>
      </c>
      <c r="D4770">
        <v>0</v>
      </c>
      <c r="E4770">
        <v>-84.5801</v>
      </c>
      <c r="F4770">
        <v>42.2942</v>
      </c>
      <c r="G4770">
        <v>33319.22</v>
      </c>
      <c r="H4770" s="1">
        <v>39974</v>
      </c>
      <c r="I4770" s="1">
        <v>39976</v>
      </c>
      <c r="J4770" t="s">
        <v>15</v>
      </c>
      <c r="K4770">
        <v>18</v>
      </c>
      <c r="L4770">
        <v>0</v>
      </c>
      <c r="M4770" t="s">
        <v>49</v>
      </c>
      <c r="N4770">
        <v>1</v>
      </c>
    </row>
    <row r="4771" hidden="1" spans="1:14">
      <c r="A4771">
        <v>3525</v>
      </c>
      <c r="B4771">
        <v>0</v>
      </c>
      <c r="C4771" t="s">
        <v>128</v>
      </c>
      <c r="D4771">
        <v>0</v>
      </c>
      <c r="E4771">
        <v>-85.6925</v>
      </c>
      <c r="F4771">
        <v>37.0741</v>
      </c>
      <c r="G4771">
        <v>6534.85</v>
      </c>
      <c r="H4771" s="1">
        <v>40029</v>
      </c>
      <c r="I4771" s="1">
        <v>40030</v>
      </c>
      <c r="J4771">
        <v>0</v>
      </c>
      <c r="K4771">
        <v>0</v>
      </c>
      <c r="L4771">
        <v>0</v>
      </c>
      <c r="M4771" t="s">
        <v>52</v>
      </c>
      <c r="N4771">
        <v>1</v>
      </c>
    </row>
    <row r="4772" hidden="1" spans="1:14">
      <c r="A4772">
        <v>3544</v>
      </c>
      <c r="B4772" t="s">
        <v>1055</v>
      </c>
      <c r="C4772" t="s">
        <v>128</v>
      </c>
      <c r="D4772">
        <v>0</v>
      </c>
      <c r="E4772">
        <v>-84.8404</v>
      </c>
      <c r="F4772">
        <v>34.3646</v>
      </c>
      <c r="G4772">
        <v>225395.01</v>
      </c>
      <c r="H4772" s="1">
        <v>40077</v>
      </c>
      <c r="I4772" s="1">
        <v>40084</v>
      </c>
      <c r="J4772">
        <v>0</v>
      </c>
      <c r="K4772">
        <v>8</v>
      </c>
      <c r="L4772">
        <v>220</v>
      </c>
      <c r="M4772" t="s">
        <v>49</v>
      </c>
      <c r="N4772">
        <v>1.5</v>
      </c>
    </row>
    <row r="4773" hidden="1" spans="1:14">
      <c r="A4773">
        <v>3561</v>
      </c>
      <c r="B4773">
        <v>0</v>
      </c>
      <c r="C4773" t="s">
        <v>128</v>
      </c>
      <c r="E4773">
        <v>-3.12416</v>
      </c>
      <c r="F4773">
        <v>55.6621</v>
      </c>
      <c r="G4773">
        <v>14193.55</v>
      </c>
      <c r="H4773" s="1">
        <v>40118</v>
      </c>
      <c r="I4773" s="1">
        <v>40120</v>
      </c>
      <c r="J4773">
        <v>0</v>
      </c>
      <c r="K4773">
        <v>0</v>
      </c>
      <c r="L4773">
        <v>0</v>
      </c>
      <c r="M4773" t="s">
        <v>49</v>
      </c>
      <c r="N4773">
        <v>1</v>
      </c>
    </row>
    <row r="4774" hidden="1" spans="1:14">
      <c r="A4774">
        <v>3567</v>
      </c>
      <c r="B4774">
        <v>0</v>
      </c>
      <c r="C4774" t="s">
        <v>128</v>
      </c>
      <c r="D4774">
        <v>0</v>
      </c>
      <c r="E4774">
        <v>-83.7465</v>
      </c>
      <c r="F4774">
        <v>35.1595</v>
      </c>
      <c r="G4774">
        <v>468142.06</v>
      </c>
      <c r="H4774" s="1">
        <v>40127</v>
      </c>
      <c r="I4774" s="1">
        <v>40130</v>
      </c>
      <c r="J4774">
        <v>0</v>
      </c>
      <c r="K4774">
        <v>0</v>
      </c>
      <c r="L4774">
        <v>0</v>
      </c>
      <c r="M4774" t="s">
        <v>1056</v>
      </c>
      <c r="N4774">
        <v>1</v>
      </c>
    </row>
    <row r="4775" hidden="1" spans="1:14">
      <c r="A4775">
        <v>3580</v>
      </c>
      <c r="B4775">
        <v>0</v>
      </c>
      <c r="C4775" t="s">
        <v>128</v>
      </c>
      <c r="D4775">
        <v>0</v>
      </c>
      <c r="E4775">
        <v>-86.4816</v>
      </c>
      <c r="F4775">
        <v>32.4653</v>
      </c>
      <c r="G4775">
        <v>314990.21</v>
      </c>
      <c r="H4775" s="1">
        <v>40159</v>
      </c>
      <c r="I4775" s="1">
        <v>40162</v>
      </c>
      <c r="J4775">
        <v>0</v>
      </c>
      <c r="K4775">
        <v>0</v>
      </c>
      <c r="L4775">
        <v>0</v>
      </c>
      <c r="M4775" t="s">
        <v>49</v>
      </c>
      <c r="N4775">
        <v>1</v>
      </c>
    </row>
    <row r="4776" hidden="1" spans="1:14">
      <c r="A4776">
        <v>3595</v>
      </c>
      <c r="B4776">
        <v>0</v>
      </c>
      <c r="C4776" t="s">
        <v>128</v>
      </c>
      <c r="E4776">
        <v>-121.527</v>
      </c>
      <c r="F4776">
        <v>37.4251</v>
      </c>
      <c r="G4776">
        <v>103982.65</v>
      </c>
      <c r="H4776" s="1">
        <v>40196</v>
      </c>
      <c r="I4776" s="1">
        <v>40200</v>
      </c>
      <c r="J4776">
        <v>0</v>
      </c>
      <c r="K4776">
        <v>3</v>
      </c>
      <c r="L4776">
        <v>0</v>
      </c>
      <c r="M4776" t="s">
        <v>52</v>
      </c>
      <c r="N4776">
        <v>1.5</v>
      </c>
    </row>
    <row r="4777" hidden="1" spans="1:14">
      <c r="A4777">
        <v>3622</v>
      </c>
      <c r="B4777">
        <v>0</v>
      </c>
      <c r="C4777" t="s">
        <v>128</v>
      </c>
      <c r="D4777">
        <v>0</v>
      </c>
      <c r="E4777">
        <v>-86.3795</v>
      </c>
      <c r="F4777">
        <v>32.8939</v>
      </c>
      <c r="G4777">
        <v>48982.93</v>
      </c>
      <c r="H4777" s="1">
        <v>40247</v>
      </c>
      <c r="I4777" s="1">
        <v>40254</v>
      </c>
      <c r="J4777">
        <v>0</v>
      </c>
      <c r="K4777">
        <v>0</v>
      </c>
      <c r="L4777">
        <v>0</v>
      </c>
      <c r="M4777" t="s">
        <v>49</v>
      </c>
      <c r="N4777">
        <v>1</v>
      </c>
    </row>
    <row r="4778" hidden="1" spans="1:14">
      <c r="A4778">
        <v>3625</v>
      </c>
      <c r="B4778">
        <v>0</v>
      </c>
      <c r="C4778" t="s">
        <v>128</v>
      </c>
      <c r="D4778">
        <v>0</v>
      </c>
      <c r="E4778">
        <v>-78.1191</v>
      </c>
      <c r="F4778">
        <v>41.3644</v>
      </c>
      <c r="G4778">
        <v>1015176.36</v>
      </c>
      <c r="H4778" s="1">
        <v>40247</v>
      </c>
      <c r="I4778" s="1">
        <v>40261</v>
      </c>
      <c r="J4778">
        <v>0</v>
      </c>
      <c r="K4778">
        <v>0</v>
      </c>
      <c r="L4778">
        <v>0</v>
      </c>
      <c r="M4778" t="s">
        <v>593</v>
      </c>
      <c r="N4778">
        <v>1</v>
      </c>
    </row>
    <row r="4779" hidden="1" spans="1:14">
      <c r="A4779">
        <v>3629</v>
      </c>
      <c r="B4779">
        <v>0</v>
      </c>
      <c r="C4779" t="s">
        <v>128</v>
      </c>
      <c r="D4779">
        <v>0</v>
      </c>
      <c r="E4779">
        <v>-74.873</v>
      </c>
      <c r="F4779">
        <v>39.4866</v>
      </c>
      <c r="G4779">
        <v>240301.51</v>
      </c>
      <c r="H4779" s="1">
        <v>40264</v>
      </c>
      <c r="I4779" s="1">
        <v>40268</v>
      </c>
      <c r="J4779">
        <v>0</v>
      </c>
      <c r="K4779">
        <v>0</v>
      </c>
      <c r="L4779">
        <v>0</v>
      </c>
      <c r="M4779" t="s">
        <v>49</v>
      </c>
      <c r="N4779">
        <v>2</v>
      </c>
    </row>
    <row r="4780" hidden="1" spans="1:14">
      <c r="A4780">
        <v>3641</v>
      </c>
      <c r="B4780">
        <v>0</v>
      </c>
      <c r="C4780" t="s">
        <v>128</v>
      </c>
      <c r="D4780">
        <v>0</v>
      </c>
      <c r="E4780">
        <v>-87.2776</v>
      </c>
      <c r="F4780">
        <v>36.0678</v>
      </c>
      <c r="G4780">
        <v>79123.97</v>
      </c>
      <c r="H4780" s="1">
        <v>40299</v>
      </c>
      <c r="I4780" s="1">
        <v>40302</v>
      </c>
      <c r="J4780">
        <v>0</v>
      </c>
      <c r="K4780">
        <v>30</v>
      </c>
      <c r="L4780">
        <v>8000</v>
      </c>
      <c r="M4780" t="s">
        <v>49</v>
      </c>
      <c r="N4780">
        <v>1</v>
      </c>
    </row>
    <row r="4781" hidden="1" spans="1:14">
      <c r="A4781">
        <v>3659</v>
      </c>
      <c r="B4781">
        <v>0</v>
      </c>
      <c r="C4781" t="s">
        <v>128</v>
      </c>
      <c r="D4781">
        <v>0</v>
      </c>
      <c r="E4781">
        <v>-94.0948</v>
      </c>
      <c r="F4781">
        <v>34.5778</v>
      </c>
      <c r="G4781">
        <v>12234.56</v>
      </c>
      <c r="H4781" s="1">
        <v>40340</v>
      </c>
      <c r="I4781" s="1">
        <v>40340</v>
      </c>
      <c r="J4781">
        <v>0</v>
      </c>
      <c r="K4781">
        <v>20</v>
      </c>
      <c r="L4781">
        <v>0</v>
      </c>
      <c r="M4781" t="s">
        <v>52</v>
      </c>
      <c r="N4781">
        <v>2</v>
      </c>
    </row>
    <row r="4782" hidden="1" spans="1:14">
      <c r="A4782">
        <v>3689</v>
      </c>
      <c r="B4782">
        <v>0</v>
      </c>
      <c r="C4782" t="s">
        <v>128</v>
      </c>
      <c r="D4782">
        <v>0</v>
      </c>
      <c r="E4782">
        <v>-91.0026</v>
      </c>
      <c r="F4782">
        <v>41.0582</v>
      </c>
      <c r="G4782">
        <v>214908.29</v>
      </c>
      <c r="H4782" s="1">
        <v>40384</v>
      </c>
      <c r="I4782" s="1">
        <v>40384</v>
      </c>
      <c r="J4782">
        <v>0</v>
      </c>
      <c r="K4782">
        <v>1</v>
      </c>
      <c r="L4782">
        <v>500</v>
      </c>
      <c r="M4782" t="s">
        <v>1057</v>
      </c>
      <c r="N4782">
        <v>1</v>
      </c>
    </row>
    <row r="4783" hidden="1" spans="1:14">
      <c r="A4783">
        <v>3702</v>
      </c>
      <c r="B4783">
        <v>0</v>
      </c>
      <c r="C4783" t="s">
        <v>128</v>
      </c>
      <c r="D4783">
        <v>0</v>
      </c>
      <c r="E4783">
        <v>-93.4672</v>
      </c>
      <c r="F4783">
        <v>42.3135</v>
      </c>
      <c r="G4783">
        <v>8257.4</v>
      </c>
      <c r="H4783" s="1">
        <v>40400</v>
      </c>
      <c r="I4783" s="1">
        <v>40401</v>
      </c>
      <c r="J4783" t="s">
        <v>15</v>
      </c>
      <c r="K4783">
        <v>1</v>
      </c>
      <c r="L4783">
        <v>1000</v>
      </c>
      <c r="M4783" t="s">
        <v>52</v>
      </c>
      <c r="N4783">
        <v>1</v>
      </c>
    </row>
    <row r="4784" hidden="1" spans="1:14">
      <c r="A4784">
        <v>3711</v>
      </c>
      <c r="B4784">
        <v>0</v>
      </c>
      <c r="C4784" t="s">
        <v>128</v>
      </c>
      <c r="E4784">
        <v>-97.065</v>
      </c>
      <c r="F4784">
        <v>28.89</v>
      </c>
      <c r="G4784">
        <v>15031.48</v>
      </c>
      <c r="H4784" s="1">
        <v>40428</v>
      </c>
      <c r="I4784" s="1">
        <v>40432</v>
      </c>
      <c r="J4784" t="s">
        <v>15</v>
      </c>
      <c r="K4784">
        <v>8</v>
      </c>
      <c r="L4784">
        <v>0</v>
      </c>
      <c r="M4784" t="s">
        <v>1058</v>
      </c>
      <c r="N4784">
        <v>1</v>
      </c>
    </row>
    <row r="4785" hidden="1" spans="1:14">
      <c r="A4785">
        <v>3722</v>
      </c>
      <c r="B4785">
        <v>0</v>
      </c>
      <c r="C4785" t="s">
        <v>128</v>
      </c>
      <c r="D4785">
        <v>0</v>
      </c>
      <c r="E4785">
        <v>-90.18</v>
      </c>
      <c r="F4785">
        <v>44.01</v>
      </c>
      <c r="G4785">
        <v>3873.19</v>
      </c>
      <c r="H4785" s="1">
        <v>40443</v>
      </c>
      <c r="I4785" s="1">
        <v>40451</v>
      </c>
      <c r="J4785" t="s">
        <v>15</v>
      </c>
      <c r="K4785">
        <v>0</v>
      </c>
      <c r="L4785">
        <v>0</v>
      </c>
      <c r="M4785" t="s">
        <v>49</v>
      </c>
      <c r="N4785">
        <v>2</v>
      </c>
    </row>
    <row r="4786" hidden="1" spans="1:14">
      <c r="A4786">
        <v>3762</v>
      </c>
      <c r="B4786">
        <v>0</v>
      </c>
      <c r="C4786" t="s">
        <v>128</v>
      </c>
      <c r="E4786">
        <v>-120.733</v>
      </c>
      <c r="F4786">
        <v>38.8497</v>
      </c>
      <c r="G4786">
        <v>355567.84</v>
      </c>
      <c r="H4786" s="1">
        <v>40531</v>
      </c>
      <c r="I4786" s="1">
        <v>40540</v>
      </c>
      <c r="J4786" t="s">
        <v>15</v>
      </c>
      <c r="K4786">
        <v>0</v>
      </c>
      <c r="L4786">
        <v>1000</v>
      </c>
      <c r="M4786" t="s">
        <v>49</v>
      </c>
      <c r="N4786">
        <v>1.5</v>
      </c>
    </row>
    <row r="4787" hidden="1" spans="1:14">
      <c r="A4787">
        <v>3785</v>
      </c>
      <c r="C4787" t="s">
        <v>128</v>
      </c>
      <c r="E4787">
        <v>-83.56</v>
      </c>
      <c r="F4787">
        <v>36.7798</v>
      </c>
      <c r="G4787">
        <v>1163517.11</v>
      </c>
      <c r="H4787" s="1">
        <v>40609</v>
      </c>
      <c r="I4787" s="1">
        <v>40630</v>
      </c>
      <c r="J4787" t="s">
        <v>15</v>
      </c>
      <c r="K4787">
        <v>1</v>
      </c>
      <c r="L4787">
        <v>0</v>
      </c>
      <c r="M4787" t="s">
        <v>619</v>
      </c>
      <c r="N4787">
        <v>1.5</v>
      </c>
    </row>
    <row r="4788" hidden="1" spans="1:14">
      <c r="A4788">
        <v>3799</v>
      </c>
      <c r="C4788" t="s">
        <v>128</v>
      </c>
      <c r="D4788" t="s">
        <v>248</v>
      </c>
      <c r="E4788">
        <v>-97.2192</v>
      </c>
      <c r="F4788">
        <v>48.6788</v>
      </c>
      <c r="G4788">
        <v>46208.32</v>
      </c>
      <c r="H4788" s="1">
        <v>40269</v>
      </c>
      <c r="I4788" s="1">
        <v>40687</v>
      </c>
      <c r="J4788" t="s">
        <v>15</v>
      </c>
      <c r="K4788">
        <v>5</v>
      </c>
      <c r="L4788">
        <v>3600</v>
      </c>
      <c r="M4788" t="s">
        <v>67</v>
      </c>
      <c r="N4788">
        <v>2</v>
      </c>
    </row>
    <row r="4789" hidden="1" spans="1:14">
      <c r="A4789">
        <v>3802</v>
      </c>
      <c r="C4789" t="s">
        <v>128</v>
      </c>
      <c r="E4789">
        <v>-79.3526</v>
      </c>
      <c r="F4789">
        <v>38.62</v>
      </c>
      <c r="G4789">
        <v>211220.92</v>
      </c>
      <c r="H4789" s="1">
        <v>40651</v>
      </c>
      <c r="I4789" s="1">
        <v>40658</v>
      </c>
      <c r="J4789" t="s">
        <v>15</v>
      </c>
      <c r="K4789">
        <v>3</v>
      </c>
      <c r="L4789">
        <v>0</v>
      </c>
      <c r="M4789" t="s">
        <v>52</v>
      </c>
      <c r="N4789">
        <v>1</v>
      </c>
    </row>
    <row r="4790" hidden="1" spans="1:14">
      <c r="A4790">
        <v>3809</v>
      </c>
      <c r="C4790" t="s">
        <v>128</v>
      </c>
      <c r="E4790">
        <v>-90.8266</v>
      </c>
      <c r="F4790">
        <v>34.0959</v>
      </c>
      <c r="G4790">
        <v>239421.33</v>
      </c>
      <c r="H4790" s="1">
        <v>40664</v>
      </c>
      <c r="I4790" s="1">
        <v>40703</v>
      </c>
      <c r="J4790" t="s">
        <v>15</v>
      </c>
      <c r="K4790">
        <v>1</v>
      </c>
      <c r="L4790">
        <v>25000</v>
      </c>
      <c r="M4790" t="s">
        <v>49</v>
      </c>
      <c r="N4790">
        <v>2</v>
      </c>
    </row>
    <row r="4791" hidden="1" spans="1:14">
      <c r="A4791">
        <v>3813</v>
      </c>
      <c r="C4791" t="s">
        <v>128</v>
      </c>
      <c r="E4791">
        <v>-105.666</v>
      </c>
      <c r="F4791">
        <v>45.2971</v>
      </c>
      <c r="G4791">
        <v>171530.74</v>
      </c>
      <c r="H4791" s="1">
        <v>40685</v>
      </c>
      <c r="I4791" s="1">
        <v>40715</v>
      </c>
      <c r="J4791" t="s">
        <v>15</v>
      </c>
      <c r="K4791">
        <v>1</v>
      </c>
      <c r="L4791">
        <v>1100</v>
      </c>
      <c r="M4791" t="s">
        <v>67</v>
      </c>
      <c r="N4791">
        <v>2</v>
      </c>
    </row>
    <row r="4792" hidden="1" spans="1:14">
      <c r="A4792">
        <v>3815</v>
      </c>
      <c r="C4792" t="s">
        <v>128</v>
      </c>
      <c r="E4792">
        <v>-99.4732</v>
      </c>
      <c r="F4792">
        <v>43.5376</v>
      </c>
      <c r="G4792">
        <v>23537.98</v>
      </c>
      <c r="H4792" s="1">
        <v>40698</v>
      </c>
      <c r="I4792" s="1">
        <v>40753</v>
      </c>
      <c r="J4792" t="s">
        <v>15</v>
      </c>
      <c r="K4792">
        <v>0</v>
      </c>
      <c r="L4792">
        <v>4600</v>
      </c>
      <c r="M4792" t="s">
        <v>1059</v>
      </c>
      <c r="N4792">
        <v>1.5</v>
      </c>
    </row>
    <row r="4793" hidden="1" spans="1:14">
      <c r="A4793">
        <v>3832</v>
      </c>
      <c r="C4793" t="s">
        <v>128</v>
      </c>
      <c r="D4793" t="s">
        <v>248</v>
      </c>
      <c r="E4793">
        <v>-101.306</v>
      </c>
      <c r="F4793">
        <v>48.3406</v>
      </c>
      <c r="G4793">
        <v>16000.97</v>
      </c>
      <c r="H4793" s="1">
        <v>40714</v>
      </c>
      <c r="I4793" s="1">
        <v>40730</v>
      </c>
      <c r="J4793" t="s">
        <v>15</v>
      </c>
      <c r="K4793">
        <v>0</v>
      </c>
      <c r="L4793">
        <v>16000</v>
      </c>
      <c r="M4793" t="s">
        <v>49</v>
      </c>
      <c r="N4793">
        <v>2</v>
      </c>
    </row>
    <row r="4794" hidden="1" spans="1:14">
      <c r="A4794">
        <v>3849</v>
      </c>
      <c r="C4794" t="s">
        <v>128</v>
      </c>
      <c r="E4794">
        <v>-79.3744</v>
      </c>
      <c r="F4794">
        <v>35.8055</v>
      </c>
      <c r="G4794">
        <v>26044.85</v>
      </c>
      <c r="H4794" s="1">
        <v>40761</v>
      </c>
      <c r="I4794" s="1">
        <v>40764</v>
      </c>
      <c r="J4794" t="s">
        <v>15</v>
      </c>
      <c r="K4794">
        <v>2</v>
      </c>
      <c r="L4794">
        <v>100</v>
      </c>
      <c r="M4794" t="s">
        <v>52</v>
      </c>
      <c r="N4794">
        <v>1.5</v>
      </c>
    </row>
    <row r="4795" hidden="1" spans="1:14">
      <c r="A4795">
        <v>3861</v>
      </c>
      <c r="C4795" t="s">
        <v>128</v>
      </c>
      <c r="E4795">
        <v>-74.0621</v>
      </c>
      <c r="F4795">
        <v>40.1862</v>
      </c>
      <c r="G4795">
        <v>252912.89</v>
      </c>
      <c r="H4795" s="1">
        <v>40782</v>
      </c>
      <c r="I4795" s="1">
        <v>40799</v>
      </c>
      <c r="J4795" t="s">
        <v>15</v>
      </c>
      <c r="K4795">
        <v>20</v>
      </c>
      <c r="L4795">
        <v>370000</v>
      </c>
      <c r="M4795" t="s">
        <v>1060</v>
      </c>
      <c r="N4795">
        <v>2</v>
      </c>
    </row>
    <row r="4796" hidden="1" spans="1:14">
      <c r="A4796">
        <v>3905</v>
      </c>
      <c r="C4796" t="s">
        <v>128</v>
      </c>
      <c r="E4796">
        <v>-159.53</v>
      </c>
      <c r="F4796">
        <v>22.0625</v>
      </c>
      <c r="G4796">
        <v>2046.16</v>
      </c>
      <c r="H4796" s="1">
        <v>40972</v>
      </c>
      <c r="I4796" s="1">
        <v>40975</v>
      </c>
      <c r="J4796" t="s">
        <v>15</v>
      </c>
      <c r="K4796">
        <v>0</v>
      </c>
      <c r="L4796">
        <v>83</v>
      </c>
      <c r="M4796" t="s">
        <v>49</v>
      </c>
      <c r="N4796">
        <v>1.5</v>
      </c>
    </row>
    <row r="4797" hidden="1" spans="1:14">
      <c r="A4797">
        <v>3937</v>
      </c>
      <c r="C4797" t="s">
        <v>128</v>
      </c>
      <c r="E4797">
        <v>-85.5123</v>
      </c>
      <c r="F4797">
        <v>30.3632</v>
      </c>
      <c r="G4797">
        <v>20116.97</v>
      </c>
      <c r="H4797" s="1">
        <v>41069</v>
      </c>
      <c r="I4797" s="1">
        <v>41072</v>
      </c>
      <c r="J4797" t="s">
        <v>15</v>
      </c>
      <c r="K4797">
        <v>1</v>
      </c>
      <c r="L4797">
        <v>300</v>
      </c>
      <c r="M4797" t="s">
        <v>52</v>
      </c>
      <c r="N4797">
        <v>1.5</v>
      </c>
    </row>
    <row r="4798" hidden="1" spans="1:14">
      <c r="A4798">
        <v>3938</v>
      </c>
      <c r="C4798" t="s">
        <v>128</v>
      </c>
      <c r="E4798">
        <v>-82.4958</v>
      </c>
      <c r="F4798">
        <v>28.9635</v>
      </c>
      <c r="G4798">
        <v>67994.98</v>
      </c>
      <c r="H4798" s="1">
        <v>41082</v>
      </c>
      <c r="I4798" s="1">
        <v>41092</v>
      </c>
      <c r="J4798" t="s">
        <v>15</v>
      </c>
      <c r="K4798">
        <v>3</v>
      </c>
      <c r="L4798">
        <v>17000</v>
      </c>
      <c r="M4798" t="s">
        <v>1061</v>
      </c>
      <c r="N4798">
        <v>2</v>
      </c>
    </row>
    <row r="4799" hidden="1" spans="1:14">
      <c r="A4799">
        <v>3948</v>
      </c>
      <c r="C4799" t="s">
        <v>128</v>
      </c>
      <c r="E4799">
        <v>-95.8087</v>
      </c>
      <c r="F4799">
        <v>29.578</v>
      </c>
      <c r="G4799">
        <v>24530.67</v>
      </c>
      <c r="H4799" s="1">
        <v>41103</v>
      </c>
      <c r="I4799" s="1">
        <v>41106</v>
      </c>
      <c r="J4799" t="s">
        <v>15</v>
      </c>
      <c r="K4799">
        <v>0</v>
      </c>
      <c r="L4799">
        <v>100</v>
      </c>
      <c r="M4799" t="s">
        <v>52</v>
      </c>
      <c r="N4799">
        <v>1.5</v>
      </c>
    </row>
    <row r="4800" hidden="1" spans="1:14">
      <c r="A4800">
        <v>3977</v>
      </c>
      <c r="C4800" t="s">
        <v>128</v>
      </c>
      <c r="E4800">
        <v>-89.346</v>
      </c>
      <c r="F4800">
        <v>30.503</v>
      </c>
      <c r="G4800">
        <v>83938.23</v>
      </c>
      <c r="H4800" s="1">
        <v>41149</v>
      </c>
      <c r="I4800" s="1">
        <v>41159</v>
      </c>
      <c r="J4800" t="s">
        <v>15</v>
      </c>
      <c r="K4800">
        <v>1</v>
      </c>
      <c r="L4800">
        <v>60000</v>
      </c>
      <c r="M4800" t="s">
        <v>1062</v>
      </c>
      <c r="N4800">
        <v>1.5</v>
      </c>
    </row>
    <row r="4801" hidden="1" spans="1:14">
      <c r="A4801">
        <v>3989</v>
      </c>
      <c r="C4801" t="s">
        <v>128</v>
      </c>
      <c r="E4801">
        <v>-149.932</v>
      </c>
      <c r="F4801">
        <v>63.1691</v>
      </c>
      <c r="G4801">
        <v>8846.21</v>
      </c>
      <c r="H4801" s="1">
        <v>41172</v>
      </c>
      <c r="I4801" s="1">
        <v>41178</v>
      </c>
      <c r="J4801" t="s">
        <v>15</v>
      </c>
      <c r="K4801">
        <v>0</v>
      </c>
      <c r="L4801">
        <v>2000</v>
      </c>
      <c r="M4801" t="s">
        <v>49</v>
      </c>
      <c r="N4801">
        <v>1</v>
      </c>
    </row>
    <row r="4802" hidden="1" spans="1:14">
      <c r="A4802">
        <v>3997</v>
      </c>
      <c r="B4802" t="s">
        <v>1063</v>
      </c>
      <c r="C4802" t="s">
        <v>128</v>
      </c>
      <c r="D4802" t="s">
        <v>364</v>
      </c>
      <c r="E4802">
        <v>-75.228</v>
      </c>
      <c r="F4802">
        <v>39.9231</v>
      </c>
      <c r="G4802">
        <v>293995.06</v>
      </c>
      <c r="H4802" s="1">
        <v>41206</v>
      </c>
      <c r="I4802" s="1">
        <v>41211</v>
      </c>
      <c r="J4802" t="s">
        <v>15</v>
      </c>
      <c r="K4802">
        <v>65</v>
      </c>
      <c r="L4802">
        <v>0</v>
      </c>
      <c r="M4802" t="s">
        <v>1064</v>
      </c>
      <c r="N4802">
        <v>2</v>
      </c>
    </row>
    <row r="4803" hidden="1" spans="1:14">
      <c r="A4803">
        <v>4050</v>
      </c>
      <c r="C4803" t="s">
        <v>128</v>
      </c>
      <c r="E4803">
        <v>-88.6401</v>
      </c>
      <c r="F4803">
        <v>38.8278</v>
      </c>
      <c r="G4803">
        <v>493136.77</v>
      </c>
      <c r="H4803" s="1">
        <v>41386</v>
      </c>
      <c r="I4803" s="1">
        <v>41393</v>
      </c>
      <c r="J4803" t="s">
        <v>15</v>
      </c>
      <c r="K4803">
        <v>5</v>
      </c>
      <c r="L4803">
        <v>300</v>
      </c>
      <c r="M4803" t="s">
        <v>49</v>
      </c>
      <c r="N4803">
        <v>1.5</v>
      </c>
    </row>
    <row r="4804" hidden="1" spans="1:14">
      <c r="A4804">
        <v>4051</v>
      </c>
      <c r="C4804" t="s">
        <v>128</v>
      </c>
      <c r="D4804" t="s">
        <v>248</v>
      </c>
      <c r="E4804">
        <v>-97.5977</v>
      </c>
      <c r="F4804">
        <v>48.5643</v>
      </c>
      <c r="G4804">
        <v>43180.94</v>
      </c>
      <c r="H4804" s="1">
        <v>41391</v>
      </c>
      <c r="I4804" s="1">
        <v>41393</v>
      </c>
      <c r="J4804" t="s">
        <v>15</v>
      </c>
      <c r="K4804">
        <v>0</v>
      </c>
      <c r="L4804">
        <v>0</v>
      </c>
      <c r="M4804" t="s">
        <v>67</v>
      </c>
      <c r="N4804">
        <v>1</v>
      </c>
    </row>
    <row r="4805" hidden="1" spans="1:14">
      <c r="A4805">
        <v>4060</v>
      </c>
      <c r="C4805" t="s">
        <v>128</v>
      </c>
      <c r="E4805">
        <v>-98.8879</v>
      </c>
      <c r="F4805">
        <v>28.899</v>
      </c>
      <c r="G4805">
        <v>33907.85</v>
      </c>
      <c r="H4805" s="1">
        <v>41419</v>
      </c>
      <c r="I4805" s="1">
        <v>41422</v>
      </c>
      <c r="J4805" t="s">
        <v>15</v>
      </c>
      <c r="K4805">
        <v>3</v>
      </c>
      <c r="L4805">
        <v>300</v>
      </c>
      <c r="M4805" t="s">
        <v>49</v>
      </c>
      <c r="N4805">
        <v>2</v>
      </c>
    </row>
    <row r="4806" hidden="1" spans="1:14">
      <c r="A4806">
        <v>4061</v>
      </c>
      <c r="C4806" t="s">
        <v>128</v>
      </c>
      <c r="E4806">
        <v>-93.3867</v>
      </c>
      <c r="F4806">
        <v>41.9211</v>
      </c>
      <c r="G4806">
        <v>123500.44</v>
      </c>
      <c r="H4806" s="1">
        <v>41419</v>
      </c>
      <c r="I4806" s="1">
        <v>41428</v>
      </c>
      <c r="J4806" t="s">
        <v>15</v>
      </c>
      <c r="K4806">
        <v>0</v>
      </c>
      <c r="L4806">
        <v>400</v>
      </c>
      <c r="M4806" t="s">
        <v>49</v>
      </c>
      <c r="N4806">
        <v>1</v>
      </c>
    </row>
    <row r="4807" hidden="1" spans="1:14">
      <c r="A4807">
        <v>4064</v>
      </c>
      <c r="C4807" t="s">
        <v>128</v>
      </c>
      <c r="E4807">
        <v>-91.6341</v>
      </c>
      <c r="F4807">
        <v>37.0898</v>
      </c>
      <c r="G4807">
        <v>170079.48</v>
      </c>
      <c r="H4807" s="1">
        <v>41419</v>
      </c>
      <c r="I4807" s="1">
        <v>41428</v>
      </c>
      <c r="J4807" t="s">
        <v>15</v>
      </c>
      <c r="K4807">
        <v>5</v>
      </c>
      <c r="L4807">
        <v>0</v>
      </c>
      <c r="M4807" t="s">
        <v>52</v>
      </c>
      <c r="N4807">
        <v>1.5</v>
      </c>
    </row>
    <row r="4808" hidden="1" spans="1:14">
      <c r="A4808">
        <v>4080</v>
      </c>
      <c r="C4808" t="s">
        <v>128</v>
      </c>
      <c r="E4808">
        <v>-94.1535</v>
      </c>
      <c r="F4808">
        <v>38.2138</v>
      </c>
      <c r="G4808">
        <v>123143.44</v>
      </c>
      <c r="H4808" s="1">
        <v>41491</v>
      </c>
      <c r="I4808" s="1">
        <v>41493</v>
      </c>
      <c r="J4808" t="s">
        <v>15</v>
      </c>
      <c r="K4808">
        <v>2</v>
      </c>
      <c r="L4808">
        <v>100</v>
      </c>
      <c r="M4808" t="s">
        <v>52</v>
      </c>
      <c r="N4808">
        <v>1.5</v>
      </c>
    </row>
    <row r="4809" hidden="1" spans="1:14">
      <c r="A4809">
        <v>4089</v>
      </c>
      <c r="C4809" t="s">
        <v>128</v>
      </c>
      <c r="E4809">
        <v>-105.143</v>
      </c>
      <c r="F4809">
        <v>38.0024</v>
      </c>
      <c r="G4809">
        <v>100404.04</v>
      </c>
      <c r="H4809" s="1">
        <v>41529</v>
      </c>
      <c r="I4809" s="1">
        <v>41537</v>
      </c>
      <c r="J4809" t="s">
        <v>15</v>
      </c>
      <c r="K4809">
        <v>10</v>
      </c>
      <c r="L4809">
        <v>11000</v>
      </c>
      <c r="M4809" t="s">
        <v>488</v>
      </c>
      <c r="N4809">
        <v>2</v>
      </c>
    </row>
    <row r="4810" hidden="1" spans="1:14">
      <c r="A4810">
        <v>4101</v>
      </c>
      <c r="C4810" t="s">
        <v>128</v>
      </c>
      <c r="E4810">
        <v>-98.0111</v>
      </c>
      <c r="F4810">
        <v>30.6607</v>
      </c>
      <c r="G4810">
        <v>38936.39</v>
      </c>
      <c r="H4810" s="1">
        <v>41578</v>
      </c>
      <c r="I4810" s="1">
        <v>41588</v>
      </c>
      <c r="J4810" t="s">
        <v>15</v>
      </c>
      <c r="K4810">
        <v>4</v>
      </c>
      <c r="L4810">
        <v>4800</v>
      </c>
      <c r="M4810" t="s">
        <v>52</v>
      </c>
      <c r="N4810">
        <v>2</v>
      </c>
    </row>
    <row r="4811" hidden="1" spans="1:14">
      <c r="A4811">
        <v>4115</v>
      </c>
      <c r="C4811" t="s">
        <v>128</v>
      </c>
      <c r="E4811">
        <v>-86.7899</v>
      </c>
      <c r="F4811">
        <v>37.5597</v>
      </c>
      <c r="G4811">
        <v>16069.91</v>
      </c>
      <c r="H4811" s="1">
        <v>41630</v>
      </c>
      <c r="I4811" s="1">
        <v>41643</v>
      </c>
      <c r="J4811" t="s">
        <v>15</v>
      </c>
      <c r="K4811">
        <v>5</v>
      </c>
      <c r="L4811">
        <v>0</v>
      </c>
      <c r="M4811" t="s">
        <v>49</v>
      </c>
      <c r="N4811">
        <v>1</v>
      </c>
    </row>
    <row r="4812" hidden="1" spans="1:14">
      <c r="A4812">
        <v>4124</v>
      </c>
      <c r="B4812" t="s">
        <v>1065</v>
      </c>
      <c r="C4812" t="s">
        <v>128</v>
      </c>
      <c r="E4812">
        <v>168.729</v>
      </c>
      <c r="F4812">
        <v>7.30951</v>
      </c>
      <c r="G4812">
        <v>34.8366</v>
      </c>
      <c r="H4812" s="1">
        <v>41701</v>
      </c>
      <c r="I4812" s="1">
        <v>41708</v>
      </c>
      <c r="J4812" t="s">
        <v>15</v>
      </c>
      <c r="K4812">
        <v>0</v>
      </c>
      <c r="L4812">
        <v>900</v>
      </c>
      <c r="M4812" t="s">
        <v>1040</v>
      </c>
      <c r="N4812">
        <v>1.5</v>
      </c>
    </row>
    <row r="4813" hidden="1" spans="1:14">
      <c r="A4813">
        <v>4129</v>
      </c>
      <c r="C4813" t="s">
        <v>128</v>
      </c>
      <c r="E4813">
        <v>-89.1282</v>
      </c>
      <c r="F4813">
        <v>31.4244</v>
      </c>
      <c r="G4813">
        <v>53220.79</v>
      </c>
      <c r="H4813" s="1">
        <v>41723</v>
      </c>
      <c r="I4813" s="1">
        <v>41728</v>
      </c>
      <c r="J4813" t="s">
        <v>15</v>
      </c>
      <c r="K4813">
        <v>0</v>
      </c>
      <c r="L4813">
        <v>200</v>
      </c>
      <c r="M4813" t="s">
        <v>49</v>
      </c>
      <c r="N4813">
        <v>1.5</v>
      </c>
    </row>
    <row r="4814" hidden="1" spans="1:14">
      <c r="A4814">
        <v>4134</v>
      </c>
      <c r="C4814" t="s">
        <v>128</v>
      </c>
      <c r="E4814">
        <v>-87.6188</v>
      </c>
      <c r="F4814">
        <v>31.8585</v>
      </c>
      <c r="G4814">
        <v>82418.56</v>
      </c>
      <c r="H4814" s="1">
        <v>41730</v>
      </c>
      <c r="I4814" s="1">
        <v>41737</v>
      </c>
      <c r="J4814" t="s">
        <v>15</v>
      </c>
      <c r="K4814">
        <v>2</v>
      </c>
      <c r="L4814">
        <v>300</v>
      </c>
      <c r="M4814" t="s">
        <v>690</v>
      </c>
      <c r="N4814">
        <v>1.5</v>
      </c>
    </row>
    <row r="4815" hidden="1" spans="1:14">
      <c r="A4815">
        <v>4135</v>
      </c>
      <c r="C4815" t="s">
        <v>128</v>
      </c>
      <c r="E4815">
        <v>-84.9465</v>
      </c>
      <c r="F4815">
        <v>31.2966</v>
      </c>
      <c r="G4815">
        <v>260469.81</v>
      </c>
      <c r="H4815" s="1">
        <v>41759</v>
      </c>
      <c r="I4815" s="1">
        <v>41760</v>
      </c>
      <c r="J4815" t="s">
        <v>15</v>
      </c>
      <c r="K4815">
        <v>1</v>
      </c>
      <c r="L4815">
        <v>200</v>
      </c>
      <c r="M4815" t="s">
        <v>52</v>
      </c>
      <c r="N4815">
        <v>2</v>
      </c>
    </row>
    <row r="4816" hidden="1" spans="1:14">
      <c r="A4816">
        <v>4152</v>
      </c>
      <c r="C4816" t="s">
        <v>128</v>
      </c>
      <c r="E4816">
        <v>-94.7944</v>
      </c>
      <c r="F4816">
        <v>42.708</v>
      </c>
      <c r="G4816">
        <v>418317.13</v>
      </c>
      <c r="H4816" s="1">
        <v>41800</v>
      </c>
      <c r="I4816" s="1">
        <v>41834</v>
      </c>
      <c r="J4816" t="s">
        <v>15</v>
      </c>
      <c r="K4816">
        <v>0</v>
      </c>
      <c r="L4816">
        <v>600</v>
      </c>
      <c r="M4816" t="s">
        <v>49</v>
      </c>
      <c r="N4816">
        <v>2</v>
      </c>
    </row>
    <row r="4817" hidden="1" spans="1:14">
      <c r="A4817">
        <v>4160</v>
      </c>
      <c r="C4817" t="s">
        <v>128</v>
      </c>
      <c r="E4817">
        <v>-134.446</v>
      </c>
      <c r="F4817">
        <v>58.1993</v>
      </c>
      <c r="G4817">
        <v>2950.82</v>
      </c>
      <c r="H4817" s="1">
        <v>41831</v>
      </c>
      <c r="I4817" s="1">
        <v>41834</v>
      </c>
      <c r="J4817" t="s">
        <v>15</v>
      </c>
      <c r="K4817">
        <v>0</v>
      </c>
      <c r="L4817">
        <v>0</v>
      </c>
      <c r="M4817" t="s">
        <v>1066</v>
      </c>
      <c r="N4817">
        <v>1</v>
      </c>
    </row>
    <row r="4818" hidden="1" spans="1:14">
      <c r="A4818">
        <v>4177</v>
      </c>
      <c r="C4818" t="s">
        <v>128</v>
      </c>
      <c r="E4818">
        <v>-83.3134</v>
      </c>
      <c r="F4818">
        <v>42.5291</v>
      </c>
      <c r="G4818">
        <v>11462.27</v>
      </c>
      <c r="H4818" s="1">
        <v>41861</v>
      </c>
      <c r="I4818" s="1">
        <v>41870</v>
      </c>
      <c r="J4818" t="s">
        <v>15</v>
      </c>
      <c r="K4818">
        <v>1</v>
      </c>
      <c r="L4818">
        <v>0</v>
      </c>
      <c r="M4818" t="s">
        <v>52</v>
      </c>
      <c r="N4818">
        <v>2</v>
      </c>
    </row>
    <row r="4819" hidden="1" spans="1:14">
      <c r="A4819">
        <v>4195</v>
      </c>
      <c r="C4819" t="s">
        <v>128</v>
      </c>
      <c r="E4819">
        <v>-80.4061</v>
      </c>
      <c r="F4819">
        <v>26.9326</v>
      </c>
      <c r="G4819">
        <v>8447.1</v>
      </c>
      <c r="H4819" s="1">
        <v>41933</v>
      </c>
      <c r="I4819" s="1">
        <v>41934</v>
      </c>
      <c r="J4819" t="s">
        <v>15</v>
      </c>
      <c r="K4819">
        <v>0</v>
      </c>
      <c r="L4819">
        <v>0</v>
      </c>
      <c r="M4819" t="s">
        <v>52</v>
      </c>
      <c r="N4819">
        <v>1</v>
      </c>
    </row>
    <row r="4820" hidden="1" spans="1:14">
      <c r="A4820">
        <v>4208</v>
      </c>
      <c r="C4820" t="s">
        <v>128</v>
      </c>
      <c r="E4820">
        <v>-117.212</v>
      </c>
      <c r="F4820">
        <v>35.4299</v>
      </c>
      <c r="G4820">
        <v>202666.27</v>
      </c>
      <c r="H4820" s="1">
        <v>41974</v>
      </c>
      <c r="I4820" s="1">
        <v>41978</v>
      </c>
      <c r="J4820" t="s">
        <v>15</v>
      </c>
      <c r="K4820">
        <v>0</v>
      </c>
      <c r="L4820">
        <v>40</v>
      </c>
      <c r="M4820" t="s">
        <v>52</v>
      </c>
      <c r="N4820">
        <v>1</v>
      </c>
    </row>
    <row r="4821" hidden="1" spans="1:14">
      <c r="A4821">
        <v>4213</v>
      </c>
      <c r="C4821" t="s">
        <v>128</v>
      </c>
      <c r="E4821">
        <v>-123.101</v>
      </c>
      <c r="F4821">
        <v>39.7967</v>
      </c>
      <c r="G4821">
        <v>70255.56</v>
      </c>
      <c r="H4821" s="1">
        <v>41984</v>
      </c>
      <c r="I4821" s="1">
        <v>41987</v>
      </c>
      <c r="J4821" t="s">
        <v>15</v>
      </c>
      <c r="K4821">
        <v>3</v>
      </c>
      <c r="L4821">
        <v>0</v>
      </c>
      <c r="M4821" t="s">
        <v>52</v>
      </c>
      <c r="N4821">
        <v>1</v>
      </c>
    </row>
    <row r="4822" hidden="1" spans="1:14">
      <c r="A4822">
        <v>4230</v>
      </c>
      <c r="C4822" t="s">
        <v>128</v>
      </c>
      <c r="E4822">
        <v>-86.2332</v>
      </c>
      <c r="F4822">
        <v>37.0268</v>
      </c>
      <c r="G4822">
        <v>56870.12</v>
      </c>
      <c r="H4822" s="1">
        <v>42073</v>
      </c>
      <c r="I4822" s="1">
        <v>42086</v>
      </c>
      <c r="J4822" t="s">
        <v>15</v>
      </c>
      <c r="K4822">
        <v>0</v>
      </c>
      <c r="L4822">
        <v>0</v>
      </c>
      <c r="M4822" t="s">
        <v>49</v>
      </c>
      <c r="N4822">
        <v>1.5</v>
      </c>
    </row>
    <row r="4823" hidden="1" spans="1:14">
      <c r="A4823">
        <v>4252</v>
      </c>
      <c r="B4823" t="s">
        <v>1067</v>
      </c>
      <c r="C4823" t="s">
        <v>128</v>
      </c>
      <c r="E4823">
        <v>-97.9863</v>
      </c>
      <c r="F4823">
        <v>34.1936</v>
      </c>
      <c r="G4823">
        <v>849464.57</v>
      </c>
      <c r="H4823" s="1">
        <v>42129</v>
      </c>
      <c r="I4823" s="1">
        <v>42184</v>
      </c>
      <c r="J4823" t="s">
        <v>15</v>
      </c>
      <c r="K4823">
        <v>38</v>
      </c>
      <c r="L4823">
        <v>600</v>
      </c>
      <c r="M4823" t="s">
        <v>49</v>
      </c>
      <c r="N4823">
        <v>2</v>
      </c>
    </row>
    <row r="4824" hidden="1" spans="1:14">
      <c r="A4824">
        <v>4267</v>
      </c>
      <c r="C4824" t="s">
        <v>128</v>
      </c>
      <c r="E4824">
        <v>-84.7486</v>
      </c>
      <c r="F4824">
        <v>39.3942</v>
      </c>
      <c r="G4824">
        <v>161572.75</v>
      </c>
      <c r="H4824" s="1">
        <v>42182</v>
      </c>
      <c r="I4824" s="1">
        <v>42184</v>
      </c>
      <c r="J4824" t="s">
        <v>15</v>
      </c>
      <c r="K4824">
        <v>2</v>
      </c>
      <c r="L4824">
        <v>0</v>
      </c>
      <c r="M4824" t="s">
        <v>49</v>
      </c>
      <c r="N4824">
        <v>1</v>
      </c>
    </row>
    <row r="4825" hidden="1" spans="1:14">
      <c r="A4825">
        <v>4274</v>
      </c>
      <c r="C4825" t="s">
        <v>128</v>
      </c>
      <c r="E4825">
        <v>-83.165</v>
      </c>
      <c r="F4825">
        <v>38.3887</v>
      </c>
      <c r="G4825">
        <v>44261.07</v>
      </c>
      <c r="H4825" s="1">
        <v>42203</v>
      </c>
      <c r="I4825" s="1">
        <v>42206</v>
      </c>
      <c r="J4825" t="s">
        <v>15</v>
      </c>
      <c r="K4825">
        <v>3</v>
      </c>
      <c r="L4825">
        <v>0</v>
      </c>
      <c r="M4825" t="s">
        <v>52</v>
      </c>
      <c r="N4825">
        <v>1.5</v>
      </c>
    </row>
    <row r="4826" hidden="1" spans="1:14">
      <c r="A4826">
        <v>4279</v>
      </c>
      <c r="C4826" t="s">
        <v>128</v>
      </c>
      <c r="E4826">
        <v>-113.587</v>
      </c>
      <c r="F4826">
        <v>34.1148</v>
      </c>
      <c r="G4826">
        <v>109391.2</v>
      </c>
      <c r="H4826" s="1">
        <v>42202</v>
      </c>
      <c r="I4826" s="1">
        <v>42206</v>
      </c>
      <c r="J4826" t="s">
        <v>15</v>
      </c>
      <c r="K4826">
        <v>0</v>
      </c>
      <c r="L4826">
        <v>0</v>
      </c>
      <c r="M4826" t="s">
        <v>52</v>
      </c>
      <c r="N4826">
        <v>1.5</v>
      </c>
    </row>
    <row r="4827" hidden="1" spans="1:14">
      <c r="A4827">
        <v>4295</v>
      </c>
      <c r="C4827" t="s">
        <v>128</v>
      </c>
      <c r="E4827">
        <v>-80.4927</v>
      </c>
      <c r="F4827">
        <v>33.5033</v>
      </c>
      <c r="G4827">
        <v>61355.23</v>
      </c>
      <c r="H4827" s="1">
        <v>42278</v>
      </c>
      <c r="I4827" s="1">
        <v>42290</v>
      </c>
      <c r="J4827" t="s">
        <v>15</v>
      </c>
      <c r="K4827">
        <v>15</v>
      </c>
      <c r="L4827">
        <v>800</v>
      </c>
      <c r="M4827" t="s">
        <v>1068</v>
      </c>
      <c r="N4827">
        <v>2</v>
      </c>
    </row>
    <row r="4828" hidden="1" spans="1:14">
      <c r="A4828">
        <v>4311</v>
      </c>
      <c r="C4828" t="s">
        <v>128</v>
      </c>
      <c r="E4828">
        <v>-100.238</v>
      </c>
      <c r="F4828">
        <v>33.9839</v>
      </c>
      <c r="G4828">
        <v>439381.83</v>
      </c>
      <c r="H4828" s="1">
        <v>42334</v>
      </c>
      <c r="I4828" s="1">
        <v>42342</v>
      </c>
      <c r="J4828" t="s">
        <v>15</v>
      </c>
      <c r="K4828">
        <v>14</v>
      </c>
      <c r="L4828">
        <v>300</v>
      </c>
      <c r="M4828" t="s">
        <v>49</v>
      </c>
      <c r="N4828">
        <v>1</v>
      </c>
    </row>
    <row r="4829" hidden="1" spans="1:14">
      <c r="A4829">
        <v>4314</v>
      </c>
      <c r="C4829" t="s">
        <v>128</v>
      </c>
      <c r="E4829">
        <v>-91.0829</v>
      </c>
      <c r="F4829">
        <v>35.6658</v>
      </c>
      <c r="G4829">
        <v>526834.76</v>
      </c>
      <c r="H4829" s="1">
        <v>42353</v>
      </c>
      <c r="I4829" s="1">
        <v>42398</v>
      </c>
      <c r="J4829" t="s">
        <v>15</v>
      </c>
      <c r="K4829">
        <v>31</v>
      </c>
      <c r="L4829">
        <v>4000</v>
      </c>
      <c r="M4829" t="s">
        <v>49</v>
      </c>
      <c r="N4829">
        <v>2</v>
      </c>
    </row>
    <row r="4830" hidden="1" spans="1:14">
      <c r="A4830">
        <v>4320</v>
      </c>
      <c r="C4830" t="s">
        <v>128</v>
      </c>
      <c r="E4830">
        <v>-74.6532</v>
      </c>
      <c r="F4830">
        <v>39.9212</v>
      </c>
      <c r="G4830">
        <v>12448.8</v>
      </c>
      <c r="H4830" s="1">
        <v>42391</v>
      </c>
      <c r="I4830" s="1">
        <v>42394</v>
      </c>
      <c r="J4830" t="s">
        <v>15</v>
      </c>
      <c r="K4830">
        <v>8</v>
      </c>
      <c r="L4830">
        <v>0</v>
      </c>
      <c r="M4830" t="s">
        <v>1040</v>
      </c>
      <c r="N4830">
        <v>1.5</v>
      </c>
    </row>
    <row r="4831" hidden="1" spans="1:14">
      <c r="A4831">
        <v>4336</v>
      </c>
      <c r="C4831" t="s">
        <v>128</v>
      </c>
      <c r="E4831">
        <v>-122.284</v>
      </c>
      <c r="F4831">
        <v>38.6065</v>
      </c>
      <c r="G4831">
        <v>74128.03</v>
      </c>
      <c r="H4831" s="1">
        <v>42434</v>
      </c>
      <c r="I4831" s="1">
        <v>42439</v>
      </c>
      <c r="J4831" t="s">
        <v>15</v>
      </c>
      <c r="K4831">
        <v>1</v>
      </c>
      <c r="L4831">
        <v>36</v>
      </c>
      <c r="M4831" t="s">
        <v>49</v>
      </c>
      <c r="N4831">
        <v>1.5</v>
      </c>
    </row>
    <row r="4832" hidden="1" spans="1:14">
      <c r="A4832">
        <v>4337</v>
      </c>
      <c r="C4832" t="s">
        <v>128</v>
      </c>
      <c r="E4832">
        <v>-96.1058</v>
      </c>
      <c r="F4832">
        <v>30.9086</v>
      </c>
      <c r="G4832">
        <v>248620.08</v>
      </c>
      <c r="H4832" s="1">
        <v>42437</v>
      </c>
      <c r="I4832" s="1">
        <v>42454</v>
      </c>
      <c r="J4832" t="s">
        <v>15</v>
      </c>
      <c r="K4832">
        <v>5</v>
      </c>
      <c r="L4832">
        <v>3500</v>
      </c>
      <c r="M4832" t="s">
        <v>49</v>
      </c>
      <c r="N4832">
        <v>2</v>
      </c>
    </row>
    <row r="4833" hidden="1" spans="1:14">
      <c r="A4833">
        <v>4348</v>
      </c>
      <c r="C4833" t="s">
        <v>128</v>
      </c>
      <c r="E4833">
        <v>-95.7347</v>
      </c>
      <c r="F4833">
        <v>32.0475</v>
      </c>
      <c r="G4833">
        <v>448237.11</v>
      </c>
      <c r="H4833" s="1">
        <v>42478</v>
      </c>
      <c r="I4833" s="1">
        <v>42482</v>
      </c>
      <c r="J4833" t="s">
        <v>15</v>
      </c>
      <c r="K4833">
        <v>0</v>
      </c>
      <c r="L4833">
        <v>7</v>
      </c>
      <c r="M4833" t="s">
        <v>49</v>
      </c>
      <c r="N4833">
        <v>2</v>
      </c>
    </row>
    <row r="4834" hidden="1" spans="1:14">
      <c r="A4834">
        <v>4359</v>
      </c>
      <c r="B4834" t="s">
        <v>1069</v>
      </c>
      <c r="C4834" t="s">
        <v>128</v>
      </c>
      <c r="E4834">
        <v>-95.5367</v>
      </c>
      <c r="F4834">
        <v>30.8574</v>
      </c>
      <c r="G4834">
        <v>160371.39</v>
      </c>
      <c r="H4834" s="1">
        <v>42516</v>
      </c>
      <c r="I4834" s="1">
        <v>42545</v>
      </c>
      <c r="J4834" t="s">
        <v>181</v>
      </c>
      <c r="K4834">
        <v>11</v>
      </c>
      <c r="L4834">
        <v>0</v>
      </c>
      <c r="M4834" t="s">
        <v>49</v>
      </c>
      <c r="N4834">
        <v>1.5</v>
      </c>
    </row>
    <row r="4835" hidden="1" spans="1:14">
      <c r="A4835">
        <v>4368</v>
      </c>
      <c r="C4835" t="s">
        <v>128</v>
      </c>
      <c r="E4835">
        <v>-80.5545</v>
      </c>
      <c r="F4835">
        <v>38.9452</v>
      </c>
      <c r="G4835">
        <v>57042.99</v>
      </c>
      <c r="H4835" s="1">
        <v>42544</v>
      </c>
      <c r="I4835" s="1">
        <v>42545</v>
      </c>
      <c r="J4835" t="s">
        <v>15</v>
      </c>
      <c r="K4835">
        <v>25</v>
      </c>
      <c r="L4835">
        <v>2000</v>
      </c>
      <c r="M4835" t="s">
        <v>52</v>
      </c>
      <c r="N4835">
        <v>2</v>
      </c>
    </row>
    <row r="4836" hidden="1" spans="1:14">
      <c r="A4836">
        <v>4386</v>
      </c>
      <c r="C4836" t="s">
        <v>128</v>
      </c>
      <c r="E4836">
        <v>-77.2142</v>
      </c>
      <c r="F4836">
        <v>39.3339</v>
      </c>
      <c r="G4836">
        <v>4161.4</v>
      </c>
      <c r="H4836" s="1">
        <v>42581</v>
      </c>
      <c r="I4836" s="1">
        <v>42582</v>
      </c>
      <c r="J4836" t="s">
        <v>15</v>
      </c>
      <c r="K4836">
        <v>2</v>
      </c>
      <c r="L4836">
        <v>0</v>
      </c>
      <c r="M4836" t="s">
        <v>52</v>
      </c>
      <c r="N4836">
        <v>2</v>
      </c>
    </row>
    <row r="4837" hidden="1" spans="1:14">
      <c r="A4837">
        <v>4389</v>
      </c>
      <c r="C4837" t="s">
        <v>128</v>
      </c>
      <c r="E4837">
        <v>-91.7757</v>
      </c>
      <c r="F4837">
        <v>43.0044</v>
      </c>
      <c r="G4837">
        <v>17367.94</v>
      </c>
      <c r="H4837" s="1">
        <v>42606</v>
      </c>
      <c r="I4837" s="1">
        <v>42608</v>
      </c>
      <c r="J4837" t="s">
        <v>15</v>
      </c>
      <c r="K4837">
        <v>1</v>
      </c>
      <c r="L4837">
        <v>0</v>
      </c>
      <c r="M4837" t="s">
        <v>52</v>
      </c>
      <c r="N4837">
        <v>1.5</v>
      </c>
    </row>
    <row r="4838" hidden="1" spans="1:14">
      <c r="A4838">
        <v>4388</v>
      </c>
      <c r="C4838" t="s">
        <v>128</v>
      </c>
      <c r="E4838">
        <v>-91.8005</v>
      </c>
      <c r="F4838">
        <v>29.9879</v>
      </c>
      <c r="G4838">
        <v>19554.02</v>
      </c>
      <c r="H4838" s="1">
        <v>42596</v>
      </c>
      <c r="I4838" s="1">
        <v>42608</v>
      </c>
      <c r="J4838" t="s">
        <v>15</v>
      </c>
      <c r="K4838">
        <v>13</v>
      </c>
      <c r="L4838">
        <v>40000</v>
      </c>
      <c r="M4838" t="s">
        <v>49</v>
      </c>
      <c r="N4838">
        <v>2</v>
      </c>
    </row>
    <row r="4839" hidden="1" spans="1:14">
      <c r="A4839">
        <v>4393</v>
      </c>
      <c r="C4839" t="s">
        <v>128</v>
      </c>
      <c r="E4839">
        <v>-82.7443</v>
      </c>
      <c r="F4839">
        <v>29.0656</v>
      </c>
      <c r="G4839">
        <v>92386.25</v>
      </c>
      <c r="H4839" s="1">
        <v>42615</v>
      </c>
      <c r="I4839" s="1">
        <v>42623</v>
      </c>
      <c r="J4839" t="s">
        <v>15</v>
      </c>
      <c r="K4839">
        <v>2</v>
      </c>
      <c r="L4839">
        <v>0</v>
      </c>
      <c r="M4839" t="s">
        <v>1058</v>
      </c>
      <c r="N4839">
        <v>1</v>
      </c>
    </row>
    <row r="4840" hidden="1" spans="1:14">
      <c r="A4840">
        <v>4402</v>
      </c>
      <c r="C4840" t="s">
        <v>128</v>
      </c>
      <c r="D4840" t="s">
        <v>364</v>
      </c>
      <c r="E4840">
        <v>-80.8949</v>
      </c>
      <c r="F4840">
        <v>33.0316</v>
      </c>
      <c r="G4840">
        <v>138622.34</v>
      </c>
      <c r="H4840" s="1">
        <v>42648</v>
      </c>
      <c r="I4840" s="1">
        <v>42659</v>
      </c>
      <c r="J4840" t="s">
        <v>15</v>
      </c>
      <c r="K4840">
        <v>920</v>
      </c>
      <c r="L4840">
        <v>6000</v>
      </c>
      <c r="M4840" t="s">
        <v>682</v>
      </c>
      <c r="N4840">
        <v>2</v>
      </c>
    </row>
    <row r="4841" hidden="1" spans="1:14">
      <c r="A4841">
        <v>4434</v>
      </c>
      <c r="C4841" t="s">
        <v>128</v>
      </c>
      <c r="E4841">
        <v>-122.458</v>
      </c>
      <c r="F4841">
        <v>39.6236</v>
      </c>
      <c r="G4841">
        <v>107407.26</v>
      </c>
      <c r="H4841" s="1">
        <v>42739</v>
      </c>
      <c r="I4841" s="1">
        <v>42740</v>
      </c>
      <c r="J4841" t="s">
        <v>15</v>
      </c>
      <c r="K4841">
        <v>0</v>
      </c>
      <c r="L4841">
        <v>0</v>
      </c>
      <c r="M4841" t="s">
        <v>49</v>
      </c>
      <c r="N4841">
        <v>1.5</v>
      </c>
    </row>
    <row r="4842" hidden="1" spans="1:14">
      <c r="A4842">
        <v>4438</v>
      </c>
      <c r="C4842" t="s">
        <v>128</v>
      </c>
      <c r="E4842">
        <v>-119.043</v>
      </c>
      <c r="F4842">
        <v>35.0839</v>
      </c>
      <c r="G4842">
        <v>74443.11</v>
      </c>
      <c r="H4842" s="1">
        <v>42755</v>
      </c>
      <c r="I4842" s="1">
        <v>42756</v>
      </c>
      <c r="J4842" t="s">
        <v>15</v>
      </c>
      <c r="K4842">
        <v>0</v>
      </c>
      <c r="L4842">
        <v>0</v>
      </c>
      <c r="M4842" t="s">
        <v>49</v>
      </c>
      <c r="N4842">
        <v>1</v>
      </c>
    </row>
    <row r="4843" hidden="1" spans="1:14">
      <c r="A4843">
        <v>4444</v>
      </c>
      <c r="C4843" t="s">
        <v>128</v>
      </c>
      <c r="E4843">
        <v>-120.825</v>
      </c>
      <c r="F4843">
        <v>38.804</v>
      </c>
      <c r="G4843">
        <v>126994.99</v>
      </c>
      <c r="H4843" s="1">
        <v>42782</v>
      </c>
      <c r="I4843" s="1">
        <v>42797</v>
      </c>
      <c r="J4843" t="s">
        <v>15</v>
      </c>
      <c r="K4843">
        <v>5</v>
      </c>
      <c r="L4843">
        <v>14000</v>
      </c>
      <c r="M4843" t="s">
        <v>49</v>
      </c>
      <c r="N4843">
        <v>1.5</v>
      </c>
    </row>
    <row r="4844" hidden="1" spans="1:14">
      <c r="A4844">
        <v>4454</v>
      </c>
      <c r="C4844" t="s">
        <v>128</v>
      </c>
      <c r="E4844">
        <v>-116.123</v>
      </c>
      <c r="F4844">
        <v>45.5453</v>
      </c>
      <c r="G4844">
        <v>75112.79</v>
      </c>
      <c r="H4844" s="1">
        <v>42812</v>
      </c>
      <c r="I4844" s="1">
        <v>42816</v>
      </c>
      <c r="J4844" t="s">
        <v>15</v>
      </c>
      <c r="K4844">
        <v>0</v>
      </c>
      <c r="L4844">
        <v>0</v>
      </c>
      <c r="M4844" t="s">
        <v>67</v>
      </c>
      <c r="N4844">
        <v>1</v>
      </c>
    </row>
    <row r="4845" hidden="1" spans="1:14">
      <c r="A4845">
        <v>4468</v>
      </c>
      <c r="C4845" t="s">
        <v>128</v>
      </c>
      <c r="E4845">
        <v>-91.1819</v>
      </c>
      <c r="F4845">
        <v>37.5744</v>
      </c>
      <c r="G4845">
        <v>482098.66</v>
      </c>
      <c r="H4845" s="1">
        <v>42853</v>
      </c>
      <c r="I4845" s="1">
        <v>42857</v>
      </c>
      <c r="J4845" t="s">
        <v>15</v>
      </c>
      <c r="K4845">
        <v>0</v>
      </c>
      <c r="L4845">
        <v>0</v>
      </c>
      <c r="M4845" t="s">
        <v>49</v>
      </c>
      <c r="N4845">
        <v>1.5</v>
      </c>
    </row>
    <row r="4846" hidden="1" spans="1:14">
      <c r="A4846">
        <v>4469</v>
      </c>
      <c r="C4846" t="s">
        <v>128</v>
      </c>
      <c r="E4846">
        <v>-81.5814</v>
      </c>
      <c r="F4846">
        <v>34.9912</v>
      </c>
      <c r="G4846">
        <v>133033.09</v>
      </c>
      <c r="H4846" s="1">
        <v>42851</v>
      </c>
      <c r="I4846" s="1">
        <v>42857</v>
      </c>
      <c r="J4846" t="s">
        <v>15</v>
      </c>
      <c r="K4846">
        <v>1</v>
      </c>
      <c r="L4846">
        <v>0</v>
      </c>
      <c r="M4846" t="s">
        <v>49</v>
      </c>
      <c r="N4846">
        <v>1.5</v>
      </c>
    </row>
    <row r="4847" hidden="1" spans="1:14">
      <c r="A4847">
        <v>4477</v>
      </c>
      <c r="C4847" t="s">
        <v>128</v>
      </c>
      <c r="E4847">
        <v>-86.3816</v>
      </c>
      <c r="F4847">
        <v>37.5473</v>
      </c>
      <c r="G4847">
        <v>69077.91</v>
      </c>
      <c r="H4847" s="1">
        <v>42874</v>
      </c>
      <c r="I4847" s="1">
        <v>42876</v>
      </c>
      <c r="J4847" t="s">
        <v>15</v>
      </c>
      <c r="K4847">
        <v>0</v>
      </c>
      <c r="L4847">
        <v>0</v>
      </c>
      <c r="M4847" t="s">
        <v>52</v>
      </c>
      <c r="N4847">
        <v>1</v>
      </c>
    </row>
    <row r="4848" hidden="1" spans="1:14">
      <c r="A4848">
        <v>4493</v>
      </c>
      <c r="C4848" t="s">
        <v>128</v>
      </c>
      <c r="E4848">
        <v>-111.62</v>
      </c>
      <c r="F4848">
        <v>34.2375</v>
      </c>
      <c r="G4848">
        <v>9110.64</v>
      </c>
      <c r="H4848" s="1">
        <v>42931</v>
      </c>
      <c r="I4848" s="1">
        <v>42932</v>
      </c>
      <c r="J4848" t="s">
        <v>15</v>
      </c>
      <c r="K4848">
        <v>9</v>
      </c>
      <c r="L4848">
        <v>0</v>
      </c>
      <c r="M4848" t="s">
        <v>52</v>
      </c>
      <c r="N4848">
        <v>2</v>
      </c>
    </row>
    <row r="4849" hidden="1" spans="1:14">
      <c r="A4849">
        <v>4494</v>
      </c>
      <c r="C4849" t="s">
        <v>128</v>
      </c>
      <c r="E4849">
        <v>-84.2042</v>
      </c>
      <c r="F4849">
        <v>38.4883</v>
      </c>
      <c r="G4849">
        <v>3337.42</v>
      </c>
      <c r="H4849" s="1">
        <v>42938</v>
      </c>
      <c r="I4849" s="1">
        <v>42939</v>
      </c>
      <c r="J4849" t="s">
        <v>15</v>
      </c>
      <c r="K4849">
        <v>1</v>
      </c>
      <c r="L4849">
        <v>10</v>
      </c>
      <c r="M4849" t="s">
        <v>52</v>
      </c>
      <c r="N4849">
        <v>1.5</v>
      </c>
    </row>
    <row r="4850" hidden="1" spans="1:14">
      <c r="A4850">
        <v>4510</v>
      </c>
      <c r="C4850" t="s">
        <v>128</v>
      </c>
      <c r="E4850">
        <v>-95.3388</v>
      </c>
      <c r="F4850">
        <v>30.1135</v>
      </c>
      <c r="G4850">
        <v>336227.02</v>
      </c>
      <c r="H4850" s="1">
        <v>42972</v>
      </c>
      <c r="I4850" s="1">
        <v>42973</v>
      </c>
      <c r="J4850" t="s">
        <v>15</v>
      </c>
      <c r="K4850">
        <v>0</v>
      </c>
      <c r="L4850">
        <v>0</v>
      </c>
      <c r="M4850" t="s">
        <v>1070</v>
      </c>
      <c r="N4850">
        <v>2</v>
      </c>
    </row>
    <row r="4851" hidden="1" spans="1:14">
      <c r="A4851">
        <v>4514</v>
      </c>
      <c r="C4851" t="s">
        <v>128</v>
      </c>
      <c r="E4851">
        <v>-94.646</v>
      </c>
      <c r="F4851">
        <v>39.1877</v>
      </c>
      <c r="G4851">
        <v>4765.56</v>
      </c>
      <c r="H4851" s="1">
        <v>42969</v>
      </c>
      <c r="I4851" s="1">
        <v>42973</v>
      </c>
      <c r="J4851" t="s">
        <v>15</v>
      </c>
      <c r="K4851">
        <v>1</v>
      </c>
      <c r="L4851">
        <v>36</v>
      </c>
      <c r="M4851" t="s">
        <v>52</v>
      </c>
      <c r="N4851">
        <v>1.5</v>
      </c>
    </row>
    <row r="4852" hidden="1" spans="1:14">
      <c r="A4852">
        <v>4516</v>
      </c>
      <c r="B4852" t="s">
        <v>1071</v>
      </c>
      <c r="C4852" t="s">
        <v>128</v>
      </c>
      <c r="D4852" t="s">
        <v>343</v>
      </c>
      <c r="E4852">
        <v>-81.6252</v>
      </c>
      <c r="F4852">
        <v>28.5942</v>
      </c>
      <c r="G4852">
        <v>219532.85</v>
      </c>
      <c r="H4852" s="1">
        <v>42986</v>
      </c>
      <c r="I4852" s="1">
        <v>42997</v>
      </c>
      <c r="J4852" t="s">
        <v>15</v>
      </c>
      <c r="K4852">
        <v>84</v>
      </c>
      <c r="L4852">
        <v>3000</v>
      </c>
      <c r="M4852" t="s">
        <v>1072</v>
      </c>
      <c r="N4852">
        <v>2</v>
      </c>
    </row>
    <row r="4853" hidden="1" spans="1:14">
      <c r="A4853">
        <v>4523</v>
      </c>
      <c r="B4853" t="s">
        <v>1073</v>
      </c>
      <c r="C4853" t="s">
        <v>128</v>
      </c>
      <c r="D4853" t="s">
        <v>1074</v>
      </c>
      <c r="E4853">
        <v>-77.1771</v>
      </c>
      <c r="F4853">
        <v>21.4518</v>
      </c>
      <c r="G4853">
        <v>49677.14</v>
      </c>
      <c r="H4853" s="1">
        <v>42997</v>
      </c>
      <c r="I4853" s="1">
        <v>43015</v>
      </c>
      <c r="J4853" t="s">
        <v>15</v>
      </c>
      <c r="K4853">
        <v>10</v>
      </c>
      <c r="L4853">
        <v>0</v>
      </c>
      <c r="M4853" t="s">
        <v>1075</v>
      </c>
      <c r="N4853">
        <v>2</v>
      </c>
    </row>
    <row r="4854" hidden="1" spans="1:14">
      <c r="A4854">
        <v>4560</v>
      </c>
      <c r="C4854" t="s">
        <v>128</v>
      </c>
      <c r="E4854">
        <v>-118.4</v>
      </c>
      <c r="F4854">
        <v>33.8689</v>
      </c>
      <c r="G4854">
        <v>12771.17</v>
      </c>
      <c r="H4854" s="1">
        <v>43109</v>
      </c>
      <c r="I4854" s="1">
        <v>43111</v>
      </c>
      <c r="J4854" t="s">
        <v>15</v>
      </c>
      <c r="K4854">
        <v>15</v>
      </c>
      <c r="L4854">
        <v>1200</v>
      </c>
      <c r="M4854" t="s">
        <v>52</v>
      </c>
      <c r="N4854">
        <v>2</v>
      </c>
    </row>
    <row r="4855" hidden="1" spans="1:14">
      <c r="A4855">
        <v>4571</v>
      </c>
      <c r="C4855" t="s">
        <v>128</v>
      </c>
      <c r="E4855">
        <v>-84.2042</v>
      </c>
      <c r="F4855">
        <v>37.4097</v>
      </c>
      <c r="G4855">
        <v>49388.31</v>
      </c>
      <c r="H4855" s="1">
        <v>43141</v>
      </c>
      <c r="I4855" s="1">
        <v>43143</v>
      </c>
      <c r="J4855" t="s">
        <v>15</v>
      </c>
      <c r="K4855">
        <v>0</v>
      </c>
      <c r="L4855">
        <v>100</v>
      </c>
      <c r="M4855" t="s">
        <v>49</v>
      </c>
      <c r="N4855">
        <v>1</v>
      </c>
    </row>
    <row r="4856" hidden="1" spans="1:14">
      <c r="A4856">
        <v>4575</v>
      </c>
      <c r="C4856" t="s">
        <v>128</v>
      </c>
      <c r="E4856">
        <v>-86.0243</v>
      </c>
      <c r="F4856">
        <v>41.9359</v>
      </c>
      <c r="G4856">
        <v>71930.31</v>
      </c>
      <c r="H4856" s="1">
        <v>43150</v>
      </c>
      <c r="I4856" s="1">
        <v>43152</v>
      </c>
      <c r="J4856" t="s">
        <v>15</v>
      </c>
      <c r="K4856">
        <v>2</v>
      </c>
      <c r="L4856">
        <v>50</v>
      </c>
      <c r="M4856" t="s">
        <v>67</v>
      </c>
      <c r="N4856">
        <v>1.5</v>
      </c>
    </row>
    <row r="4857" hidden="1" spans="1:14">
      <c r="A4857">
        <v>4589</v>
      </c>
      <c r="C4857" t="s">
        <v>128</v>
      </c>
      <c r="E4857">
        <v>-121.122</v>
      </c>
      <c r="F4857">
        <v>37.9118</v>
      </c>
      <c r="G4857">
        <v>51513.38</v>
      </c>
      <c r="H4857" s="1">
        <v>43180</v>
      </c>
      <c r="I4857" s="1">
        <v>43183</v>
      </c>
      <c r="J4857" t="s">
        <v>56</v>
      </c>
      <c r="K4857">
        <v>0</v>
      </c>
      <c r="L4857">
        <v>30000</v>
      </c>
      <c r="M4857" t="s">
        <v>49</v>
      </c>
      <c r="N4857">
        <v>1.5</v>
      </c>
    </row>
    <row r="4858" hidden="1" spans="1:14">
      <c r="A4858">
        <v>4594</v>
      </c>
      <c r="C4858" t="s">
        <v>128</v>
      </c>
      <c r="E4858">
        <v>-88.1137</v>
      </c>
      <c r="F4858">
        <v>38.2921</v>
      </c>
      <c r="G4858">
        <v>58373.43</v>
      </c>
      <c r="H4858" s="1">
        <v>43193</v>
      </c>
      <c r="I4858" s="1">
        <v>43198</v>
      </c>
      <c r="J4858" t="s">
        <v>56</v>
      </c>
      <c r="K4858">
        <v>0</v>
      </c>
      <c r="L4858">
        <v>12</v>
      </c>
      <c r="M4858" t="s">
        <v>52</v>
      </c>
      <c r="N4858">
        <v>1.5</v>
      </c>
    </row>
    <row r="4859" hidden="1" spans="1:14">
      <c r="A4859">
        <v>4601</v>
      </c>
      <c r="C4859" t="s">
        <v>128</v>
      </c>
      <c r="E4859">
        <v>-159.489</v>
      </c>
      <c r="F4859">
        <v>22.1409</v>
      </c>
      <c r="G4859">
        <v>623.434</v>
      </c>
      <c r="H4859" s="1">
        <v>43204</v>
      </c>
      <c r="I4859" s="1">
        <v>43207</v>
      </c>
      <c r="J4859" t="s">
        <v>56</v>
      </c>
      <c r="K4859">
        <v>0</v>
      </c>
      <c r="L4859">
        <v>0</v>
      </c>
      <c r="M4859" t="s">
        <v>49</v>
      </c>
      <c r="N4859">
        <v>1</v>
      </c>
    </row>
    <row r="4860" hidden="1" spans="1:14">
      <c r="A4860">
        <v>4610</v>
      </c>
      <c r="C4860" t="s">
        <v>128</v>
      </c>
      <c r="E4860">
        <v>-112.61</v>
      </c>
      <c r="F4860">
        <v>46.3871</v>
      </c>
      <c r="G4860">
        <v>55437.8</v>
      </c>
      <c r="H4860" s="1">
        <v>43227</v>
      </c>
      <c r="I4860" s="1">
        <v>43234</v>
      </c>
      <c r="J4860" t="s">
        <v>15</v>
      </c>
      <c r="K4860">
        <v>0</v>
      </c>
      <c r="L4860">
        <v>195</v>
      </c>
      <c r="M4860" t="s">
        <v>67</v>
      </c>
      <c r="N4860">
        <v>1</v>
      </c>
    </row>
    <row r="4861" hidden="1" spans="1:14">
      <c r="A4861">
        <v>4618</v>
      </c>
      <c r="C4861" t="s">
        <v>128</v>
      </c>
      <c r="E4861">
        <v>-77.9936</v>
      </c>
      <c r="F4861">
        <v>37.7166</v>
      </c>
      <c r="G4861">
        <v>33123.01</v>
      </c>
      <c r="H4861" s="1">
        <v>43230</v>
      </c>
      <c r="I4861" s="1">
        <v>43242</v>
      </c>
      <c r="J4861" t="s">
        <v>15</v>
      </c>
      <c r="K4861">
        <v>0</v>
      </c>
      <c r="L4861">
        <v>0</v>
      </c>
      <c r="M4861" t="s">
        <v>49</v>
      </c>
      <c r="N4861">
        <v>1.5</v>
      </c>
    </row>
    <row r="4862" hidden="1" spans="1:14">
      <c r="A4862">
        <v>4625</v>
      </c>
      <c r="C4862" t="s">
        <v>128</v>
      </c>
      <c r="D4862" t="s">
        <v>343</v>
      </c>
      <c r="E4862">
        <v>-84.4022</v>
      </c>
      <c r="F4862">
        <v>34.0254</v>
      </c>
      <c r="G4862">
        <v>221576.46</v>
      </c>
      <c r="H4862" s="1">
        <v>43247</v>
      </c>
      <c r="I4862" s="1">
        <v>43251</v>
      </c>
      <c r="J4862" t="s">
        <v>56</v>
      </c>
      <c r="K4862">
        <v>3</v>
      </c>
      <c r="L4862">
        <v>23000</v>
      </c>
      <c r="M4862" t="s">
        <v>1076</v>
      </c>
      <c r="N4862">
        <v>1.5</v>
      </c>
    </row>
    <row r="4863" hidden="1" spans="1:14">
      <c r="A4863">
        <v>4626</v>
      </c>
      <c r="C4863" t="s">
        <v>128</v>
      </c>
      <c r="E4863">
        <v>-76.8306</v>
      </c>
      <c r="F4863">
        <v>39.2531</v>
      </c>
      <c r="G4863">
        <v>1507.96</v>
      </c>
      <c r="H4863" s="1">
        <v>43247</v>
      </c>
      <c r="I4863" s="1">
        <v>43248</v>
      </c>
      <c r="J4863" t="s">
        <v>56</v>
      </c>
      <c r="K4863">
        <v>1</v>
      </c>
      <c r="L4863">
        <v>200</v>
      </c>
      <c r="M4863" t="s">
        <v>52</v>
      </c>
      <c r="N4863">
        <v>2</v>
      </c>
    </row>
    <row r="4864" hidden="1" spans="1:14">
      <c r="A4864">
        <v>4630</v>
      </c>
      <c r="C4864" t="s">
        <v>128</v>
      </c>
      <c r="E4864">
        <v>-79.0823</v>
      </c>
      <c r="F4864">
        <v>38.7086</v>
      </c>
      <c r="G4864">
        <v>20688.31</v>
      </c>
      <c r="H4864" s="1">
        <v>43253</v>
      </c>
      <c r="I4864" s="1">
        <v>43255</v>
      </c>
      <c r="J4864" t="s">
        <v>58</v>
      </c>
      <c r="K4864">
        <v>0</v>
      </c>
      <c r="L4864">
        <v>0</v>
      </c>
      <c r="M4864" t="s">
        <v>49</v>
      </c>
      <c r="N4864">
        <v>1.5</v>
      </c>
    </row>
    <row r="4865" hidden="1" spans="1:14">
      <c r="A4865">
        <v>4633</v>
      </c>
      <c r="C4865" t="s">
        <v>128</v>
      </c>
      <c r="E4865">
        <v>-88.9797</v>
      </c>
      <c r="F4865">
        <v>46.6721</v>
      </c>
      <c r="G4865">
        <v>10654.03</v>
      </c>
      <c r="H4865" s="1">
        <v>43267</v>
      </c>
      <c r="I4865" s="1">
        <v>43270</v>
      </c>
      <c r="J4865" t="s">
        <v>58</v>
      </c>
      <c r="K4865">
        <v>0</v>
      </c>
      <c r="L4865">
        <v>0</v>
      </c>
      <c r="M4865" t="s">
        <v>52</v>
      </c>
      <c r="N4865">
        <v>1</v>
      </c>
    </row>
    <row r="4866" hidden="1" spans="1:14">
      <c r="A4866">
        <v>4637</v>
      </c>
      <c r="C4866" t="s">
        <v>128</v>
      </c>
      <c r="E4866">
        <v>-93.3593</v>
      </c>
      <c r="F4866">
        <v>41.964</v>
      </c>
      <c r="G4866">
        <v>13708.59</v>
      </c>
      <c r="H4866" s="1">
        <v>43271</v>
      </c>
      <c r="I4866" s="1">
        <v>43283</v>
      </c>
      <c r="J4866" t="s">
        <v>56</v>
      </c>
      <c r="K4866">
        <v>1</v>
      </c>
      <c r="L4866">
        <v>100</v>
      </c>
      <c r="M4866" t="s">
        <v>49</v>
      </c>
      <c r="N4866">
        <v>1.5</v>
      </c>
    </row>
    <row r="4867" hidden="1" spans="1:14">
      <c r="A4867">
        <v>4651</v>
      </c>
      <c r="C4867" t="s">
        <v>128</v>
      </c>
      <c r="E4867">
        <v>-71.585</v>
      </c>
      <c r="F4867">
        <v>42.3869</v>
      </c>
      <c r="G4867">
        <v>5095.45</v>
      </c>
      <c r="H4867" s="1">
        <v>43298</v>
      </c>
      <c r="I4867" s="1">
        <v>43300</v>
      </c>
      <c r="J4867" t="s">
        <v>56</v>
      </c>
      <c r="K4867">
        <v>0</v>
      </c>
      <c r="L4867">
        <v>0</v>
      </c>
      <c r="M4867" t="s">
        <v>52</v>
      </c>
      <c r="N4867">
        <v>1.5</v>
      </c>
    </row>
    <row r="4868" hidden="1" spans="1:14">
      <c r="A4868">
        <v>4669</v>
      </c>
      <c r="C4868" t="s">
        <v>128</v>
      </c>
      <c r="E4868">
        <v>-76.7193</v>
      </c>
      <c r="F4868">
        <v>40.2696</v>
      </c>
      <c r="G4868">
        <v>25377.62</v>
      </c>
      <c r="H4868" s="1">
        <v>43343</v>
      </c>
      <c r="I4868" s="1">
        <v>43344</v>
      </c>
      <c r="J4868" t="s">
        <v>56</v>
      </c>
      <c r="K4868">
        <v>1</v>
      </c>
      <c r="L4868">
        <v>0</v>
      </c>
      <c r="M4868" t="s">
        <v>52</v>
      </c>
      <c r="N4868">
        <v>1.5</v>
      </c>
    </row>
    <row r="4869" hidden="1" spans="1:14">
      <c r="A4869">
        <v>4670</v>
      </c>
      <c r="C4869" t="s">
        <v>128</v>
      </c>
      <c r="E4869">
        <v>-155.441</v>
      </c>
      <c r="F4869">
        <v>19.6689</v>
      </c>
      <c r="G4869">
        <v>7451.62</v>
      </c>
      <c r="H4869" s="1">
        <v>43334</v>
      </c>
      <c r="I4869" s="1">
        <v>43343</v>
      </c>
      <c r="J4869" t="s">
        <v>56</v>
      </c>
      <c r="K4869">
        <v>0</v>
      </c>
      <c r="L4869">
        <v>50</v>
      </c>
      <c r="M4869" t="s">
        <v>1077</v>
      </c>
      <c r="N4869">
        <v>2</v>
      </c>
    </row>
    <row r="4870" hidden="1" spans="1:14">
      <c r="A4870">
        <v>4672</v>
      </c>
      <c r="C4870" t="s">
        <v>128</v>
      </c>
      <c r="E4870">
        <v>-96.91</v>
      </c>
      <c r="F4870">
        <v>38.8297</v>
      </c>
      <c r="G4870">
        <v>40006.3</v>
      </c>
      <c r="H4870" s="1">
        <v>43344</v>
      </c>
      <c r="I4870" s="1">
        <v>43350</v>
      </c>
      <c r="J4870" t="s">
        <v>56</v>
      </c>
      <c r="K4870">
        <v>0</v>
      </c>
      <c r="L4870">
        <v>300</v>
      </c>
      <c r="M4870" t="s">
        <v>52</v>
      </c>
      <c r="N4870">
        <v>1.5</v>
      </c>
    </row>
    <row r="4871" hidden="1" spans="1:14">
      <c r="A4871">
        <v>4676</v>
      </c>
      <c r="C4871" t="s">
        <v>128</v>
      </c>
      <c r="E4871">
        <v>-78.9091</v>
      </c>
      <c r="F4871">
        <v>35.0642</v>
      </c>
      <c r="G4871">
        <v>95203.22</v>
      </c>
      <c r="H4871" s="1">
        <v>43358</v>
      </c>
      <c r="I4871" s="1">
        <v>43375</v>
      </c>
      <c r="J4871" t="s">
        <v>56</v>
      </c>
      <c r="K4871">
        <v>12</v>
      </c>
      <c r="L4871">
        <v>1500000</v>
      </c>
      <c r="M4871" t="s">
        <v>1078</v>
      </c>
      <c r="N4871">
        <v>2</v>
      </c>
    </row>
    <row r="4872" hidden="1" spans="1:14">
      <c r="A4872">
        <v>4678</v>
      </c>
      <c r="C4872" t="s">
        <v>128</v>
      </c>
      <c r="E4872">
        <v>-84.2042</v>
      </c>
      <c r="F4872">
        <v>35.2403</v>
      </c>
      <c r="G4872">
        <v>8943.56</v>
      </c>
      <c r="H4872" s="1">
        <v>43369</v>
      </c>
      <c r="I4872" s="1">
        <v>43371</v>
      </c>
      <c r="J4872" t="s">
        <v>56</v>
      </c>
      <c r="K4872">
        <v>1</v>
      </c>
      <c r="L4872">
        <v>40</v>
      </c>
      <c r="M4872" t="s">
        <v>52</v>
      </c>
      <c r="N4872">
        <v>1.5</v>
      </c>
    </row>
    <row r="4873" hidden="1" spans="1:14">
      <c r="A4873">
        <v>4679</v>
      </c>
      <c r="C4873" t="s">
        <v>128</v>
      </c>
      <c r="E4873">
        <v>-73.6264</v>
      </c>
      <c r="F4873">
        <v>41.1607</v>
      </c>
      <c r="G4873">
        <v>7688.76</v>
      </c>
      <c r="H4873" s="1">
        <v>43367</v>
      </c>
      <c r="I4873" s="1">
        <v>43371</v>
      </c>
      <c r="J4873" t="s">
        <v>56</v>
      </c>
      <c r="K4873">
        <v>0</v>
      </c>
      <c r="L4873">
        <v>0</v>
      </c>
      <c r="M4873" t="s">
        <v>52</v>
      </c>
      <c r="N4873">
        <v>1.5</v>
      </c>
    </row>
    <row r="4874" hidden="1" spans="1:14">
      <c r="A4874">
        <v>4687</v>
      </c>
      <c r="C4874" t="s">
        <v>128</v>
      </c>
      <c r="E4874">
        <v>-82.0268</v>
      </c>
      <c r="F4874">
        <v>33.6279</v>
      </c>
      <c r="G4874">
        <v>289139.57</v>
      </c>
      <c r="H4874" s="1">
        <v>43383</v>
      </c>
      <c r="I4874" s="1">
        <v>43385</v>
      </c>
      <c r="J4874" t="s">
        <v>56</v>
      </c>
      <c r="K4874">
        <v>0</v>
      </c>
      <c r="L4874">
        <v>5000</v>
      </c>
      <c r="M4874" t="s">
        <v>1079</v>
      </c>
      <c r="N4874">
        <v>1.5</v>
      </c>
    </row>
    <row r="4875" hidden="1" spans="1:14">
      <c r="A4875">
        <v>4693</v>
      </c>
      <c r="C4875" t="s">
        <v>128</v>
      </c>
      <c r="E4875">
        <v>-98.4317</v>
      </c>
      <c r="F4875">
        <v>30.7598</v>
      </c>
      <c r="G4875">
        <v>52970.8</v>
      </c>
      <c r="H4875" s="1">
        <v>43388</v>
      </c>
      <c r="I4875" s="1">
        <v>43390</v>
      </c>
      <c r="J4875" t="s">
        <v>56</v>
      </c>
      <c r="K4875">
        <v>4</v>
      </c>
      <c r="L4875">
        <v>0</v>
      </c>
      <c r="M4875" t="s">
        <v>52</v>
      </c>
      <c r="N4875">
        <v>1.5</v>
      </c>
    </row>
    <row r="4876" hidden="1" spans="1:14">
      <c r="A4876">
        <v>4696</v>
      </c>
      <c r="C4876" t="s">
        <v>128</v>
      </c>
      <c r="E4876">
        <v>-98.6544</v>
      </c>
      <c r="F4876">
        <v>27.8839</v>
      </c>
      <c r="G4876">
        <v>83020.68</v>
      </c>
      <c r="H4876" s="1">
        <v>43397</v>
      </c>
      <c r="I4876" s="1">
        <v>43400</v>
      </c>
      <c r="J4876" t="s">
        <v>1080</v>
      </c>
      <c r="K4876">
        <v>0</v>
      </c>
      <c r="L4876">
        <v>0</v>
      </c>
      <c r="M4876" t="s">
        <v>49</v>
      </c>
      <c r="N4876">
        <v>1</v>
      </c>
    </row>
    <row r="4877" hidden="1" spans="1:14">
      <c r="A4877">
        <v>4711</v>
      </c>
      <c r="C4877" t="s">
        <v>128</v>
      </c>
      <c r="E4877">
        <v>-120.058</v>
      </c>
      <c r="F4877">
        <v>35.7787</v>
      </c>
      <c r="G4877">
        <v>72393.23</v>
      </c>
      <c r="H4877" s="1">
        <v>43439</v>
      </c>
      <c r="I4877" s="1">
        <v>43444</v>
      </c>
      <c r="J4877" t="s">
        <v>56</v>
      </c>
      <c r="K4877">
        <v>0</v>
      </c>
      <c r="L4877">
        <v>0</v>
      </c>
      <c r="M4877" t="s">
        <v>49</v>
      </c>
      <c r="N4877">
        <v>1.5</v>
      </c>
    </row>
    <row r="4878" hidden="1" spans="1:14">
      <c r="A4878">
        <v>4727</v>
      </c>
      <c r="C4878" t="s">
        <v>128</v>
      </c>
      <c r="E4878">
        <v>-122.829</v>
      </c>
      <c r="F4878">
        <v>38.9788</v>
      </c>
      <c r="G4878">
        <v>21540.28</v>
      </c>
      <c r="H4878" s="1">
        <v>43521</v>
      </c>
      <c r="I4878" s="1">
        <v>43528</v>
      </c>
      <c r="J4878" t="s">
        <v>58</v>
      </c>
      <c r="K4878">
        <v>1</v>
      </c>
      <c r="L4878">
        <v>8000</v>
      </c>
      <c r="M4878" t="s">
        <v>49</v>
      </c>
      <c r="N4878">
        <v>1.5</v>
      </c>
    </row>
    <row r="4879" hidden="1" spans="1:14">
      <c r="A4879">
        <v>4730</v>
      </c>
      <c r="C4879" t="s">
        <v>128</v>
      </c>
      <c r="E4879">
        <v>-94.448</v>
      </c>
      <c r="F4879">
        <v>40.2782</v>
      </c>
      <c r="G4879">
        <v>492797.37</v>
      </c>
      <c r="H4879" s="1">
        <v>43537</v>
      </c>
      <c r="I4879" s="1">
        <v>43557</v>
      </c>
      <c r="J4879" t="s">
        <v>56</v>
      </c>
      <c r="K4879">
        <v>3</v>
      </c>
      <c r="L4879">
        <v>0</v>
      </c>
      <c r="M4879" t="s">
        <v>1081</v>
      </c>
      <c r="N4879">
        <v>2</v>
      </c>
    </row>
    <row r="4880" hidden="1" spans="1:14">
      <c r="A4880">
        <v>4747</v>
      </c>
      <c r="C4880" t="s">
        <v>128</v>
      </c>
      <c r="E4880">
        <v>-90.9839</v>
      </c>
      <c r="F4880">
        <v>38.3936</v>
      </c>
      <c r="G4880">
        <v>429706.84</v>
      </c>
      <c r="H4880" s="1">
        <v>43585</v>
      </c>
      <c r="I4880" s="1">
        <v>43626</v>
      </c>
      <c r="J4880" t="s">
        <v>56</v>
      </c>
      <c r="K4880">
        <v>2</v>
      </c>
      <c r="L4880">
        <v>0</v>
      </c>
      <c r="M4880" t="s">
        <v>49</v>
      </c>
      <c r="N4880">
        <v>1.5</v>
      </c>
    </row>
    <row r="4881" hidden="1" spans="1:14">
      <c r="A4881">
        <v>4748</v>
      </c>
      <c r="C4881" t="s">
        <v>128</v>
      </c>
      <c r="E4881">
        <v>-96.279</v>
      </c>
      <c r="F4881">
        <v>30.3126</v>
      </c>
      <c r="G4881">
        <v>79587.68</v>
      </c>
      <c r="H4881" s="1">
        <v>43591</v>
      </c>
      <c r="I4881" s="1">
        <v>43599</v>
      </c>
      <c r="J4881" t="s">
        <v>56</v>
      </c>
      <c r="K4881">
        <v>4</v>
      </c>
      <c r="L4881">
        <v>0</v>
      </c>
      <c r="M4881" t="s">
        <v>52</v>
      </c>
      <c r="N4881">
        <v>1.5</v>
      </c>
    </row>
    <row r="4882" hidden="1" spans="1:14">
      <c r="A4882">
        <v>4751</v>
      </c>
      <c r="C4882" t="s">
        <v>128</v>
      </c>
      <c r="E4882">
        <v>-95.2398</v>
      </c>
      <c r="F4882">
        <v>36.7091</v>
      </c>
      <c r="G4882">
        <v>250078.73</v>
      </c>
      <c r="H4882" s="1">
        <v>43605</v>
      </c>
      <c r="I4882" s="1">
        <v>43612</v>
      </c>
      <c r="J4882" t="s">
        <v>58</v>
      </c>
      <c r="K4882">
        <v>0</v>
      </c>
      <c r="L4882">
        <v>4000</v>
      </c>
      <c r="M4882" t="s">
        <v>49</v>
      </c>
      <c r="N4882">
        <v>2</v>
      </c>
    </row>
    <row r="4883" hidden="1" spans="1:14">
      <c r="A4883">
        <v>4770</v>
      </c>
      <c r="C4883" t="s">
        <v>128</v>
      </c>
      <c r="E4883">
        <v>-76.6469</v>
      </c>
      <c r="F4883">
        <v>39.0794</v>
      </c>
      <c r="G4883">
        <v>25782.65</v>
      </c>
      <c r="H4883" s="1">
        <v>43656</v>
      </c>
      <c r="I4883" s="1">
        <v>43658</v>
      </c>
      <c r="J4883" t="s">
        <v>56</v>
      </c>
      <c r="K4883">
        <v>2</v>
      </c>
      <c r="L4883">
        <v>100</v>
      </c>
      <c r="M4883" t="s">
        <v>52</v>
      </c>
      <c r="N4883">
        <v>1.5</v>
      </c>
    </row>
    <row r="4884" hidden="1" spans="1:14">
      <c r="A4884">
        <v>4771</v>
      </c>
      <c r="C4884" t="s">
        <v>128</v>
      </c>
      <c r="E4884">
        <v>-91.751</v>
      </c>
      <c r="F4884">
        <v>30.1493</v>
      </c>
      <c r="G4884">
        <v>58048.15</v>
      </c>
      <c r="H4884" s="1">
        <v>43655</v>
      </c>
      <c r="I4884" s="1">
        <v>43659</v>
      </c>
      <c r="J4884" t="s">
        <v>56</v>
      </c>
      <c r="K4884">
        <v>0</v>
      </c>
      <c r="L4884">
        <v>50</v>
      </c>
      <c r="M4884" t="s">
        <v>1082</v>
      </c>
      <c r="N4884">
        <v>1.5</v>
      </c>
    </row>
    <row r="4885" hidden="1" spans="1:14">
      <c r="A4885">
        <v>4797</v>
      </c>
      <c r="C4885" t="s">
        <v>128</v>
      </c>
      <c r="E4885">
        <v>-95.4473</v>
      </c>
      <c r="F4885">
        <v>29.4687</v>
      </c>
      <c r="G4885">
        <v>33023.95</v>
      </c>
      <c r="H4885" s="1">
        <v>43727</v>
      </c>
      <c r="I4885" s="1">
        <v>43730</v>
      </c>
      <c r="J4885" t="s">
        <v>56</v>
      </c>
      <c r="K4885">
        <v>6</v>
      </c>
      <c r="L4885">
        <v>0</v>
      </c>
      <c r="M4885" t="s">
        <v>1083</v>
      </c>
      <c r="N4885">
        <v>2</v>
      </c>
    </row>
    <row r="4886" hidden="1" spans="1:14">
      <c r="A4886">
        <v>4854</v>
      </c>
      <c r="C4886" t="s">
        <v>128</v>
      </c>
      <c r="E4886">
        <v>-86.728</v>
      </c>
      <c r="F4886">
        <v>35.6388</v>
      </c>
      <c r="G4886">
        <v>138726.87</v>
      </c>
      <c r="H4886" s="1">
        <v>43827</v>
      </c>
      <c r="I4886" s="1">
        <v>43830</v>
      </c>
      <c r="J4886" t="s">
        <v>56</v>
      </c>
      <c r="K4886">
        <v>2</v>
      </c>
      <c r="L4886">
        <v>0</v>
      </c>
      <c r="M4886" t="s">
        <v>49</v>
      </c>
      <c r="N4886">
        <v>1.5</v>
      </c>
    </row>
    <row r="4887" hidden="1" spans="1:14">
      <c r="A4887">
        <v>4876</v>
      </c>
      <c r="C4887" t="s">
        <v>128</v>
      </c>
      <c r="E4887">
        <v>-88.3364</v>
      </c>
      <c r="F4887">
        <v>31.8833</v>
      </c>
      <c r="G4887">
        <v>108059.77</v>
      </c>
      <c r="H4887" s="1">
        <v>43871</v>
      </c>
      <c r="I4887" s="1">
        <v>43878</v>
      </c>
      <c r="J4887" t="s">
        <v>56</v>
      </c>
      <c r="K4887">
        <v>0</v>
      </c>
      <c r="L4887">
        <v>300</v>
      </c>
      <c r="M4887" t="s">
        <v>49</v>
      </c>
      <c r="N4887">
        <v>2</v>
      </c>
    </row>
    <row r="4888" hidden="1" spans="1:14">
      <c r="A4888">
        <v>4899</v>
      </c>
      <c r="C4888" t="s">
        <v>128</v>
      </c>
      <c r="E4888">
        <v>-83.7588</v>
      </c>
      <c r="F4888">
        <v>39.3553</v>
      </c>
      <c r="G4888">
        <v>126521.34</v>
      </c>
      <c r="H4888" s="1">
        <v>43912</v>
      </c>
      <c r="I4888" s="1">
        <v>43924</v>
      </c>
      <c r="J4888" t="s">
        <v>56</v>
      </c>
      <c r="K4888">
        <v>8</v>
      </c>
      <c r="L4888">
        <v>30</v>
      </c>
      <c r="M4888" t="s">
        <v>49</v>
      </c>
      <c r="N4888">
        <v>1.5</v>
      </c>
    </row>
    <row r="4889" hidden="1" spans="1:14">
      <c r="A4889">
        <v>4915</v>
      </c>
      <c r="C4889" t="s">
        <v>128</v>
      </c>
      <c r="E4889">
        <v>-84.4764</v>
      </c>
      <c r="F4889">
        <v>43.2488</v>
      </c>
      <c r="G4889">
        <v>6215.87</v>
      </c>
      <c r="H4889" s="1">
        <v>43969</v>
      </c>
      <c r="I4889" s="1">
        <v>43971</v>
      </c>
      <c r="J4889" t="s">
        <v>56</v>
      </c>
      <c r="K4889">
        <v>0</v>
      </c>
      <c r="L4889">
        <v>10000</v>
      </c>
      <c r="M4889" t="s">
        <v>1084</v>
      </c>
      <c r="N4889">
        <v>2</v>
      </c>
    </row>
    <row r="4890" hidden="1" spans="1:14">
      <c r="A4890">
        <v>4962</v>
      </c>
      <c r="C4890" t="s">
        <v>128</v>
      </c>
      <c r="D4890" t="s">
        <v>364</v>
      </c>
      <c r="E4890">
        <v>-70.9417</v>
      </c>
      <c r="F4890">
        <v>19.5642</v>
      </c>
      <c r="G4890">
        <v>138227.84</v>
      </c>
      <c r="H4890" s="1">
        <v>44065</v>
      </c>
      <c r="I4890" s="1">
        <v>44073</v>
      </c>
      <c r="J4890" t="s">
        <v>56</v>
      </c>
      <c r="K4890">
        <v>72</v>
      </c>
      <c r="L4890">
        <v>600000</v>
      </c>
      <c r="M4890" t="s">
        <v>465</v>
      </c>
      <c r="N4890">
        <v>2</v>
      </c>
    </row>
    <row r="4891" hidden="1" spans="1:14">
      <c r="A4891">
        <v>4964</v>
      </c>
      <c r="C4891" t="s">
        <v>128</v>
      </c>
      <c r="E4891">
        <v>-86.5796</v>
      </c>
      <c r="F4891">
        <v>32.6508</v>
      </c>
      <c r="G4891">
        <v>193717.87</v>
      </c>
      <c r="H4891" s="1">
        <v>44089</v>
      </c>
      <c r="I4891" s="1">
        <v>44092</v>
      </c>
      <c r="J4891" t="s">
        <v>56</v>
      </c>
      <c r="K4891">
        <v>0</v>
      </c>
      <c r="L4891">
        <v>0</v>
      </c>
      <c r="M4891" t="s">
        <v>1085</v>
      </c>
      <c r="N4891">
        <v>2</v>
      </c>
    </row>
    <row r="4892" hidden="1" spans="1:14">
      <c r="A4892">
        <v>4991</v>
      </c>
      <c r="C4892" t="s">
        <v>128</v>
      </c>
      <c r="E4892">
        <v>-79.9483</v>
      </c>
      <c r="F4892">
        <v>35.7337</v>
      </c>
      <c r="G4892">
        <v>48932.78</v>
      </c>
      <c r="H4892" s="1">
        <v>44145</v>
      </c>
      <c r="I4892" s="1">
        <v>44155</v>
      </c>
      <c r="J4892" t="s">
        <v>58</v>
      </c>
      <c r="K4892">
        <v>7</v>
      </c>
      <c r="L4892">
        <v>0</v>
      </c>
      <c r="M4892" t="s">
        <v>748</v>
      </c>
      <c r="N4892">
        <v>2</v>
      </c>
    </row>
    <row r="4893" hidden="1" spans="1:14">
      <c r="A4893">
        <v>5014</v>
      </c>
      <c r="C4893" t="s">
        <v>128</v>
      </c>
      <c r="E4893">
        <v>-123.423</v>
      </c>
      <c r="F4893">
        <v>44.8553</v>
      </c>
      <c r="G4893">
        <v>68968</v>
      </c>
      <c r="H4893" s="1">
        <v>44207</v>
      </c>
      <c r="I4893" s="1">
        <v>44209</v>
      </c>
      <c r="J4893" t="s">
        <v>1086</v>
      </c>
      <c r="K4893">
        <v>0</v>
      </c>
      <c r="L4893">
        <v>0</v>
      </c>
      <c r="M4893" t="s">
        <v>49</v>
      </c>
      <c r="N4893">
        <v>1</v>
      </c>
    </row>
    <row r="4894" hidden="1" spans="1:14">
      <c r="A4894">
        <v>5037</v>
      </c>
      <c r="C4894" t="s">
        <v>128</v>
      </c>
      <c r="E4894">
        <v>-155.41</v>
      </c>
      <c r="F4894">
        <v>19.607</v>
      </c>
      <c r="G4894">
        <v>11889.2</v>
      </c>
      <c r="H4894" s="1">
        <v>44264</v>
      </c>
      <c r="I4894" s="1">
        <v>44266</v>
      </c>
      <c r="J4894" t="s">
        <v>56</v>
      </c>
      <c r="K4894">
        <v>0</v>
      </c>
      <c r="L4894">
        <v>100</v>
      </c>
      <c r="M4894" t="s">
        <v>756</v>
      </c>
      <c r="N4894">
        <v>2</v>
      </c>
    </row>
    <row r="4895" hidden="1" spans="1:14">
      <c r="A4895">
        <v>5044</v>
      </c>
      <c r="C4895" t="s">
        <v>128</v>
      </c>
      <c r="E4895">
        <v>-84.3156</v>
      </c>
      <c r="F4895">
        <v>36.833</v>
      </c>
      <c r="G4895">
        <v>99257.64</v>
      </c>
      <c r="H4895" s="1">
        <v>44255</v>
      </c>
      <c r="I4895" s="1">
        <v>44257</v>
      </c>
      <c r="J4895" t="s">
        <v>56</v>
      </c>
      <c r="K4895">
        <v>0</v>
      </c>
      <c r="L4895">
        <v>0</v>
      </c>
      <c r="M4895" t="s">
        <v>52</v>
      </c>
      <c r="N4895">
        <v>1.5</v>
      </c>
    </row>
    <row r="4896" hidden="1" spans="1:14">
      <c r="A4896">
        <v>5074</v>
      </c>
      <c r="C4896" t="s">
        <v>128</v>
      </c>
      <c r="E4896">
        <v>-93.1366</v>
      </c>
      <c r="F4896">
        <v>31.4521</v>
      </c>
      <c r="G4896">
        <v>90600.7</v>
      </c>
      <c r="H4896" s="1">
        <v>44332</v>
      </c>
      <c r="I4896" s="1">
        <v>44344</v>
      </c>
      <c r="J4896" t="s">
        <v>56</v>
      </c>
      <c r="K4896">
        <v>0</v>
      </c>
      <c r="L4896">
        <v>250</v>
      </c>
      <c r="M4896" t="s">
        <v>49</v>
      </c>
      <c r="N4896">
        <v>2</v>
      </c>
    </row>
    <row r="4897" hidden="1" spans="1:14">
      <c r="A4897">
        <v>5081</v>
      </c>
      <c r="C4897" t="s">
        <v>128</v>
      </c>
      <c r="E4897">
        <v>-84.996</v>
      </c>
      <c r="F4897">
        <v>33.4811</v>
      </c>
      <c r="G4897">
        <v>545514.29</v>
      </c>
      <c r="H4897" s="1">
        <v>44366</v>
      </c>
      <c r="I4897" s="1">
        <v>44368</v>
      </c>
      <c r="J4897" t="s">
        <v>56</v>
      </c>
      <c r="K4897">
        <v>15</v>
      </c>
      <c r="L4897">
        <v>0</v>
      </c>
      <c r="M4897" t="s">
        <v>1087</v>
      </c>
      <c r="N4897">
        <v>1.5</v>
      </c>
    </row>
    <row r="4898" hidden="1" spans="1:14">
      <c r="A4898">
        <v>5082</v>
      </c>
      <c r="C4898" t="s">
        <v>128</v>
      </c>
      <c r="E4898">
        <v>-86.5177</v>
      </c>
      <c r="F4898">
        <v>39.196</v>
      </c>
      <c r="G4898">
        <v>13396.63</v>
      </c>
      <c r="H4898" s="1">
        <v>44365</v>
      </c>
      <c r="I4898" s="1">
        <v>44367</v>
      </c>
      <c r="J4898" t="s">
        <v>56</v>
      </c>
      <c r="K4898">
        <v>1</v>
      </c>
      <c r="L4898">
        <v>0</v>
      </c>
      <c r="M4898" t="s">
        <v>52</v>
      </c>
      <c r="N4898">
        <v>1.5</v>
      </c>
    </row>
    <row r="4899" hidden="1" spans="1:14">
      <c r="A4899">
        <v>5102</v>
      </c>
      <c r="C4899" t="s">
        <v>128</v>
      </c>
      <c r="E4899">
        <v>-110.581</v>
      </c>
      <c r="F4899">
        <v>36.419</v>
      </c>
      <c r="G4899">
        <v>281607.33</v>
      </c>
      <c r="H4899" s="1">
        <v>44399</v>
      </c>
      <c r="I4899" s="1">
        <v>44405</v>
      </c>
      <c r="J4899" t="s">
        <v>56</v>
      </c>
      <c r="K4899">
        <v>4</v>
      </c>
      <c r="L4899">
        <v>0</v>
      </c>
      <c r="M4899" t="s">
        <v>52</v>
      </c>
      <c r="N4899">
        <v>2</v>
      </c>
    </row>
    <row r="4900" hidden="1" spans="1:14">
      <c r="A4900">
        <v>5117</v>
      </c>
      <c r="C4900" t="s">
        <v>128</v>
      </c>
      <c r="E4900">
        <v>-86.728</v>
      </c>
      <c r="F4900">
        <v>35.8118</v>
      </c>
      <c r="G4900">
        <v>31230.27</v>
      </c>
      <c r="H4900" s="1">
        <v>44429</v>
      </c>
      <c r="I4900" s="1">
        <v>44431</v>
      </c>
      <c r="J4900" t="s">
        <v>58</v>
      </c>
      <c r="K4900">
        <v>22</v>
      </c>
      <c r="L4900">
        <v>0</v>
      </c>
      <c r="M4900" t="s">
        <v>52</v>
      </c>
      <c r="N4900">
        <v>2</v>
      </c>
    </row>
    <row r="4901" hidden="1" spans="1:14">
      <c r="A4901">
        <v>5118</v>
      </c>
      <c r="C4901" t="s">
        <v>128</v>
      </c>
      <c r="E4901">
        <v>-91.751</v>
      </c>
      <c r="F4901">
        <v>30.2853</v>
      </c>
      <c r="G4901">
        <v>39063.25</v>
      </c>
      <c r="H4901" s="1">
        <v>44437</v>
      </c>
      <c r="I4901" s="1">
        <v>44437</v>
      </c>
      <c r="J4901" t="s">
        <v>1088</v>
      </c>
      <c r="K4901">
        <v>95</v>
      </c>
      <c r="L4901">
        <v>0</v>
      </c>
      <c r="M4901" t="s">
        <v>1056</v>
      </c>
      <c r="N4901">
        <v>1.5</v>
      </c>
    </row>
    <row r="4902" hidden="1" spans="1:14">
      <c r="A4902">
        <v>5125</v>
      </c>
      <c r="C4902" t="s">
        <v>128</v>
      </c>
      <c r="E4902">
        <v>-87.4085</v>
      </c>
      <c r="F4902">
        <v>33.3824</v>
      </c>
      <c r="G4902">
        <v>5985.94</v>
      </c>
      <c r="H4902" s="1">
        <v>44457</v>
      </c>
      <c r="I4902" s="1">
        <v>44459</v>
      </c>
      <c r="J4902" t="s">
        <v>56</v>
      </c>
      <c r="K4902">
        <v>1</v>
      </c>
      <c r="L4902">
        <v>0</v>
      </c>
      <c r="M4902" t="s">
        <v>52</v>
      </c>
      <c r="N4902">
        <v>1</v>
      </c>
    </row>
    <row r="4903" hidden="1" spans="1:14">
      <c r="A4903">
        <v>5128</v>
      </c>
      <c r="C4903" t="s">
        <v>128</v>
      </c>
      <c r="E4903">
        <v>-86.6291</v>
      </c>
      <c r="F4903">
        <v>32.4901</v>
      </c>
      <c r="G4903">
        <v>35416.48</v>
      </c>
      <c r="H4903" s="1">
        <v>44475</v>
      </c>
      <c r="I4903" s="1">
        <v>44478</v>
      </c>
      <c r="J4903" t="s">
        <v>56</v>
      </c>
      <c r="K4903">
        <v>4</v>
      </c>
      <c r="L4903">
        <v>0</v>
      </c>
      <c r="M4903" t="s">
        <v>52</v>
      </c>
      <c r="N4903">
        <v>1.5</v>
      </c>
    </row>
    <row r="4904" hidden="1" spans="1:14">
      <c r="A4904">
        <v>135</v>
      </c>
      <c r="B4904">
        <v>0</v>
      </c>
      <c r="C4904" t="s">
        <v>1089</v>
      </c>
      <c r="E4904">
        <v>-97.1003</v>
      </c>
      <c r="F4904">
        <v>28.9938</v>
      </c>
      <c r="G4904">
        <v>7258.74</v>
      </c>
      <c r="H4904" s="1">
        <v>31933</v>
      </c>
      <c r="I4904" s="1">
        <v>31936</v>
      </c>
      <c r="J4904" t="s">
        <v>15</v>
      </c>
      <c r="K4904">
        <v>0</v>
      </c>
      <c r="L4904">
        <v>536</v>
      </c>
      <c r="M4904" t="s">
        <v>16</v>
      </c>
      <c r="N4904">
        <v>1</v>
      </c>
    </row>
    <row r="4905" hidden="1" spans="1:14">
      <c r="A4905">
        <v>201</v>
      </c>
      <c r="B4905">
        <v>0</v>
      </c>
      <c r="C4905" t="s">
        <v>1089</v>
      </c>
      <c r="D4905">
        <v>0</v>
      </c>
      <c r="E4905">
        <v>-99.3069</v>
      </c>
      <c r="F4905">
        <v>30.0496</v>
      </c>
      <c r="G4905">
        <v>2444.8</v>
      </c>
      <c r="H4905" s="1">
        <v>32334</v>
      </c>
      <c r="I4905" s="1">
        <v>32335</v>
      </c>
      <c r="J4905" t="s">
        <v>15</v>
      </c>
      <c r="K4905">
        <v>5</v>
      </c>
      <c r="L4905">
        <v>0</v>
      </c>
      <c r="M4905" t="s">
        <v>16</v>
      </c>
      <c r="N4905">
        <v>1</v>
      </c>
    </row>
    <row r="4906" hidden="1" spans="1:14">
      <c r="A4906">
        <v>1597</v>
      </c>
      <c r="B4906">
        <v>0</v>
      </c>
      <c r="C4906" t="s">
        <v>1089</v>
      </c>
      <c r="D4906">
        <v>0</v>
      </c>
      <c r="E4906">
        <v>-92.2469</v>
      </c>
      <c r="F4906">
        <v>37.0091</v>
      </c>
      <c r="G4906">
        <v>75334.21</v>
      </c>
      <c r="H4906" s="1">
        <v>36652</v>
      </c>
      <c r="I4906" s="1">
        <v>36655</v>
      </c>
      <c r="J4906" t="s">
        <v>15</v>
      </c>
      <c r="K4906">
        <v>3</v>
      </c>
      <c r="L4906">
        <v>1200</v>
      </c>
      <c r="M4906" t="s">
        <v>18</v>
      </c>
      <c r="N4906">
        <v>2</v>
      </c>
    </row>
    <row r="4907" hidden="1" spans="1:14">
      <c r="A4907">
        <v>1812</v>
      </c>
      <c r="B4907">
        <v>0</v>
      </c>
      <c r="C4907" t="s">
        <v>1089</v>
      </c>
      <c r="D4907">
        <v>0</v>
      </c>
      <c r="E4907">
        <v>-87.3397</v>
      </c>
      <c r="F4907">
        <v>38.9667</v>
      </c>
      <c r="G4907">
        <v>17273.71</v>
      </c>
      <c r="H4907" s="1">
        <v>37179</v>
      </c>
      <c r="I4907" s="1">
        <v>37183</v>
      </c>
      <c r="J4907" t="s">
        <v>15</v>
      </c>
      <c r="K4907">
        <v>0</v>
      </c>
      <c r="L4907">
        <v>0</v>
      </c>
      <c r="M4907" t="s">
        <v>16</v>
      </c>
      <c r="N4907">
        <v>1</v>
      </c>
    </row>
    <row r="4908" hidden="1" spans="1:14">
      <c r="A4908">
        <v>1893</v>
      </c>
      <c r="B4908">
        <v>0</v>
      </c>
      <c r="C4908" t="s">
        <v>1090</v>
      </c>
      <c r="D4908">
        <v>0</v>
      </c>
      <c r="E4908">
        <v>-83.2183</v>
      </c>
      <c r="F4908">
        <v>36.8924</v>
      </c>
      <c r="G4908">
        <v>40931.32</v>
      </c>
      <c r="H4908" s="1">
        <v>37332</v>
      </c>
      <c r="I4908" s="1">
        <v>37339</v>
      </c>
      <c r="J4908" t="s">
        <v>15</v>
      </c>
      <c r="K4908">
        <v>7</v>
      </c>
      <c r="L4908">
        <v>2000</v>
      </c>
      <c r="M4908" t="s">
        <v>16</v>
      </c>
      <c r="N4908">
        <v>2</v>
      </c>
    </row>
    <row r="4909" hidden="1" spans="1:14">
      <c r="A4909">
        <v>215</v>
      </c>
      <c r="B4909">
        <v>0</v>
      </c>
      <c r="C4909" t="s">
        <v>1091</v>
      </c>
      <c r="D4909">
        <v>0</v>
      </c>
      <c r="E4909">
        <v>91.8093</v>
      </c>
      <c r="F4909">
        <v>59.7121</v>
      </c>
      <c r="G4909">
        <v>257907.18</v>
      </c>
      <c r="H4909" s="1">
        <v>32358</v>
      </c>
      <c r="I4909" s="1">
        <v>32359</v>
      </c>
      <c r="J4909" t="s">
        <v>15</v>
      </c>
      <c r="K4909">
        <v>0</v>
      </c>
      <c r="L4909">
        <v>0</v>
      </c>
      <c r="M4909" t="s">
        <v>64</v>
      </c>
      <c r="N4909">
        <v>1</v>
      </c>
    </row>
    <row r="4910" hidden="1" spans="1:14">
      <c r="A4910">
        <v>245</v>
      </c>
      <c r="B4910">
        <v>0</v>
      </c>
      <c r="C4910" t="s">
        <v>1091</v>
      </c>
      <c r="D4910">
        <v>0</v>
      </c>
      <c r="E4910">
        <v>110.35</v>
      </c>
      <c r="F4910">
        <v>52.3035</v>
      </c>
      <c r="G4910">
        <v>47419.16</v>
      </c>
      <c r="H4910" s="1">
        <v>32392</v>
      </c>
      <c r="I4910" s="1">
        <v>32392</v>
      </c>
      <c r="J4910" t="s">
        <v>15</v>
      </c>
      <c r="K4910">
        <v>0</v>
      </c>
      <c r="L4910">
        <v>0</v>
      </c>
      <c r="M4910" t="s">
        <v>64</v>
      </c>
      <c r="N4910">
        <v>1</v>
      </c>
    </row>
    <row r="4911" hidden="1" spans="1:14">
      <c r="A4911">
        <v>346</v>
      </c>
      <c r="B4911">
        <v>0</v>
      </c>
      <c r="C4911" t="s">
        <v>1091</v>
      </c>
      <c r="D4911">
        <v>0</v>
      </c>
      <c r="E4911">
        <v>134.254</v>
      </c>
      <c r="F4911">
        <v>45.7026</v>
      </c>
      <c r="G4911">
        <v>22856.05</v>
      </c>
      <c r="H4911" s="1">
        <v>32716</v>
      </c>
      <c r="I4911" s="1">
        <v>32727</v>
      </c>
      <c r="J4911" t="s">
        <v>15</v>
      </c>
      <c r="K4911">
        <v>17</v>
      </c>
      <c r="L4911">
        <v>0</v>
      </c>
      <c r="M4911" t="s">
        <v>16</v>
      </c>
      <c r="N4911">
        <v>2</v>
      </c>
    </row>
    <row r="4912" hidden="1" spans="1:14">
      <c r="A4912">
        <v>198</v>
      </c>
      <c r="B4912">
        <v>0</v>
      </c>
      <c r="C4912" t="s">
        <v>1092</v>
      </c>
      <c r="D4912">
        <v>0</v>
      </c>
      <c r="E4912">
        <v>39.8909</v>
      </c>
      <c r="F4912">
        <v>45.3603</v>
      </c>
      <c r="G4912">
        <v>102657.48</v>
      </c>
      <c r="H4912" s="1">
        <v>32329</v>
      </c>
      <c r="I4912" s="1">
        <v>32331</v>
      </c>
      <c r="J4912" t="s">
        <v>15</v>
      </c>
      <c r="K4912">
        <v>0</v>
      </c>
      <c r="L4912">
        <v>0</v>
      </c>
      <c r="M4912" t="s">
        <v>16</v>
      </c>
      <c r="N4912">
        <v>1</v>
      </c>
    </row>
    <row r="4913" hidden="1" spans="1:14">
      <c r="A4913">
        <v>644</v>
      </c>
      <c r="B4913">
        <v>0</v>
      </c>
      <c r="C4913" t="s">
        <v>590</v>
      </c>
      <c r="D4913">
        <v>0</v>
      </c>
      <c r="E4913">
        <v>63.8319</v>
      </c>
      <c r="F4913">
        <v>40.2202</v>
      </c>
      <c r="G4913">
        <v>38445.83</v>
      </c>
      <c r="H4913" s="1">
        <v>33722</v>
      </c>
      <c r="I4913" s="1">
        <v>33722</v>
      </c>
      <c r="J4913" t="s">
        <v>15</v>
      </c>
      <c r="K4913">
        <v>0</v>
      </c>
      <c r="L4913">
        <v>0</v>
      </c>
      <c r="M4913" t="s">
        <v>16</v>
      </c>
      <c r="N4913">
        <v>1</v>
      </c>
    </row>
    <row r="4914" hidden="1" spans="1:14">
      <c r="A4914">
        <v>649</v>
      </c>
      <c r="B4914">
        <v>0</v>
      </c>
      <c r="C4914" t="s">
        <v>590</v>
      </c>
      <c r="D4914">
        <v>0</v>
      </c>
      <c r="E4914">
        <v>59.8196</v>
      </c>
      <c r="F4914">
        <v>42.9384</v>
      </c>
      <c r="G4914">
        <v>16363.55</v>
      </c>
      <c r="H4914" s="1">
        <v>33756</v>
      </c>
      <c r="I4914" s="1">
        <v>33766</v>
      </c>
      <c r="J4914" t="s">
        <v>15</v>
      </c>
      <c r="K4914">
        <v>0</v>
      </c>
      <c r="L4914">
        <v>0</v>
      </c>
      <c r="M4914" t="s">
        <v>39</v>
      </c>
      <c r="N4914">
        <v>1</v>
      </c>
    </row>
    <row r="4915" hidden="1" spans="1:14">
      <c r="A4915">
        <v>1883</v>
      </c>
      <c r="B4915">
        <v>0</v>
      </c>
      <c r="C4915" t="s">
        <v>590</v>
      </c>
      <c r="D4915">
        <v>0</v>
      </c>
      <c r="E4915">
        <v>71.4084</v>
      </c>
      <c r="F4915">
        <v>40.8259</v>
      </c>
      <c r="G4915">
        <v>6836.97</v>
      </c>
      <c r="H4915" s="1">
        <v>37305</v>
      </c>
      <c r="I4915" s="1">
        <v>37308</v>
      </c>
      <c r="J4915" t="s">
        <v>15</v>
      </c>
      <c r="K4915">
        <v>0</v>
      </c>
      <c r="L4915">
        <v>0</v>
      </c>
      <c r="M4915" t="s">
        <v>25</v>
      </c>
      <c r="N4915">
        <v>1</v>
      </c>
    </row>
    <row r="4916" hidden="1" spans="1:14">
      <c r="A4916">
        <v>4913</v>
      </c>
      <c r="C4916" t="s">
        <v>590</v>
      </c>
      <c r="D4916" t="s">
        <v>589</v>
      </c>
      <c r="E4916">
        <v>55.844</v>
      </c>
      <c r="F4916">
        <v>41.2451</v>
      </c>
      <c r="G4916">
        <v>84662.22</v>
      </c>
      <c r="H4916" s="1">
        <v>43952</v>
      </c>
      <c r="I4916" s="1">
        <v>43962</v>
      </c>
      <c r="J4916" t="s">
        <v>516</v>
      </c>
      <c r="K4916">
        <v>4</v>
      </c>
      <c r="L4916">
        <v>70000</v>
      </c>
      <c r="M4916" t="s">
        <v>1093</v>
      </c>
      <c r="N4916">
        <v>2</v>
      </c>
    </row>
    <row r="4917" hidden="1" spans="1:14">
      <c r="A4917">
        <v>1331</v>
      </c>
      <c r="B4917">
        <v>0</v>
      </c>
      <c r="C4917" t="s">
        <v>1094</v>
      </c>
      <c r="D4917">
        <v>0</v>
      </c>
      <c r="E4917">
        <v>166.98</v>
      </c>
      <c r="F4917">
        <v>-15.4533</v>
      </c>
      <c r="G4917">
        <v>1537</v>
      </c>
      <c r="H4917" s="1">
        <v>35885</v>
      </c>
      <c r="I4917" s="1">
        <v>35886</v>
      </c>
      <c r="J4917" t="s">
        <v>15</v>
      </c>
      <c r="K4917">
        <v>0</v>
      </c>
      <c r="L4917">
        <v>800</v>
      </c>
      <c r="M4917" t="s">
        <v>86</v>
      </c>
      <c r="N4917">
        <v>1</v>
      </c>
    </row>
    <row r="4918" hidden="1" spans="1:14">
      <c r="A4918">
        <v>1323</v>
      </c>
      <c r="B4918">
        <v>0</v>
      </c>
      <c r="C4918" t="s">
        <v>1094</v>
      </c>
      <c r="D4918">
        <v>0</v>
      </c>
      <c r="E4918">
        <v>168.381</v>
      </c>
      <c r="F4918">
        <v>-17.6517</v>
      </c>
      <c r="G4918">
        <v>997.265</v>
      </c>
      <c r="H4918" s="1">
        <v>35874</v>
      </c>
      <c r="I4918" s="1">
        <v>35877</v>
      </c>
      <c r="J4918" t="s">
        <v>15</v>
      </c>
      <c r="K4918">
        <v>0</v>
      </c>
      <c r="L4918">
        <v>1000</v>
      </c>
      <c r="M4918" t="s">
        <v>86</v>
      </c>
      <c r="N4918">
        <v>1</v>
      </c>
    </row>
    <row r="4919" hidden="1" spans="1:14">
      <c r="A4919">
        <v>2114</v>
      </c>
      <c r="B4919">
        <v>0</v>
      </c>
      <c r="C4919" t="s">
        <v>1094</v>
      </c>
      <c r="D4919">
        <v>0</v>
      </c>
      <c r="E4919">
        <v>169.432</v>
      </c>
      <c r="F4919">
        <v>-19.5723</v>
      </c>
      <c r="G4919">
        <v>146.379</v>
      </c>
      <c r="H4919" s="1">
        <v>37611</v>
      </c>
      <c r="I4919" s="1">
        <v>37615</v>
      </c>
      <c r="J4919" t="s">
        <v>15</v>
      </c>
      <c r="K4919">
        <v>0</v>
      </c>
      <c r="L4919">
        <v>0</v>
      </c>
      <c r="M4919" t="s">
        <v>16</v>
      </c>
      <c r="N4919">
        <v>1</v>
      </c>
    </row>
    <row r="4920" hidden="1" spans="1:14">
      <c r="A4920">
        <v>4187</v>
      </c>
      <c r="C4920" t="s">
        <v>1094</v>
      </c>
      <c r="E4920">
        <v>166.967</v>
      </c>
      <c r="F4920">
        <v>-15.3154</v>
      </c>
      <c r="G4920">
        <v>3365.71</v>
      </c>
      <c r="H4920" s="1">
        <v>41915</v>
      </c>
      <c r="I4920" s="1">
        <v>41923</v>
      </c>
      <c r="J4920" t="s">
        <v>15</v>
      </c>
      <c r="K4920">
        <v>1</v>
      </c>
      <c r="L4920">
        <v>100</v>
      </c>
      <c r="M4920" t="s">
        <v>52</v>
      </c>
      <c r="N4920">
        <v>1</v>
      </c>
    </row>
    <row r="4921" hidden="1" spans="1:14">
      <c r="A4921">
        <v>67</v>
      </c>
      <c r="B4921">
        <v>0</v>
      </c>
      <c r="C4921" t="s">
        <v>313</v>
      </c>
      <c r="D4921">
        <v>0</v>
      </c>
      <c r="E4921">
        <v>-67.0248</v>
      </c>
      <c r="F4921">
        <v>10.1633</v>
      </c>
      <c r="G4921">
        <v>19687.88</v>
      </c>
      <c r="H4921" s="1">
        <v>31383</v>
      </c>
      <c r="I4921" s="1">
        <v>31386</v>
      </c>
      <c r="J4921" t="s">
        <v>15</v>
      </c>
      <c r="K4921">
        <v>24</v>
      </c>
      <c r="L4921">
        <v>15000</v>
      </c>
      <c r="M4921" t="s">
        <v>16</v>
      </c>
      <c r="N4921">
        <v>1</v>
      </c>
    </row>
    <row r="4922" hidden="1" spans="1:14">
      <c r="A4922">
        <v>224</v>
      </c>
      <c r="B4922">
        <v>0</v>
      </c>
      <c r="C4922" t="s">
        <v>313</v>
      </c>
      <c r="E4922">
        <v>-63.565</v>
      </c>
      <c r="F4922">
        <v>8.82924</v>
      </c>
      <c r="G4922">
        <v>145562.67</v>
      </c>
      <c r="H4922" s="1">
        <v>32371</v>
      </c>
      <c r="I4922" s="1">
        <v>32378</v>
      </c>
      <c r="J4922" t="s">
        <v>15</v>
      </c>
      <c r="K4922">
        <v>10</v>
      </c>
      <c r="L4922">
        <v>12000</v>
      </c>
      <c r="M4922" t="s">
        <v>16</v>
      </c>
      <c r="N4922">
        <v>1</v>
      </c>
    </row>
    <row r="4923" hidden="1" spans="1:14">
      <c r="A4923">
        <v>315</v>
      </c>
      <c r="B4923">
        <v>0</v>
      </c>
      <c r="C4923" t="s">
        <v>313</v>
      </c>
      <c r="D4923">
        <v>0</v>
      </c>
      <c r="E4923">
        <v>-66.5226</v>
      </c>
      <c r="F4923">
        <v>10.5147</v>
      </c>
      <c r="G4923">
        <v>1585.88</v>
      </c>
      <c r="H4923" s="1">
        <v>32690</v>
      </c>
      <c r="I4923" s="1">
        <v>32699</v>
      </c>
      <c r="J4923" t="s">
        <v>15</v>
      </c>
      <c r="K4923">
        <v>0</v>
      </c>
      <c r="L4923">
        <v>0</v>
      </c>
      <c r="M4923" t="s">
        <v>16</v>
      </c>
      <c r="N4923">
        <v>1</v>
      </c>
    </row>
    <row r="4924" hidden="1" spans="1:14">
      <c r="A4924">
        <v>274</v>
      </c>
      <c r="B4924">
        <v>0</v>
      </c>
      <c r="C4924" t="s">
        <v>313</v>
      </c>
      <c r="D4924">
        <v>0</v>
      </c>
      <c r="E4924">
        <v>-66.6846</v>
      </c>
      <c r="F4924">
        <v>10.5704</v>
      </c>
      <c r="G4924">
        <v>520.961</v>
      </c>
      <c r="H4924" s="1">
        <v>32509</v>
      </c>
      <c r="I4924" s="1">
        <v>32516</v>
      </c>
      <c r="J4924" t="s">
        <v>15</v>
      </c>
      <c r="K4924">
        <v>8</v>
      </c>
      <c r="L4924">
        <v>553</v>
      </c>
      <c r="M4924" t="s">
        <v>16</v>
      </c>
      <c r="N4924">
        <v>1</v>
      </c>
    </row>
    <row r="4925" hidden="1" spans="1:14">
      <c r="A4925">
        <v>766</v>
      </c>
      <c r="B4925">
        <v>0</v>
      </c>
      <c r="C4925" t="s">
        <v>313</v>
      </c>
      <c r="D4925" t="s">
        <v>338</v>
      </c>
      <c r="E4925">
        <v>-65.9923</v>
      </c>
      <c r="F4925">
        <v>9.71614</v>
      </c>
      <c r="G4925">
        <v>75801.79</v>
      </c>
      <c r="H4925" s="1">
        <v>34188</v>
      </c>
      <c r="I4925" s="1">
        <v>34193</v>
      </c>
      <c r="J4925" t="s">
        <v>15</v>
      </c>
      <c r="K4925">
        <v>90</v>
      </c>
      <c r="L4925">
        <v>47800</v>
      </c>
      <c r="M4925" t="s">
        <v>86</v>
      </c>
      <c r="N4925">
        <v>1</v>
      </c>
    </row>
    <row r="4926" hidden="1" spans="1:14">
      <c r="A4926">
        <v>1085</v>
      </c>
      <c r="B4926">
        <v>0</v>
      </c>
      <c r="C4926" t="s">
        <v>313</v>
      </c>
      <c r="D4926">
        <v>0</v>
      </c>
      <c r="E4926">
        <v>-65.5304</v>
      </c>
      <c r="F4926">
        <v>3.41039</v>
      </c>
      <c r="G4926">
        <v>179130.94</v>
      </c>
      <c r="H4926" s="1">
        <v>35247</v>
      </c>
      <c r="I4926" s="1">
        <v>35266</v>
      </c>
      <c r="J4926" t="s">
        <v>15</v>
      </c>
      <c r="K4926">
        <v>0</v>
      </c>
      <c r="L4926">
        <v>15000</v>
      </c>
      <c r="M4926" t="s">
        <v>16</v>
      </c>
      <c r="N4926">
        <v>2</v>
      </c>
    </row>
    <row r="4927" hidden="1" spans="1:14">
      <c r="A4927">
        <v>1136</v>
      </c>
      <c r="B4927">
        <v>0</v>
      </c>
      <c r="C4927" t="s">
        <v>313</v>
      </c>
      <c r="D4927">
        <v>0</v>
      </c>
      <c r="E4927">
        <v>-65.5673</v>
      </c>
      <c r="F4927">
        <v>9.91226</v>
      </c>
      <c r="G4927">
        <v>181898.2</v>
      </c>
      <c r="H4927" s="1">
        <v>35402</v>
      </c>
      <c r="I4927" s="1">
        <v>35404</v>
      </c>
      <c r="J4927" t="s">
        <v>15</v>
      </c>
      <c r="K4927">
        <v>0</v>
      </c>
      <c r="L4927">
        <v>10000</v>
      </c>
      <c r="M4927" t="s">
        <v>49</v>
      </c>
      <c r="N4927">
        <v>1</v>
      </c>
    </row>
    <row r="4928" hidden="1" spans="1:14">
      <c r="A4928">
        <v>1542</v>
      </c>
      <c r="B4928">
        <v>0</v>
      </c>
      <c r="C4928" t="s">
        <v>313</v>
      </c>
      <c r="D4928">
        <v>0</v>
      </c>
      <c r="E4928">
        <v>-63.8563</v>
      </c>
      <c r="F4928">
        <v>8.12201</v>
      </c>
      <c r="G4928">
        <v>67744.31</v>
      </c>
      <c r="H4928" s="1">
        <v>36389</v>
      </c>
      <c r="I4928" s="1">
        <v>36393</v>
      </c>
      <c r="J4928" t="s">
        <v>15</v>
      </c>
      <c r="K4928">
        <v>0</v>
      </c>
      <c r="L4928">
        <v>8000</v>
      </c>
      <c r="M4928" t="s">
        <v>86</v>
      </c>
      <c r="N4928">
        <v>1</v>
      </c>
    </row>
    <row r="4929" hidden="1" spans="1:14">
      <c r="A4929">
        <v>1576</v>
      </c>
      <c r="B4929">
        <v>0</v>
      </c>
      <c r="C4929" t="s">
        <v>313</v>
      </c>
      <c r="D4929" t="s">
        <v>321</v>
      </c>
      <c r="E4929">
        <v>-70.5443</v>
      </c>
      <c r="F4929">
        <v>9.42058</v>
      </c>
      <c r="G4929">
        <v>328213.37</v>
      </c>
      <c r="H4929" s="1">
        <v>36509</v>
      </c>
      <c r="I4929" s="1">
        <v>36514</v>
      </c>
      <c r="J4929" t="s">
        <v>15</v>
      </c>
      <c r="K4929">
        <v>20006</v>
      </c>
      <c r="L4929">
        <v>400000</v>
      </c>
      <c r="M4929" t="s">
        <v>18</v>
      </c>
      <c r="N4929">
        <v>2</v>
      </c>
    </row>
    <row r="4930" hidden="1" spans="1:14">
      <c r="A4930">
        <v>1996</v>
      </c>
      <c r="B4930">
        <v>0</v>
      </c>
      <c r="C4930" t="s">
        <v>313</v>
      </c>
      <c r="D4930">
        <v>0</v>
      </c>
      <c r="E4930">
        <v>-69.3067</v>
      </c>
      <c r="F4930">
        <v>7.56526</v>
      </c>
      <c r="G4930">
        <v>224943.54</v>
      </c>
      <c r="H4930" s="1">
        <v>37457</v>
      </c>
      <c r="I4930" s="1">
        <v>37468</v>
      </c>
      <c r="J4930" t="s">
        <v>15</v>
      </c>
      <c r="K4930">
        <v>5</v>
      </c>
      <c r="L4930">
        <v>50000</v>
      </c>
      <c r="M4930" t="s">
        <v>16</v>
      </c>
      <c r="N4930">
        <v>1</v>
      </c>
    </row>
    <row r="4931" hidden="1" spans="1:14">
      <c r="A4931">
        <v>2240</v>
      </c>
      <c r="B4931">
        <v>0</v>
      </c>
      <c r="C4931" t="s">
        <v>313</v>
      </c>
      <c r="D4931">
        <v>0</v>
      </c>
      <c r="E4931">
        <v>-71.4704</v>
      </c>
      <c r="F4931">
        <v>8.3491</v>
      </c>
      <c r="G4931">
        <v>6238.6</v>
      </c>
      <c r="H4931" s="1">
        <v>37773</v>
      </c>
      <c r="I4931" s="1">
        <v>37775</v>
      </c>
      <c r="J4931" t="s">
        <v>15</v>
      </c>
      <c r="K4931">
        <v>1</v>
      </c>
      <c r="L4931">
        <v>450</v>
      </c>
      <c r="M4931" t="s">
        <v>16</v>
      </c>
      <c r="N4931">
        <v>1</v>
      </c>
    </row>
    <row r="4932" hidden="1" spans="1:14">
      <c r="A4932">
        <v>2282</v>
      </c>
      <c r="B4932">
        <v>0</v>
      </c>
      <c r="C4932" t="s">
        <v>313</v>
      </c>
      <c r="D4932">
        <v>0</v>
      </c>
      <c r="E4932">
        <v>-66.8589</v>
      </c>
      <c r="F4932">
        <v>10.5003</v>
      </c>
      <c r="G4932">
        <v>695.898</v>
      </c>
      <c r="H4932" s="1">
        <v>37820</v>
      </c>
      <c r="I4932" s="1">
        <v>37821</v>
      </c>
      <c r="J4932" t="s">
        <v>15</v>
      </c>
      <c r="K4932">
        <v>1</v>
      </c>
      <c r="L4932">
        <v>0</v>
      </c>
      <c r="M4932" t="s">
        <v>16</v>
      </c>
      <c r="N4932">
        <v>1</v>
      </c>
    </row>
    <row r="4933" hidden="1" spans="1:14">
      <c r="A4933">
        <v>2289</v>
      </c>
      <c r="B4933">
        <v>0</v>
      </c>
      <c r="C4933" t="s">
        <v>313</v>
      </c>
      <c r="D4933">
        <v>0</v>
      </c>
      <c r="E4933">
        <v>-63.3288</v>
      </c>
      <c r="F4933">
        <v>10.4194</v>
      </c>
      <c r="G4933">
        <v>9368.9</v>
      </c>
      <c r="H4933" s="1">
        <v>37823</v>
      </c>
      <c r="I4933" s="1">
        <v>37827</v>
      </c>
      <c r="J4933" t="s">
        <v>15</v>
      </c>
      <c r="K4933">
        <v>0</v>
      </c>
      <c r="L4933">
        <v>860</v>
      </c>
      <c r="M4933" t="s">
        <v>16</v>
      </c>
      <c r="N4933">
        <v>1</v>
      </c>
    </row>
    <row r="4934" hidden="1" spans="1:14">
      <c r="A4934">
        <v>2398</v>
      </c>
      <c r="B4934">
        <v>0</v>
      </c>
      <c r="C4934" t="s">
        <v>313</v>
      </c>
      <c r="D4934">
        <v>0</v>
      </c>
      <c r="E4934">
        <v>-72.3083</v>
      </c>
      <c r="F4934">
        <v>9.06005</v>
      </c>
      <c r="G4934">
        <v>11855.82</v>
      </c>
      <c r="H4934" s="1">
        <v>37957</v>
      </c>
      <c r="I4934" s="1">
        <v>37961</v>
      </c>
      <c r="J4934" t="s">
        <v>15</v>
      </c>
      <c r="K4934">
        <v>0</v>
      </c>
      <c r="L4934">
        <v>6000</v>
      </c>
      <c r="M4934" t="s">
        <v>16</v>
      </c>
      <c r="N4934">
        <v>1</v>
      </c>
    </row>
    <row r="4935" hidden="1" spans="1:14">
      <c r="A4935">
        <v>2495</v>
      </c>
      <c r="B4935">
        <v>0</v>
      </c>
      <c r="C4935" t="s">
        <v>313</v>
      </c>
      <c r="D4935">
        <v>0</v>
      </c>
      <c r="E4935">
        <v>-67.7953</v>
      </c>
      <c r="F4935">
        <v>7.22966</v>
      </c>
      <c r="G4935">
        <v>90256.29</v>
      </c>
      <c r="H4935" s="1">
        <v>38146</v>
      </c>
      <c r="I4935" s="1">
        <v>38261</v>
      </c>
      <c r="J4935" t="s">
        <v>15</v>
      </c>
      <c r="K4935">
        <v>0</v>
      </c>
      <c r="L4935">
        <v>2500</v>
      </c>
      <c r="M4935" t="s">
        <v>16</v>
      </c>
      <c r="N4935">
        <v>1</v>
      </c>
    </row>
    <row r="4936" hidden="1" spans="1:14">
      <c r="A4936">
        <v>2585</v>
      </c>
      <c r="B4936">
        <v>0</v>
      </c>
      <c r="C4936" t="s">
        <v>313</v>
      </c>
      <c r="D4936">
        <v>0</v>
      </c>
      <c r="E4936">
        <v>-68.866</v>
      </c>
      <c r="F4936">
        <v>10.881</v>
      </c>
      <c r="G4936">
        <v>13177.33</v>
      </c>
      <c r="H4936" s="1">
        <v>38308</v>
      </c>
      <c r="I4936" s="1">
        <v>38316</v>
      </c>
      <c r="J4936" t="s">
        <v>15</v>
      </c>
      <c r="K4936">
        <v>11</v>
      </c>
      <c r="L4936">
        <v>0</v>
      </c>
      <c r="M4936" t="s">
        <v>16</v>
      </c>
      <c r="N4936">
        <v>1</v>
      </c>
    </row>
    <row r="4937" hidden="1" spans="1:14">
      <c r="A4937">
        <v>2623</v>
      </c>
      <c r="B4937">
        <v>0</v>
      </c>
      <c r="C4937" t="s">
        <v>313</v>
      </c>
      <c r="D4937">
        <v>0</v>
      </c>
      <c r="E4937">
        <v>-68.4074</v>
      </c>
      <c r="F4937">
        <v>10.7731</v>
      </c>
      <c r="G4937">
        <v>11963.02</v>
      </c>
      <c r="H4937" s="1">
        <v>38390</v>
      </c>
      <c r="I4937" s="1">
        <v>38397</v>
      </c>
      <c r="J4937" t="s">
        <v>15</v>
      </c>
      <c r="K4937">
        <v>19</v>
      </c>
      <c r="L4937">
        <v>26000</v>
      </c>
      <c r="M4937" t="s">
        <v>16</v>
      </c>
      <c r="N4937">
        <v>1</v>
      </c>
    </row>
    <row r="4938" hidden="1" spans="1:14">
      <c r="A4938">
        <v>3411</v>
      </c>
      <c r="B4938" t="s">
        <v>1095</v>
      </c>
      <c r="C4938" t="s">
        <v>313</v>
      </c>
      <c r="D4938">
        <v>0</v>
      </c>
      <c r="E4938">
        <v>-66.4042</v>
      </c>
      <c r="F4938">
        <v>9.77453</v>
      </c>
      <c r="G4938">
        <v>61388.9</v>
      </c>
      <c r="H4938" s="1">
        <v>39772</v>
      </c>
      <c r="I4938" s="1">
        <v>39775</v>
      </c>
      <c r="J4938" t="s">
        <v>15</v>
      </c>
      <c r="K4938">
        <v>0</v>
      </c>
      <c r="L4938">
        <v>0</v>
      </c>
      <c r="M4938" t="s">
        <v>49</v>
      </c>
      <c r="N4938">
        <v>1</v>
      </c>
    </row>
    <row r="4939" hidden="1" spans="1:14">
      <c r="A4939">
        <v>3754</v>
      </c>
      <c r="B4939">
        <v>0</v>
      </c>
      <c r="C4939" t="s">
        <v>313</v>
      </c>
      <c r="D4939">
        <v>0</v>
      </c>
      <c r="E4939">
        <v>-66.9385</v>
      </c>
      <c r="F4939">
        <v>9.77646</v>
      </c>
      <c r="G4939">
        <v>180760.53</v>
      </c>
      <c r="H4939" s="1">
        <v>40507</v>
      </c>
      <c r="I4939" s="1">
        <v>40532</v>
      </c>
      <c r="J4939" t="s">
        <v>15</v>
      </c>
      <c r="K4939">
        <v>30</v>
      </c>
      <c r="L4939">
        <v>60000</v>
      </c>
      <c r="M4939" t="s">
        <v>52</v>
      </c>
      <c r="N4939">
        <v>1.5</v>
      </c>
    </row>
    <row r="4940" hidden="1" spans="1:14">
      <c r="A4940">
        <v>3807</v>
      </c>
      <c r="C4940" t="s">
        <v>313</v>
      </c>
      <c r="E4940">
        <v>-64.7721</v>
      </c>
      <c r="F4940">
        <v>7.67716</v>
      </c>
      <c r="G4940">
        <v>37648.86</v>
      </c>
      <c r="H4940" s="1">
        <v>40648</v>
      </c>
      <c r="I4940" s="1">
        <v>40658</v>
      </c>
      <c r="J4940" t="s">
        <v>15</v>
      </c>
      <c r="K4940">
        <v>6</v>
      </c>
      <c r="L4940">
        <v>0</v>
      </c>
      <c r="M4940" t="s">
        <v>52</v>
      </c>
      <c r="N4940">
        <v>1</v>
      </c>
    </row>
    <row r="4941" hidden="1" spans="1:14">
      <c r="A4941">
        <v>4495</v>
      </c>
      <c r="C4941" t="s">
        <v>313</v>
      </c>
      <c r="E4941">
        <v>-67.5271</v>
      </c>
      <c r="F4941">
        <v>7.83511</v>
      </c>
      <c r="G4941">
        <v>122334.47</v>
      </c>
      <c r="H4941" s="1">
        <v>42951</v>
      </c>
      <c r="I4941" s="1">
        <v>42968</v>
      </c>
      <c r="J4941" t="s">
        <v>15</v>
      </c>
      <c r="K4941">
        <v>0</v>
      </c>
      <c r="L4941">
        <v>1080</v>
      </c>
      <c r="M4941" t="s">
        <v>49</v>
      </c>
      <c r="N4941">
        <v>1.5</v>
      </c>
    </row>
    <row r="4942" hidden="1" spans="1:14">
      <c r="A4942">
        <v>4677</v>
      </c>
      <c r="C4942" t="s">
        <v>313</v>
      </c>
      <c r="E4942">
        <v>-66.5497</v>
      </c>
      <c r="F4942">
        <v>10.4257</v>
      </c>
      <c r="G4942">
        <v>3147.09</v>
      </c>
      <c r="H4942" s="1">
        <v>43368</v>
      </c>
      <c r="I4942" s="1">
        <v>43371</v>
      </c>
      <c r="J4942" t="s">
        <v>56</v>
      </c>
      <c r="K4942">
        <v>2</v>
      </c>
      <c r="L4942">
        <v>1000</v>
      </c>
      <c r="M4942" t="s">
        <v>52</v>
      </c>
      <c r="N4942">
        <v>1</v>
      </c>
    </row>
    <row r="4943" hidden="1" spans="1:14">
      <c r="A4943">
        <v>4809</v>
      </c>
      <c r="C4943" t="s">
        <v>313</v>
      </c>
      <c r="E4943">
        <v>-72.2284</v>
      </c>
      <c r="F4943">
        <v>9.77189</v>
      </c>
      <c r="G4943">
        <v>24680.9</v>
      </c>
      <c r="H4943" s="1">
        <v>43743</v>
      </c>
      <c r="I4943" s="1">
        <v>43753</v>
      </c>
      <c r="J4943" t="s">
        <v>56</v>
      </c>
      <c r="K4943">
        <v>6</v>
      </c>
      <c r="L4943">
        <v>2000</v>
      </c>
      <c r="M4943" t="s">
        <v>49</v>
      </c>
      <c r="N4943">
        <v>1.5</v>
      </c>
    </row>
    <row r="4944" hidden="1" spans="1:14">
      <c r="A4944">
        <v>4990</v>
      </c>
      <c r="C4944" t="s">
        <v>313</v>
      </c>
      <c r="E4944">
        <v>-70.3973</v>
      </c>
      <c r="F4944">
        <v>9.02691</v>
      </c>
      <c r="G4944">
        <v>160618.25</v>
      </c>
      <c r="H4944" s="1">
        <v>44145</v>
      </c>
      <c r="I4944" s="1">
        <v>44158</v>
      </c>
      <c r="J4944" t="s">
        <v>56</v>
      </c>
      <c r="K4944">
        <v>5</v>
      </c>
      <c r="L4944">
        <v>300</v>
      </c>
      <c r="M4944" t="s">
        <v>49</v>
      </c>
      <c r="N4944">
        <v>1.5</v>
      </c>
    </row>
    <row r="4945" hidden="1" spans="1:14">
      <c r="A4945">
        <v>5057</v>
      </c>
      <c r="C4945" t="s">
        <v>313</v>
      </c>
      <c r="E4945">
        <v>-70.6819</v>
      </c>
      <c r="F4945">
        <v>8.99006</v>
      </c>
      <c r="G4945">
        <v>10138.29</v>
      </c>
      <c r="H4945" s="1">
        <v>44306</v>
      </c>
      <c r="I4945" s="1">
        <v>44316</v>
      </c>
      <c r="J4945" t="s">
        <v>56</v>
      </c>
      <c r="K4945">
        <v>0</v>
      </c>
      <c r="L4945">
        <v>0</v>
      </c>
      <c r="M4945" t="s">
        <v>49</v>
      </c>
      <c r="N4945">
        <v>1.5</v>
      </c>
    </row>
    <row r="4946" hidden="1" spans="1:14">
      <c r="A4946">
        <v>148</v>
      </c>
      <c r="B4946">
        <v>0</v>
      </c>
      <c r="C4946" t="s">
        <v>1096</v>
      </c>
      <c r="D4946">
        <v>0</v>
      </c>
      <c r="E4946">
        <v>-66.4167</v>
      </c>
      <c r="F4946">
        <v>10.1321</v>
      </c>
      <c r="G4946">
        <v>19320.17</v>
      </c>
      <c r="H4946" s="1">
        <v>32026</v>
      </c>
      <c r="I4946" s="1">
        <v>32028</v>
      </c>
      <c r="J4946" t="s">
        <v>15</v>
      </c>
      <c r="K4946">
        <v>112</v>
      </c>
      <c r="L4946">
        <v>30000</v>
      </c>
      <c r="M4946" t="s">
        <v>64</v>
      </c>
      <c r="N4946">
        <v>1</v>
      </c>
    </row>
    <row r="4947" hidden="1" spans="1:14">
      <c r="A4947">
        <v>213</v>
      </c>
      <c r="B4947">
        <v>0</v>
      </c>
      <c r="C4947" t="s">
        <v>1096</v>
      </c>
      <c r="D4947">
        <v>0</v>
      </c>
      <c r="E4947">
        <v>-68.4309</v>
      </c>
      <c r="F4947">
        <v>10.9636</v>
      </c>
      <c r="G4947">
        <v>909.724</v>
      </c>
      <c r="H4947" s="1">
        <v>32355</v>
      </c>
      <c r="I4947" s="1">
        <v>32355</v>
      </c>
      <c r="J4947" t="s">
        <v>15</v>
      </c>
      <c r="K4947">
        <v>2</v>
      </c>
      <c r="L4947">
        <v>0</v>
      </c>
      <c r="M4947" t="s">
        <v>16</v>
      </c>
      <c r="N4947">
        <v>1</v>
      </c>
    </row>
    <row r="4948" hidden="1" spans="1:14">
      <c r="A4948">
        <v>1665</v>
      </c>
      <c r="B4948">
        <v>0</v>
      </c>
      <c r="C4948" t="s">
        <v>1096</v>
      </c>
      <c r="D4948">
        <v>0</v>
      </c>
      <c r="E4948">
        <v>-69.3826</v>
      </c>
      <c r="F4948">
        <v>10.7955</v>
      </c>
      <c r="G4948">
        <v>77733.16</v>
      </c>
      <c r="H4948" s="1">
        <v>36842</v>
      </c>
      <c r="I4948" s="1">
        <v>36847</v>
      </c>
      <c r="J4948" t="s">
        <v>15</v>
      </c>
      <c r="K4948">
        <v>3</v>
      </c>
      <c r="L4948">
        <v>6000</v>
      </c>
      <c r="M4948" t="s">
        <v>16</v>
      </c>
      <c r="N4948">
        <v>1</v>
      </c>
    </row>
    <row r="4949" hidden="1" spans="1:14">
      <c r="A4949">
        <v>2588</v>
      </c>
      <c r="B4949">
        <v>0</v>
      </c>
      <c r="C4949" t="s">
        <v>1097</v>
      </c>
      <c r="D4949">
        <v>0</v>
      </c>
      <c r="E4949">
        <v>-72.3649</v>
      </c>
      <c r="F4949">
        <v>8.91445</v>
      </c>
      <c r="G4949">
        <v>7328.19</v>
      </c>
      <c r="H4949" s="1">
        <v>38311</v>
      </c>
      <c r="I4949" s="1">
        <v>38318</v>
      </c>
      <c r="J4949" t="s">
        <v>15</v>
      </c>
      <c r="K4949">
        <v>0</v>
      </c>
      <c r="L4949">
        <v>0</v>
      </c>
      <c r="M4949" t="s">
        <v>16</v>
      </c>
      <c r="N4949">
        <v>1</v>
      </c>
    </row>
    <row r="4950" hidden="1" spans="1:14">
      <c r="A4950">
        <v>51</v>
      </c>
      <c r="B4950">
        <v>0</v>
      </c>
      <c r="C4950" t="s">
        <v>242</v>
      </c>
      <c r="D4950">
        <v>0</v>
      </c>
      <c r="E4950">
        <v>106.251</v>
      </c>
      <c r="F4950">
        <v>20.8454</v>
      </c>
      <c r="G4950">
        <v>24681.28</v>
      </c>
      <c r="H4950" s="1">
        <v>31297</v>
      </c>
      <c r="I4950" s="1">
        <v>31305</v>
      </c>
      <c r="J4950" t="s">
        <v>15</v>
      </c>
      <c r="K4950">
        <v>34</v>
      </c>
      <c r="L4950">
        <v>0</v>
      </c>
      <c r="M4950" t="s">
        <v>16</v>
      </c>
      <c r="N4950">
        <v>1</v>
      </c>
    </row>
    <row r="4951" hidden="1" spans="1:14">
      <c r="A4951">
        <v>3355</v>
      </c>
      <c r="B4951" t="s">
        <v>1098</v>
      </c>
      <c r="C4951" t="s">
        <v>242</v>
      </c>
      <c r="D4951">
        <v>0</v>
      </c>
      <c r="E4951">
        <v>105.212</v>
      </c>
      <c r="F4951">
        <v>22.0507</v>
      </c>
      <c r="G4951">
        <v>50044.62</v>
      </c>
      <c r="H4951" s="1">
        <v>39669</v>
      </c>
      <c r="I4951" s="1">
        <v>39671</v>
      </c>
      <c r="J4951" t="s">
        <v>15</v>
      </c>
      <c r="K4951">
        <v>100</v>
      </c>
      <c r="L4951">
        <v>0</v>
      </c>
      <c r="M4951" t="s">
        <v>287</v>
      </c>
      <c r="N4951">
        <v>2</v>
      </c>
    </row>
    <row r="4952" hidden="1" spans="1:14">
      <c r="A4952">
        <v>3400</v>
      </c>
      <c r="B4952">
        <v>0</v>
      </c>
      <c r="C4952" t="s">
        <v>242</v>
      </c>
      <c r="E4952">
        <v>106.323</v>
      </c>
      <c r="F4952">
        <v>20.7403</v>
      </c>
      <c r="G4952">
        <v>74590.9</v>
      </c>
      <c r="H4952" s="1">
        <v>39748</v>
      </c>
      <c r="I4952" s="1">
        <v>39755</v>
      </c>
      <c r="J4952" t="s">
        <v>15</v>
      </c>
      <c r="K4952">
        <v>92</v>
      </c>
      <c r="L4952">
        <v>3000</v>
      </c>
      <c r="M4952" t="s">
        <v>49</v>
      </c>
      <c r="N4952">
        <v>2</v>
      </c>
    </row>
    <row r="4953" hidden="1" spans="1:14">
      <c r="A4953">
        <v>3545</v>
      </c>
      <c r="B4953" t="s">
        <v>1099</v>
      </c>
      <c r="C4953" t="s">
        <v>242</v>
      </c>
      <c r="D4953">
        <v>0</v>
      </c>
      <c r="E4953">
        <v>108.022</v>
      </c>
      <c r="F4953">
        <v>15.1885</v>
      </c>
      <c r="G4953">
        <v>47598.33</v>
      </c>
      <c r="H4953" s="1">
        <v>40081</v>
      </c>
      <c r="I4953" s="1">
        <v>40084</v>
      </c>
      <c r="J4953">
        <v>0</v>
      </c>
      <c r="K4953">
        <v>17</v>
      </c>
      <c r="L4953">
        <v>40000</v>
      </c>
      <c r="M4953" t="s">
        <v>49</v>
      </c>
      <c r="N4953">
        <v>1.5</v>
      </c>
    </row>
    <row r="4954" hidden="1" spans="1:14">
      <c r="A4954">
        <v>3548</v>
      </c>
      <c r="B4954" t="s">
        <v>1100</v>
      </c>
      <c r="C4954" t="s">
        <v>242</v>
      </c>
      <c r="E4954">
        <v>107.982</v>
      </c>
      <c r="F4954">
        <v>14.9028</v>
      </c>
      <c r="G4954">
        <v>49034.16</v>
      </c>
      <c r="H4954" s="1">
        <v>40084</v>
      </c>
      <c r="I4954" s="1">
        <v>40087</v>
      </c>
      <c r="J4954">
        <v>0</v>
      </c>
      <c r="K4954">
        <v>182</v>
      </c>
      <c r="L4954">
        <v>357000</v>
      </c>
      <c r="M4954" t="s">
        <v>1101</v>
      </c>
      <c r="N4954">
        <v>2</v>
      </c>
    </row>
    <row r="4955" hidden="1" spans="1:14">
      <c r="A4955">
        <v>3558</v>
      </c>
      <c r="B4955">
        <v>0</v>
      </c>
      <c r="C4955" t="s">
        <v>242</v>
      </c>
      <c r="D4955">
        <v>0</v>
      </c>
      <c r="E4955">
        <v>107.39</v>
      </c>
      <c r="F4955">
        <v>15.5652</v>
      </c>
      <c r="G4955">
        <v>28284.26</v>
      </c>
      <c r="H4955" s="1">
        <v>40109</v>
      </c>
      <c r="I4955" s="1">
        <v>40112</v>
      </c>
      <c r="J4955">
        <v>0</v>
      </c>
      <c r="K4955">
        <v>1</v>
      </c>
      <c r="L4955">
        <v>0</v>
      </c>
      <c r="M4955" t="s">
        <v>429</v>
      </c>
      <c r="N4955">
        <v>1</v>
      </c>
    </row>
    <row r="4956" hidden="1" spans="1:14">
      <c r="A4956">
        <v>3693</v>
      </c>
      <c r="B4956">
        <v>0</v>
      </c>
      <c r="C4956" t="s">
        <v>242</v>
      </c>
      <c r="D4956">
        <v>0</v>
      </c>
      <c r="E4956">
        <v>105.951</v>
      </c>
      <c r="F4956">
        <v>22.1069</v>
      </c>
      <c r="G4956">
        <v>68318.98</v>
      </c>
      <c r="H4956" s="1">
        <v>40382</v>
      </c>
      <c r="I4956" s="1">
        <v>40384</v>
      </c>
      <c r="J4956">
        <v>0</v>
      </c>
      <c r="K4956">
        <v>8</v>
      </c>
      <c r="L4956">
        <v>12400</v>
      </c>
      <c r="M4956" t="s">
        <v>290</v>
      </c>
      <c r="N4956">
        <v>1</v>
      </c>
    </row>
    <row r="4957" hidden="1" spans="1:14">
      <c r="A4957">
        <v>3727</v>
      </c>
      <c r="B4957" t="s">
        <v>1102</v>
      </c>
      <c r="C4957" t="s">
        <v>242</v>
      </c>
      <c r="E4957">
        <v>105.3</v>
      </c>
      <c r="F4957">
        <v>16.83</v>
      </c>
      <c r="G4957">
        <v>11136.58</v>
      </c>
      <c r="H4957" s="1">
        <v>40453</v>
      </c>
      <c r="I4957" s="1">
        <v>40463</v>
      </c>
      <c r="J4957" t="s">
        <v>15</v>
      </c>
      <c r="K4957">
        <v>149</v>
      </c>
      <c r="L4957">
        <v>150000</v>
      </c>
      <c r="M4957" t="s">
        <v>52</v>
      </c>
      <c r="N4957">
        <v>1.5</v>
      </c>
    </row>
    <row r="4958" hidden="1" spans="1:14">
      <c r="A4958">
        <v>3733</v>
      </c>
      <c r="B4958">
        <v>0</v>
      </c>
      <c r="C4958" t="s">
        <v>242</v>
      </c>
      <c r="E4958">
        <v>105.524</v>
      </c>
      <c r="F4958">
        <v>16.7052</v>
      </c>
      <c r="G4958">
        <v>109613.58</v>
      </c>
      <c r="H4958" s="1">
        <v>40466</v>
      </c>
      <c r="I4958" s="1">
        <v>40472</v>
      </c>
      <c r="J4958" t="s">
        <v>15</v>
      </c>
      <c r="K4958">
        <v>112</v>
      </c>
      <c r="L4958">
        <v>3000</v>
      </c>
      <c r="M4958" t="s">
        <v>64</v>
      </c>
      <c r="N4958">
        <v>1.5</v>
      </c>
    </row>
    <row r="4959" hidden="1" spans="1:14">
      <c r="A4959">
        <v>3739</v>
      </c>
      <c r="B4959">
        <v>0</v>
      </c>
      <c r="C4959" t="s">
        <v>242</v>
      </c>
      <c r="D4959">
        <v>0</v>
      </c>
      <c r="E4959">
        <v>108.92</v>
      </c>
      <c r="F4959">
        <v>12.5176</v>
      </c>
      <c r="G4959">
        <v>33659.75</v>
      </c>
      <c r="H4959" s="1">
        <v>40481</v>
      </c>
      <c r="I4959" s="1">
        <v>40487</v>
      </c>
      <c r="J4959" t="s">
        <v>15</v>
      </c>
      <c r="K4959">
        <v>18</v>
      </c>
      <c r="L4959">
        <v>35000</v>
      </c>
      <c r="M4959" t="s">
        <v>49</v>
      </c>
      <c r="N4959">
        <v>1</v>
      </c>
    </row>
    <row r="4960" hidden="1" spans="1:14">
      <c r="A4960">
        <v>3751</v>
      </c>
      <c r="B4960" t="s">
        <v>1103</v>
      </c>
      <c r="C4960" t="s">
        <v>242</v>
      </c>
      <c r="D4960">
        <v>0</v>
      </c>
      <c r="E4960">
        <v>108.003</v>
      </c>
      <c r="F4960">
        <v>15.1821</v>
      </c>
      <c r="G4960">
        <v>45583.59</v>
      </c>
      <c r="H4960" s="1">
        <v>40484</v>
      </c>
      <c r="I4960" s="1">
        <v>40509</v>
      </c>
      <c r="J4960" t="s">
        <v>15</v>
      </c>
      <c r="K4960">
        <v>143</v>
      </c>
      <c r="L4960">
        <v>1000000</v>
      </c>
      <c r="M4960" t="s">
        <v>52</v>
      </c>
      <c r="N4960">
        <v>2</v>
      </c>
    </row>
    <row r="4961" hidden="1" spans="1:14">
      <c r="A4961">
        <v>4000</v>
      </c>
      <c r="B4961" t="s">
        <v>1104</v>
      </c>
      <c r="C4961" t="s">
        <v>242</v>
      </c>
      <c r="D4961" t="s">
        <v>813</v>
      </c>
      <c r="E4961">
        <v>105.504</v>
      </c>
      <c r="F4961">
        <v>19.0565</v>
      </c>
      <c r="G4961">
        <v>158124.44</v>
      </c>
      <c r="H4961" s="1">
        <v>41206</v>
      </c>
      <c r="I4961" s="1">
        <v>41211</v>
      </c>
      <c r="J4961" t="s">
        <v>15</v>
      </c>
      <c r="K4961">
        <v>30</v>
      </c>
      <c r="L4961">
        <v>260000</v>
      </c>
      <c r="M4961" t="s">
        <v>1105</v>
      </c>
      <c r="N4961">
        <v>2</v>
      </c>
    </row>
    <row r="4962" hidden="1" spans="1:14">
      <c r="A4962">
        <v>95</v>
      </c>
      <c r="B4962">
        <v>0</v>
      </c>
      <c r="C4962" t="s">
        <v>239</v>
      </c>
      <c r="D4962">
        <v>0</v>
      </c>
      <c r="E4962">
        <v>105.593</v>
      </c>
      <c r="F4962">
        <v>21.5735</v>
      </c>
      <c r="G4962">
        <v>66087.74</v>
      </c>
      <c r="H4962" s="1">
        <v>31618</v>
      </c>
      <c r="I4962" s="1">
        <v>31628</v>
      </c>
      <c r="J4962" t="s">
        <v>15</v>
      </c>
      <c r="K4962">
        <v>0</v>
      </c>
      <c r="L4962">
        <v>0</v>
      </c>
      <c r="M4962" t="s">
        <v>16</v>
      </c>
      <c r="N4962">
        <v>1</v>
      </c>
    </row>
    <row r="4963" hidden="1" spans="1:14">
      <c r="A4963">
        <v>115</v>
      </c>
      <c r="B4963">
        <v>0</v>
      </c>
      <c r="C4963" t="s">
        <v>239</v>
      </c>
      <c r="D4963">
        <v>0</v>
      </c>
      <c r="E4963">
        <v>108.708</v>
      </c>
      <c r="F4963">
        <v>13.9153</v>
      </c>
      <c r="G4963">
        <v>49609.11</v>
      </c>
      <c r="H4963" s="1">
        <v>31749</v>
      </c>
      <c r="I4963" s="1">
        <v>31751</v>
      </c>
      <c r="J4963" t="s">
        <v>15</v>
      </c>
      <c r="K4963">
        <v>165</v>
      </c>
      <c r="L4963">
        <v>0</v>
      </c>
      <c r="M4963" t="s">
        <v>16</v>
      </c>
      <c r="N4963">
        <v>1</v>
      </c>
    </row>
    <row r="4964" hidden="1" spans="1:14">
      <c r="A4964">
        <v>160</v>
      </c>
      <c r="B4964">
        <v>0</v>
      </c>
      <c r="C4964" t="s">
        <v>239</v>
      </c>
      <c r="D4964">
        <v>0</v>
      </c>
      <c r="E4964">
        <v>108.372</v>
      </c>
      <c r="F4964">
        <v>13.9903</v>
      </c>
      <c r="G4964">
        <v>45057.5</v>
      </c>
      <c r="H4964" s="1">
        <v>32116</v>
      </c>
      <c r="I4964" s="1">
        <v>32121</v>
      </c>
      <c r="J4964" t="s">
        <v>15</v>
      </c>
      <c r="K4964">
        <v>86</v>
      </c>
      <c r="L4964">
        <v>40000</v>
      </c>
      <c r="M4964" t="s">
        <v>64</v>
      </c>
      <c r="N4964">
        <v>1</v>
      </c>
    </row>
    <row r="4965" hidden="1" spans="1:14">
      <c r="A4965">
        <v>260</v>
      </c>
      <c r="B4965">
        <v>0</v>
      </c>
      <c r="C4965" t="s">
        <v>239</v>
      </c>
      <c r="D4965">
        <v>0</v>
      </c>
      <c r="E4965">
        <v>106.498</v>
      </c>
      <c r="F4965">
        <v>17.6857</v>
      </c>
      <c r="G4965">
        <v>39063.06</v>
      </c>
      <c r="H4965" s="1">
        <v>32426</v>
      </c>
      <c r="I4965" s="1">
        <v>32436</v>
      </c>
      <c r="J4965" t="s">
        <v>15</v>
      </c>
      <c r="K4965">
        <v>100</v>
      </c>
      <c r="L4965">
        <v>500000</v>
      </c>
      <c r="M4965" t="s">
        <v>86</v>
      </c>
      <c r="N4965">
        <v>1</v>
      </c>
    </row>
    <row r="4966" hidden="1" spans="1:14">
      <c r="A4966">
        <v>343</v>
      </c>
      <c r="B4966">
        <v>0</v>
      </c>
      <c r="C4966" t="s">
        <v>239</v>
      </c>
      <c r="D4966">
        <v>0</v>
      </c>
      <c r="E4966">
        <v>105.256</v>
      </c>
      <c r="F4966">
        <v>19.952</v>
      </c>
      <c r="G4966">
        <v>10734.12</v>
      </c>
      <c r="H4966" s="1">
        <v>32714</v>
      </c>
      <c r="I4966" s="1">
        <v>32720</v>
      </c>
      <c r="J4966" t="s">
        <v>15</v>
      </c>
      <c r="K4966">
        <v>102</v>
      </c>
      <c r="L4966">
        <v>369200</v>
      </c>
      <c r="M4966" t="s">
        <v>86</v>
      </c>
      <c r="N4966">
        <v>1</v>
      </c>
    </row>
    <row r="4967" hidden="1" spans="1:14">
      <c r="A4967">
        <v>303</v>
      </c>
      <c r="B4967">
        <v>0</v>
      </c>
      <c r="C4967" t="s">
        <v>239</v>
      </c>
      <c r="D4967">
        <v>0</v>
      </c>
      <c r="E4967">
        <v>108.072</v>
      </c>
      <c r="F4967">
        <v>15.7436</v>
      </c>
      <c r="G4967">
        <v>18573.04</v>
      </c>
      <c r="H4967" s="1">
        <v>32651</v>
      </c>
      <c r="I4967" s="1">
        <v>32659</v>
      </c>
      <c r="J4967" t="s">
        <v>15</v>
      </c>
      <c r="K4967">
        <v>140</v>
      </c>
      <c r="L4967">
        <v>150000</v>
      </c>
      <c r="M4967" t="s">
        <v>86</v>
      </c>
      <c r="N4967">
        <v>2</v>
      </c>
    </row>
    <row r="4968" hidden="1" spans="1:14">
      <c r="A4968">
        <v>418</v>
      </c>
      <c r="B4968">
        <v>0</v>
      </c>
      <c r="C4968" t="s">
        <v>239</v>
      </c>
      <c r="D4968">
        <v>0</v>
      </c>
      <c r="E4968">
        <v>108.266</v>
      </c>
      <c r="F4968">
        <v>12.5476</v>
      </c>
      <c r="G4968">
        <v>17085.63</v>
      </c>
      <c r="H4968" s="1">
        <v>33036</v>
      </c>
      <c r="I4968" s="1">
        <v>33044</v>
      </c>
      <c r="J4968" t="s">
        <v>15</v>
      </c>
      <c r="K4968">
        <v>20</v>
      </c>
      <c r="L4968">
        <v>0</v>
      </c>
      <c r="M4968" t="s">
        <v>16</v>
      </c>
      <c r="N4968">
        <v>1</v>
      </c>
    </row>
    <row r="4969" hidden="1" spans="1:14">
      <c r="A4969">
        <v>427</v>
      </c>
      <c r="B4969">
        <v>0</v>
      </c>
      <c r="C4969" t="s">
        <v>239</v>
      </c>
      <c r="D4969">
        <v>0</v>
      </c>
      <c r="E4969">
        <v>104.096</v>
      </c>
      <c r="F4969">
        <v>21.3341</v>
      </c>
      <c r="G4969">
        <v>13949.57</v>
      </c>
      <c r="H4969" s="1">
        <v>33044</v>
      </c>
      <c r="I4969" s="1">
        <v>33062</v>
      </c>
      <c r="J4969" t="s">
        <v>15</v>
      </c>
      <c r="K4969">
        <v>13</v>
      </c>
      <c r="L4969">
        <v>4000</v>
      </c>
      <c r="M4969" t="s">
        <v>16</v>
      </c>
      <c r="N4969">
        <v>1</v>
      </c>
    </row>
    <row r="4970" hidden="1" spans="1:14">
      <c r="A4970">
        <v>463</v>
      </c>
      <c r="B4970">
        <v>0</v>
      </c>
      <c r="C4970" t="s">
        <v>239</v>
      </c>
      <c r="D4970">
        <v>0</v>
      </c>
      <c r="E4970">
        <v>107.662</v>
      </c>
      <c r="F4970">
        <v>16.0991</v>
      </c>
      <c r="G4970">
        <v>20589.65</v>
      </c>
      <c r="H4970" s="1">
        <v>33138</v>
      </c>
      <c r="I4970" s="1">
        <v>33142</v>
      </c>
      <c r="J4970" t="s">
        <v>15</v>
      </c>
      <c r="K4970">
        <v>29</v>
      </c>
      <c r="L4970">
        <v>560000</v>
      </c>
      <c r="M4970" t="s">
        <v>86</v>
      </c>
      <c r="N4970">
        <v>1</v>
      </c>
    </row>
    <row r="4971" hidden="1" spans="1:14">
      <c r="A4971">
        <v>467</v>
      </c>
      <c r="B4971">
        <v>0</v>
      </c>
      <c r="C4971" t="s">
        <v>239</v>
      </c>
      <c r="D4971">
        <v>0</v>
      </c>
      <c r="E4971">
        <v>107.467</v>
      </c>
      <c r="F4971">
        <v>16.3133</v>
      </c>
      <c r="G4971">
        <v>82532.6</v>
      </c>
      <c r="H4971" s="1">
        <v>33154</v>
      </c>
      <c r="I4971" s="1">
        <v>33170</v>
      </c>
      <c r="J4971" t="s">
        <v>15</v>
      </c>
      <c r="K4971">
        <v>16</v>
      </c>
      <c r="L4971">
        <v>440800</v>
      </c>
      <c r="M4971" t="s">
        <v>86</v>
      </c>
      <c r="N4971">
        <v>1</v>
      </c>
    </row>
    <row r="4972" hidden="1" spans="1:14">
      <c r="A4972">
        <v>551</v>
      </c>
      <c r="B4972">
        <v>0</v>
      </c>
      <c r="C4972" t="s">
        <v>239</v>
      </c>
      <c r="D4972">
        <v>0</v>
      </c>
      <c r="E4972">
        <v>103.614</v>
      </c>
      <c r="F4972">
        <v>21.7208</v>
      </c>
      <c r="G4972">
        <v>30956.14</v>
      </c>
      <c r="H4972" s="1">
        <v>33447</v>
      </c>
      <c r="I4972" s="1">
        <v>33450</v>
      </c>
      <c r="J4972" t="s">
        <v>15</v>
      </c>
      <c r="K4972">
        <v>38</v>
      </c>
      <c r="L4972">
        <v>4000</v>
      </c>
      <c r="M4972" t="s">
        <v>23</v>
      </c>
      <c r="N4972">
        <v>1</v>
      </c>
    </row>
    <row r="4973" hidden="1" spans="1:14">
      <c r="A4973">
        <v>572</v>
      </c>
      <c r="B4973">
        <v>0</v>
      </c>
      <c r="C4973" t="s">
        <v>239</v>
      </c>
      <c r="D4973">
        <v>0</v>
      </c>
      <c r="E4973">
        <v>105.467</v>
      </c>
      <c r="F4973">
        <v>18.7575</v>
      </c>
      <c r="G4973">
        <v>42119.05</v>
      </c>
      <c r="H4973" s="1">
        <v>33467</v>
      </c>
      <c r="I4973" s="1">
        <v>33471</v>
      </c>
      <c r="J4973" t="s">
        <v>15</v>
      </c>
      <c r="K4973">
        <v>15</v>
      </c>
      <c r="L4973">
        <v>40000</v>
      </c>
      <c r="M4973" t="s">
        <v>86</v>
      </c>
      <c r="N4973">
        <v>1</v>
      </c>
    </row>
    <row r="4974" hidden="1" spans="1:14">
      <c r="A4974">
        <v>586</v>
      </c>
      <c r="B4974">
        <v>0</v>
      </c>
      <c r="C4974" t="s">
        <v>239</v>
      </c>
      <c r="D4974">
        <v>0</v>
      </c>
      <c r="E4974">
        <v>105.635</v>
      </c>
      <c r="F4974">
        <v>10.2084</v>
      </c>
      <c r="G4974">
        <v>20794.19</v>
      </c>
      <c r="H4974" s="1">
        <v>33500</v>
      </c>
      <c r="I4974" s="1">
        <v>33506</v>
      </c>
      <c r="J4974" t="s">
        <v>15</v>
      </c>
      <c r="K4974">
        <v>55</v>
      </c>
      <c r="L4974">
        <v>21000</v>
      </c>
      <c r="M4974" t="s">
        <v>16</v>
      </c>
      <c r="N4974">
        <v>1</v>
      </c>
    </row>
    <row r="4975" hidden="1" spans="1:14">
      <c r="A4975">
        <v>658</v>
      </c>
      <c r="B4975">
        <v>0</v>
      </c>
      <c r="C4975" t="s">
        <v>239</v>
      </c>
      <c r="D4975">
        <v>0</v>
      </c>
      <c r="E4975">
        <v>106.601</v>
      </c>
      <c r="F4975">
        <v>20.733</v>
      </c>
      <c r="G4975">
        <v>10794.16</v>
      </c>
      <c r="H4975" s="1">
        <v>33775</v>
      </c>
      <c r="I4975" s="1">
        <v>33779</v>
      </c>
      <c r="J4975" t="s">
        <v>15</v>
      </c>
      <c r="K4975">
        <v>3</v>
      </c>
      <c r="L4975">
        <v>0</v>
      </c>
      <c r="M4975" t="s">
        <v>86</v>
      </c>
      <c r="N4975">
        <v>1</v>
      </c>
    </row>
    <row r="4976" hidden="1" spans="1:14">
      <c r="A4976">
        <v>673</v>
      </c>
      <c r="B4976">
        <v>0</v>
      </c>
      <c r="C4976" t="s">
        <v>239</v>
      </c>
      <c r="D4976">
        <v>0</v>
      </c>
      <c r="E4976">
        <v>105.195</v>
      </c>
      <c r="F4976">
        <v>22.073</v>
      </c>
      <c r="G4976">
        <v>6223.92</v>
      </c>
      <c r="H4976" s="1">
        <v>33813</v>
      </c>
      <c r="I4976" s="1">
        <v>33816</v>
      </c>
      <c r="J4976" t="s">
        <v>15</v>
      </c>
      <c r="K4976">
        <v>0</v>
      </c>
      <c r="L4976">
        <v>38000</v>
      </c>
      <c r="M4976" t="s">
        <v>16</v>
      </c>
      <c r="N4976">
        <v>1</v>
      </c>
    </row>
    <row r="4977" hidden="1" spans="1:14">
      <c r="A4977">
        <v>705</v>
      </c>
      <c r="B4977">
        <v>0</v>
      </c>
      <c r="C4977" t="s">
        <v>239</v>
      </c>
      <c r="D4977">
        <v>0</v>
      </c>
      <c r="E4977">
        <v>106.367</v>
      </c>
      <c r="F4977">
        <v>17.5324</v>
      </c>
      <c r="G4977">
        <v>51510.22</v>
      </c>
      <c r="H4977" s="1">
        <v>33882</v>
      </c>
      <c r="I4977" s="1">
        <v>33886</v>
      </c>
      <c r="J4977" t="s">
        <v>15</v>
      </c>
      <c r="K4977">
        <v>55</v>
      </c>
      <c r="L4977">
        <v>7579</v>
      </c>
      <c r="M4977" t="s">
        <v>16</v>
      </c>
      <c r="N4977">
        <v>1</v>
      </c>
    </row>
    <row r="4978" hidden="1" spans="1:14">
      <c r="A4978">
        <v>709</v>
      </c>
      <c r="B4978">
        <v>0</v>
      </c>
      <c r="C4978" t="s">
        <v>239</v>
      </c>
      <c r="D4978" t="s">
        <v>230</v>
      </c>
      <c r="E4978">
        <v>108.663</v>
      </c>
      <c r="F4978">
        <v>14.9366</v>
      </c>
      <c r="G4978">
        <v>69558.74</v>
      </c>
      <c r="H4978" s="1">
        <v>33905</v>
      </c>
      <c r="I4978" s="1">
        <v>33908</v>
      </c>
      <c r="J4978" t="s">
        <v>15</v>
      </c>
      <c r="K4978">
        <v>49</v>
      </c>
      <c r="L4978">
        <v>3000</v>
      </c>
      <c r="M4978" t="s">
        <v>86</v>
      </c>
      <c r="N4978">
        <v>1</v>
      </c>
    </row>
    <row r="4979" hidden="1" spans="1:14">
      <c r="A4979">
        <v>788</v>
      </c>
      <c r="B4979">
        <v>0</v>
      </c>
      <c r="C4979" t="s">
        <v>239</v>
      </c>
      <c r="D4979">
        <v>0</v>
      </c>
      <c r="E4979">
        <v>106.625</v>
      </c>
      <c r="F4979">
        <v>17.4285</v>
      </c>
      <c r="G4979">
        <v>29438.35</v>
      </c>
      <c r="H4979" s="1">
        <v>34244</v>
      </c>
      <c r="I4979" s="1">
        <v>34254</v>
      </c>
      <c r="J4979" t="s">
        <v>15</v>
      </c>
      <c r="K4979">
        <v>122</v>
      </c>
      <c r="L4979">
        <v>15000</v>
      </c>
      <c r="M4979" t="s">
        <v>64</v>
      </c>
      <c r="N4979">
        <v>2</v>
      </c>
    </row>
    <row r="4980" hidden="1" spans="1:14">
      <c r="A4980">
        <v>865</v>
      </c>
      <c r="B4980">
        <v>0</v>
      </c>
      <c r="C4980" t="s">
        <v>239</v>
      </c>
      <c r="D4980">
        <v>0</v>
      </c>
      <c r="E4980">
        <v>102.98</v>
      </c>
      <c r="F4980">
        <v>21.8175</v>
      </c>
      <c r="G4980">
        <v>17601.27</v>
      </c>
      <c r="H4980" s="1">
        <v>34530</v>
      </c>
      <c r="I4980" s="1">
        <v>34546</v>
      </c>
      <c r="J4980" t="s">
        <v>15</v>
      </c>
      <c r="K4980">
        <v>21</v>
      </c>
      <c r="L4980">
        <v>172</v>
      </c>
      <c r="M4980" t="s">
        <v>16</v>
      </c>
      <c r="N4980">
        <v>2</v>
      </c>
    </row>
    <row r="4981" hidden="1" spans="1:14">
      <c r="A4981">
        <v>1003</v>
      </c>
      <c r="B4981">
        <v>0</v>
      </c>
      <c r="C4981" t="s">
        <v>239</v>
      </c>
      <c r="D4981">
        <v>0</v>
      </c>
      <c r="E4981">
        <v>108</v>
      </c>
      <c r="F4981">
        <v>14.0455</v>
      </c>
      <c r="G4981">
        <v>122975.43</v>
      </c>
      <c r="H4981" s="1">
        <v>34963</v>
      </c>
      <c r="I4981" s="1">
        <v>34991</v>
      </c>
      <c r="J4981" t="s">
        <v>15</v>
      </c>
      <c r="K4981">
        <v>153</v>
      </c>
      <c r="L4981">
        <v>920000</v>
      </c>
      <c r="M4981" t="s">
        <v>16</v>
      </c>
      <c r="N4981">
        <v>1</v>
      </c>
    </row>
    <row r="4982" hidden="1" spans="1:14">
      <c r="A4982">
        <v>1018</v>
      </c>
      <c r="B4982">
        <v>0</v>
      </c>
      <c r="C4982" t="s">
        <v>239</v>
      </c>
      <c r="D4982">
        <v>0</v>
      </c>
      <c r="E4982">
        <v>106.601</v>
      </c>
      <c r="F4982">
        <v>17.3711</v>
      </c>
      <c r="G4982">
        <v>26965.87</v>
      </c>
      <c r="H4982" s="1">
        <v>34980</v>
      </c>
      <c r="I4982" s="1">
        <v>35018</v>
      </c>
      <c r="J4982" t="s">
        <v>15</v>
      </c>
      <c r="K4982">
        <v>253</v>
      </c>
      <c r="L4982">
        <v>212000</v>
      </c>
      <c r="M4982" t="s">
        <v>86</v>
      </c>
      <c r="N4982">
        <v>1</v>
      </c>
    </row>
    <row r="4983" hidden="1" spans="1:14">
      <c r="A4983">
        <v>1104</v>
      </c>
      <c r="B4983">
        <v>0</v>
      </c>
      <c r="C4983" t="s">
        <v>239</v>
      </c>
      <c r="D4983">
        <v>0</v>
      </c>
      <c r="E4983">
        <v>104.581</v>
      </c>
      <c r="F4983">
        <v>21.7574</v>
      </c>
      <c r="G4983">
        <v>84499.81</v>
      </c>
      <c r="H4983" s="1">
        <v>35295</v>
      </c>
      <c r="I4983" s="1">
        <v>35302</v>
      </c>
      <c r="J4983" t="s">
        <v>15</v>
      </c>
      <c r="K4983">
        <v>55</v>
      </c>
      <c r="L4983">
        <v>90000</v>
      </c>
      <c r="M4983" t="s">
        <v>23</v>
      </c>
      <c r="N4983">
        <v>2</v>
      </c>
    </row>
    <row r="4984" hidden="1" spans="1:14">
      <c r="A4984">
        <v>1119</v>
      </c>
      <c r="B4984">
        <v>0</v>
      </c>
      <c r="C4984" t="s">
        <v>239</v>
      </c>
      <c r="D4984">
        <v>0</v>
      </c>
      <c r="E4984">
        <v>105.275</v>
      </c>
      <c r="F4984">
        <v>10.2001</v>
      </c>
      <c r="G4984">
        <v>22610.8</v>
      </c>
      <c r="H4984" s="1">
        <v>35339</v>
      </c>
      <c r="I4984" s="1">
        <v>35382</v>
      </c>
      <c r="J4984" t="s">
        <v>15</v>
      </c>
      <c r="K4984">
        <v>162</v>
      </c>
      <c r="L4984">
        <v>200000</v>
      </c>
      <c r="M4984" t="s">
        <v>49</v>
      </c>
      <c r="N4984">
        <v>1</v>
      </c>
    </row>
    <row r="4985" hidden="1" spans="1:14">
      <c r="A4985">
        <v>1188</v>
      </c>
      <c r="B4985">
        <v>0</v>
      </c>
      <c r="C4985" t="s">
        <v>239</v>
      </c>
      <c r="D4985">
        <v>0</v>
      </c>
      <c r="E4985">
        <v>108.01</v>
      </c>
      <c r="F4985">
        <v>15.9136</v>
      </c>
      <c r="G4985">
        <v>15921.29</v>
      </c>
      <c r="H4985" s="1">
        <v>35693</v>
      </c>
      <c r="I4985" s="1">
        <v>35702</v>
      </c>
      <c r="J4985" t="s">
        <v>15</v>
      </c>
      <c r="K4985">
        <v>28</v>
      </c>
      <c r="L4985">
        <v>0</v>
      </c>
      <c r="M4985" t="s">
        <v>86</v>
      </c>
      <c r="N4985">
        <v>1</v>
      </c>
    </row>
    <row r="4986" hidden="1" spans="1:14">
      <c r="A4986">
        <v>1198</v>
      </c>
      <c r="B4986">
        <v>0</v>
      </c>
      <c r="C4986" t="s">
        <v>239</v>
      </c>
      <c r="D4986">
        <v>0</v>
      </c>
      <c r="E4986">
        <v>105.641</v>
      </c>
      <c r="F4986">
        <v>9.71488</v>
      </c>
      <c r="G4986">
        <v>34008.19</v>
      </c>
      <c r="H4986" s="1">
        <v>35736</v>
      </c>
      <c r="I4986" s="1">
        <v>35746</v>
      </c>
      <c r="J4986" t="s">
        <v>15</v>
      </c>
      <c r="K4986">
        <v>594</v>
      </c>
      <c r="L4986">
        <v>30000</v>
      </c>
      <c r="M4986" t="s">
        <v>86</v>
      </c>
      <c r="N4986">
        <v>2</v>
      </c>
    </row>
    <row r="4987" hidden="1" spans="1:14">
      <c r="A4987">
        <v>1271</v>
      </c>
      <c r="B4987">
        <v>0</v>
      </c>
      <c r="C4987" t="s">
        <v>239</v>
      </c>
      <c r="D4987">
        <v>0</v>
      </c>
      <c r="E4987">
        <v>104.011</v>
      </c>
      <c r="F4987">
        <v>21.8834</v>
      </c>
      <c r="G4987">
        <v>29185.99</v>
      </c>
      <c r="H4987" s="1">
        <v>35643</v>
      </c>
      <c r="I4987" s="1">
        <v>35649</v>
      </c>
      <c r="J4987" t="s">
        <v>15</v>
      </c>
      <c r="K4987">
        <v>12</v>
      </c>
      <c r="L4987">
        <v>800</v>
      </c>
      <c r="M4987" t="s">
        <v>16</v>
      </c>
      <c r="N4987">
        <v>1</v>
      </c>
    </row>
    <row r="4988" hidden="1" spans="1:14">
      <c r="A4988">
        <v>1382</v>
      </c>
      <c r="B4988">
        <v>0</v>
      </c>
      <c r="C4988" t="s">
        <v>239</v>
      </c>
      <c r="D4988">
        <v>0</v>
      </c>
      <c r="E4988">
        <v>105.136</v>
      </c>
      <c r="F4988">
        <v>21.3271</v>
      </c>
      <c r="G4988">
        <v>3247.25</v>
      </c>
      <c r="H4988" s="1">
        <v>35955</v>
      </c>
      <c r="I4988" s="1">
        <v>35956</v>
      </c>
      <c r="J4988" t="s">
        <v>15</v>
      </c>
      <c r="K4988">
        <v>0</v>
      </c>
      <c r="L4988">
        <v>0</v>
      </c>
      <c r="M4988" t="s">
        <v>16</v>
      </c>
      <c r="N4988">
        <v>1</v>
      </c>
    </row>
    <row r="4989" hidden="1" spans="1:14">
      <c r="A4989">
        <v>1410</v>
      </c>
      <c r="B4989">
        <v>0</v>
      </c>
      <c r="C4989" t="s">
        <v>239</v>
      </c>
      <c r="D4989">
        <v>0</v>
      </c>
      <c r="E4989">
        <v>105.344</v>
      </c>
      <c r="F4989">
        <v>21.5645</v>
      </c>
      <c r="G4989">
        <v>28276.08</v>
      </c>
      <c r="H4989" s="1">
        <v>35974</v>
      </c>
      <c r="I4989" s="1">
        <v>35987</v>
      </c>
      <c r="J4989" t="s">
        <v>15</v>
      </c>
      <c r="K4989">
        <v>4</v>
      </c>
      <c r="L4989">
        <v>12000</v>
      </c>
      <c r="M4989" t="s">
        <v>16</v>
      </c>
      <c r="N4989">
        <v>1</v>
      </c>
    </row>
    <row r="4990" hidden="1" spans="1:14">
      <c r="A4990">
        <v>1462</v>
      </c>
      <c r="B4990">
        <v>0</v>
      </c>
      <c r="C4990" t="s">
        <v>239</v>
      </c>
      <c r="D4990">
        <v>0</v>
      </c>
      <c r="E4990">
        <v>109.082</v>
      </c>
      <c r="F4990">
        <v>13.3286</v>
      </c>
      <c r="G4990">
        <v>24646.47</v>
      </c>
      <c r="H4990" s="1">
        <v>36084</v>
      </c>
      <c r="I4990" s="1">
        <v>36091</v>
      </c>
      <c r="J4990" t="s">
        <v>15</v>
      </c>
      <c r="K4990">
        <v>42</v>
      </c>
      <c r="L4990">
        <v>0</v>
      </c>
      <c r="M4990" t="s">
        <v>16</v>
      </c>
      <c r="N4990">
        <v>1</v>
      </c>
    </row>
    <row r="4991" hidden="1" spans="1:14">
      <c r="A4991">
        <v>1471</v>
      </c>
      <c r="B4991">
        <v>0</v>
      </c>
      <c r="C4991" t="s">
        <v>239</v>
      </c>
      <c r="D4991">
        <v>0</v>
      </c>
      <c r="E4991">
        <v>107.783</v>
      </c>
      <c r="F4991">
        <v>15.9397</v>
      </c>
      <c r="G4991">
        <v>25144.53</v>
      </c>
      <c r="H4991" s="1">
        <v>36112</v>
      </c>
      <c r="I4991" s="1">
        <v>36115</v>
      </c>
      <c r="J4991" t="s">
        <v>15</v>
      </c>
      <c r="K4991">
        <v>17</v>
      </c>
      <c r="L4991">
        <v>0</v>
      </c>
      <c r="M4991" t="s">
        <v>16</v>
      </c>
      <c r="N4991">
        <v>1</v>
      </c>
    </row>
    <row r="4992" hidden="1" spans="1:14">
      <c r="A4992">
        <v>1474</v>
      </c>
      <c r="B4992">
        <v>0</v>
      </c>
      <c r="C4992" t="s">
        <v>239</v>
      </c>
      <c r="D4992">
        <v>0</v>
      </c>
      <c r="E4992">
        <v>107.967</v>
      </c>
      <c r="F4992">
        <v>15.6947</v>
      </c>
      <c r="G4992">
        <v>10722.75</v>
      </c>
      <c r="H4992" s="1">
        <v>36118</v>
      </c>
      <c r="I4992" s="1">
        <v>36123</v>
      </c>
      <c r="J4992" t="s">
        <v>15</v>
      </c>
      <c r="K4992">
        <v>90</v>
      </c>
      <c r="L4992">
        <v>2000000</v>
      </c>
      <c r="M4992" t="s">
        <v>86</v>
      </c>
      <c r="N4992">
        <v>1</v>
      </c>
    </row>
    <row r="4993" hidden="1" spans="1:14">
      <c r="A4993">
        <v>1475</v>
      </c>
      <c r="B4993">
        <v>0</v>
      </c>
      <c r="C4993" t="s">
        <v>239</v>
      </c>
      <c r="D4993">
        <v>0</v>
      </c>
      <c r="E4993">
        <v>108.779</v>
      </c>
      <c r="F4993">
        <v>14.4466</v>
      </c>
      <c r="G4993">
        <v>9572.84</v>
      </c>
      <c r="H4993" s="1">
        <v>36124</v>
      </c>
      <c r="I4993" s="1">
        <v>36124</v>
      </c>
      <c r="J4993" t="s">
        <v>15</v>
      </c>
      <c r="K4993">
        <v>49</v>
      </c>
      <c r="L4993">
        <v>0</v>
      </c>
      <c r="M4993" t="s">
        <v>86</v>
      </c>
      <c r="N4993">
        <v>1</v>
      </c>
    </row>
    <row r="4994" hidden="1" spans="1:14">
      <c r="A4994">
        <v>1532</v>
      </c>
      <c r="B4994">
        <v>0</v>
      </c>
      <c r="C4994" t="s">
        <v>239</v>
      </c>
      <c r="D4994" t="s">
        <v>230</v>
      </c>
      <c r="E4994">
        <v>107.245</v>
      </c>
      <c r="F4994">
        <v>14.7952</v>
      </c>
      <c r="G4994">
        <v>142575.74</v>
      </c>
      <c r="H4994" s="1">
        <v>36365</v>
      </c>
      <c r="I4994" s="1">
        <v>36377</v>
      </c>
      <c r="J4994" t="s">
        <v>15</v>
      </c>
      <c r="K4994">
        <v>46</v>
      </c>
      <c r="L4994">
        <v>52000</v>
      </c>
      <c r="M4994" t="s">
        <v>18</v>
      </c>
      <c r="N4994">
        <v>2</v>
      </c>
    </row>
    <row r="4995" hidden="1" spans="1:14">
      <c r="A4995">
        <v>1565</v>
      </c>
      <c r="B4995">
        <v>0</v>
      </c>
      <c r="C4995" t="s">
        <v>239</v>
      </c>
      <c r="D4995" t="s">
        <v>230</v>
      </c>
      <c r="E4995">
        <v>107.05</v>
      </c>
      <c r="F4995">
        <v>14.986</v>
      </c>
      <c r="G4995">
        <v>232555.94</v>
      </c>
      <c r="H4995" s="1">
        <v>36458</v>
      </c>
      <c r="I4995" s="1">
        <v>36473</v>
      </c>
      <c r="J4995" t="s">
        <v>15</v>
      </c>
      <c r="K4995">
        <v>632</v>
      </c>
      <c r="L4995">
        <v>1114000</v>
      </c>
      <c r="M4995" t="s">
        <v>86</v>
      </c>
      <c r="N4995">
        <v>2</v>
      </c>
    </row>
    <row r="4996" hidden="1" spans="1:14">
      <c r="A4996">
        <v>1572</v>
      </c>
      <c r="B4996">
        <v>0</v>
      </c>
      <c r="C4996" t="s">
        <v>239</v>
      </c>
      <c r="D4996">
        <v>0</v>
      </c>
      <c r="E4996">
        <v>107.876</v>
      </c>
      <c r="F4996">
        <v>16.181</v>
      </c>
      <c r="G4996">
        <v>74776.82</v>
      </c>
      <c r="H4996" s="1">
        <v>36496</v>
      </c>
      <c r="I4996" s="1">
        <v>36504</v>
      </c>
      <c r="J4996" t="s">
        <v>15</v>
      </c>
      <c r="K4996">
        <v>120</v>
      </c>
      <c r="L4996">
        <v>1000000</v>
      </c>
      <c r="M4996" t="s">
        <v>16</v>
      </c>
      <c r="N4996">
        <v>2</v>
      </c>
    </row>
    <row r="4997" hidden="1" spans="1:14">
      <c r="A4997">
        <v>1622</v>
      </c>
      <c r="B4997">
        <v>0</v>
      </c>
      <c r="C4997" t="s">
        <v>239</v>
      </c>
      <c r="D4997" t="s">
        <v>230</v>
      </c>
      <c r="E4997">
        <v>103.811</v>
      </c>
      <c r="F4997">
        <v>15.1121</v>
      </c>
      <c r="G4997">
        <v>78305.55</v>
      </c>
      <c r="H4997" s="1">
        <v>36759</v>
      </c>
      <c r="I4997" s="1">
        <v>36766</v>
      </c>
      <c r="J4997" t="s">
        <v>15</v>
      </c>
      <c r="K4997">
        <v>14</v>
      </c>
      <c r="L4997">
        <v>400500</v>
      </c>
      <c r="M4997" t="s">
        <v>86</v>
      </c>
      <c r="N4997">
        <v>1</v>
      </c>
    </row>
    <row r="4998" hidden="1" spans="1:14">
      <c r="A4998">
        <v>1742</v>
      </c>
      <c r="B4998">
        <v>0</v>
      </c>
      <c r="C4998" t="s">
        <v>239</v>
      </c>
      <c r="D4998">
        <v>0</v>
      </c>
      <c r="E4998">
        <v>105.853</v>
      </c>
      <c r="F4998">
        <v>21.6636</v>
      </c>
      <c r="G4998">
        <v>12941.63</v>
      </c>
      <c r="H4998" s="1">
        <v>37075</v>
      </c>
      <c r="I4998" s="1">
        <v>37078</v>
      </c>
      <c r="J4998" t="s">
        <v>15</v>
      </c>
      <c r="K4998">
        <v>32</v>
      </c>
      <c r="L4998">
        <v>13000</v>
      </c>
      <c r="M4998" t="s">
        <v>18</v>
      </c>
      <c r="N4998">
        <v>2</v>
      </c>
    </row>
    <row r="4999" hidden="1" spans="1:14">
      <c r="A4999">
        <v>1924</v>
      </c>
      <c r="B4999">
        <v>0</v>
      </c>
      <c r="C4999" t="s">
        <v>239</v>
      </c>
      <c r="D4999">
        <v>0</v>
      </c>
      <c r="E4999">
        <v>104.442</v>
      </c>
      <c r="F4999">
        <v>22.052</v>
      </c>
      <c r="G4999">
        <v>90660.36</v>
      </c>
      <c r="H4999" s="1">
        <v>37388</v>
      </c>
      <c r="I4999" s="1">
        <v>37391</v>
      </c>
      <c r="J4999" t="s">
        <v>15</v>
      </c>
      <c r="K4999">
        <v>6</v>
      </c>
      <c r="L4999">
        <v>0</v>
      </c>
      <c r="M4999" t="s">
        <v>16</v>
      </c>
      <c r="N4999">
        <v>1</v>
      </c>
    </row>
    <row r="5000" hidden="1" spans="1:14">
      <c r="A5000">
        <v>1945</v>
      </c>
      <c r="B5000">
        <v>0</v>
      </c>
      <c r="C5000" t="s">
        <v>239</v>
      </c>
      <c r="D5000">
        <v>0</v>
      </c>
      <c r="E5000">
        <v>105.025</v>
      </c>
      <c r="F5000">
        <v>22.7803</v>
      </c>
      <c r="G5000">
        <v>1322.87</v>
      </c>
      <c r="H5000" s="1">
        <v>37416</v>
      </c>
      <c r="I5000" s="1">
        <v>37418</v>
      </c>
      <c r="J5000" t="s">
        <v>15</v>
      </c>
      <c r="K5000">
        <v>3</v>
      </c>
      <c r="L5000">
        <v>0</v>
      </c>
      <c r="M5000" t="s">
        <v>16</v>
      </c>
      <c r="N5000">
        <v>1</v>
      </c>
    </row>
    <row r="5001" hidden="1" spans="1:14">
      <c r="A5001">
        <v>1966</v>
      </c>
      <c r="B5001">
        <v>0</v>
      </c>
      <c r="C5001" t="s">
        <v>239</v>
      </c>
      <c r="D5001">
        <v>0</v>
      </c>
      <c r="E5001">
        <v>107.069</v>
      </c>
      <c r="F5001">
        <v>11.7891</v>
      </c>
      <c r="G5001">
        <v>2182.4</v>
      </c>
      <c r="H5001" s="1">
        <v>37427</v>
      </c>
      <c r="I5001" s="1">
        <v>37430</v>
      </c>
      <c r="J5001" t="s">
        <v>15</v>
      </c>
      <c r="K5001">
        <v>4</v>
      </c>
      <c r="L5001">
        <v>0</v>
      </c>
      <c r="M5001" t="s">
        <v>16</v>
      </c>
      <c r="N5001">
        <v>1</v>
      </c>
    </row>
    <row r="5002" hidden="1" spans="1:14">
      <c r="A5002">
        <v>1991</v>
      </c>
      <c r="B5002">
        <v>0</v>
      </c>
      <c r="C5002" t="s">
        <v>239</v>
      </c>
      <c r="D5002">
        <v>0</v>
      </c>
      <c r="E5002">
        <v>105.254</v>
      </c>
      <c r="F5002">
        <v>10.5017</v>
      </c>
      <c r="G5002">
        <v>46641.08</v>
      </c>
      <c r="H5002" s="1">
        <v>37452</v>
      </c>
      <c r="I5002" s="1">
        <v>37592</v>
      </c>
      <c r="J5002" t="s">
        <v>15</v>
      </c>
      <c r="K5002">
        <v>155</v>
      </c>
      <c r="L5002">
        <v>200000</v>
      </c>
      <c r="M5002" t="s">
        <v>23</v>
      </c>
      <c r="N5002">
        <v>1</v>
      </c>
    </row>
    <row r="5003" hidden="1" spans="1:14">
      <c r="A5003">
        <v>2014</v>
      </c>
      <c r="B5003">
        <v>0</v>
      </c>
      <c r="C5003" t="s">
        <v>239</v>
      </c>
      <c r="D5003">
        <v>0</v>
      </c>
      <c r="E5003">
        <v>103.689</v>
      </c>
      <c r="F5003">
        <v>22.1084</v>
      </c>
      <c r="G5003">
        <v>27818.77</v>
      </c>
      <c r="H5003" s="1">
        <v>37468</v>
      </c>
      <c r="I5003" s="1">
        <v>37474</v>
      </c>
      <c r="J5003" t="s">
        <v>15</v>
      </c>
      <c r="K5003">
        <v>10</v>
      </c>
      <c r="L5003">
        <v>2000</v>
      </c>
      <c r="M5003" t="s">
        <v>16</v>
      </c>
      <c r="N5003">
        <v>1</v>
      </c>
    </row>
    <row r="5004" hidden="1" spans="1:14">
      <c r="A5004">
        <v>2035</v>
      </c>
      <c r="B5004">
        <v>0</v>
      </c>
      <c r="C5004" t="s">
        <v>239</v>
      </c>
      <c r="D5004">
        <v>0</v>
      </c>
      <c r="E5004">
        <v>104.679</v>
      </c>
      <c r="F5004">
        <v>22.5644</v>
      </c>
      <c r="G5004">
        <v>50976.86</v>
      </c>
      <c r="H5004" s="1">
        <v>37482</v>
      </c>
      <c r="I5004" s="1">
        <v>37490</v>
      </c>
      <c r="J5004" t="s">
        <v>15</v>
      </c>
      <c r="K5004">
        <v>29</v>
      </c>
      <c r="L5004">
        <v>80000</v>
      </c>
      <c r="M5004" t="s">
        <v>16</v>
      </c>
      <c r="N5004">
        <v>2</v>
      </c>
    </row>
    <row r="5005" hidden="1" spans="1:14">
      <c r="A5005">
        <v>2043</v>
      </c>
      <c r="B5005">
        <v>0</v>
      </c>
      <c r="C5005" t="s">
        <v>239</v>
      </c>
      <c r="D5005">
        <v>0</v>
      </c>
      <c r="E5005">
        <v>108.131</v>
      </c>
      <c r="F5005">
        <v>12.6459</v>
      </c>
      <c r="G5005">
        <v>12948.32</v>
      </c>
      <c r="H5005" s="1">
        <v>37487</v>
      </c>
      <c r="I5005" s="1">
        <v>37492</v>
      </c>
      <c r="J5005" t="s">
        <v>15</v>
      </c>
      <c r="K5005">
        <v>4</v>
      </c>
      <c r="L5005">
        <v>6000</v>
      </c>
      <c r="M5005" t="s">
        <v>23</v>
      </c>
      <c r="N5005">
        <v>1</v>
      </c>
    </row>
    <row r="5006" hidden="1" spans="1:14">
      <c r="A5006">
        <v>2059</v>
      </c>
      <c r="B5006">
        <v>0</v>
      </c>
      <c r="C5006" t="s">
        <v>239</v>
      </c>
      <c r="D5006">
        <v>0</v>
      </c>
      <c r="E5006">
        <v>105.175</v>
      </c>
      <c r="F5006">
        <v>18.5778</v>
      </c>
      <c r="G5006">
        <v>19984.68</v>
      </c>
      <c r="H5006" s="1">
        <v>37519</v>
      </c>
      <c r="I5006" s="1">
        <v>37529</v>
      </c>
      <c r="J5006" t="s">
        <v>15</v>
      </c>
      <c r="K5006">
        <v>76</v>
      </c>
      <c r="L5006">
        <v>200000</v>
      </c>
      <c r="M5006" t="s">
        <v>16</v>
      </c>
      <c r="N5006">
        <v>2</v>
      </c>
    </row>
    <row r="5007" hidden="1" spans="1:14">
      <c r="A5007">
        <v>2077</v>
      </c>
      <c r="B5007">
        <v>0</v>
      </c>
      <c r="C5007" t="s">
        <v>239</v>
      </c>
      <c r="D5007">
        <v>0</v>
      </c>
      <c r="E5007">
        <v>108.878</v>
      </c>
      <c r="F5007">
        <v>14.2062</v>
      </c>
      <c r="G5007">
        <v>7902.14</v>
      </c>
      <c r="H5007" s="1">
        <v>37555</v>
      </c>
      <c r="I5007" s="1">
        <v>37558</v>
      </c>
      <c r="J5007" t="s">
        <v>15</v>
      </c>
      <c r="K5007">
        <v>2</v>
      </c>
      <c r="L5007">
        <v>0</v>
      </c>
      <c r="M5007" t="s">
        <v>16</v>
      </c>
      <c r="N5007">
        <v>1</v>
      </c>
    </row>
    <row r="5008" hidden="1" spans="1:14">
      <c r="A5008">
        <v>2082</v>
      </c>
      <c r="B5008">
        <v>0</v>
      </c>
      <c r="C5008" t="s">
        <v>239</v>
      </c>
      <c r="D5008">
        <v>0</v>
      </c>
      <c r="E5008">
        <v>109.03</v>
      </c>
      <c r="F5008">
        <v>12.5292</v>
      </c>
      <c r="G5008">
        <v>8719.41</v>
      </c>
      <c r="H5008" s="1">
        <v>37563</v>
      </c>
      <c r="I5008" s="1">
        <v>37567</v>
      </c>
      <c r="J5008" t="s">
        <v>15</v>
      </c>
      <c r="K5008">
        <v>2</v>
      </c>
      <c r="L5008">
        <v>0</v>
      </c>
      <c r="M5008" t="s">
        <v>16</v>
      </c>
      <c r="N5008">
        <v>1</v>
      </c>
    </row>
    <row r="5009" hidden="1" spans="1:14">
      <c r="A5009">
        <v>2297</v>
      </c>
      <c r="B5009">
        <v>0</v>
      </c>
      <c r="C5009" t="s">
        <v>239</v>
      </c>
      <c r="D5009">
        <v>0</v>
      </c>
      <c r="E5009">
        <v>103.048</v>
      </c>
      <c r="F5009">
        <v>21.8714</v>
      </c>
      <c r="G5009">
        <v>12067.52</v>
      </c>
      <c r="H5009" s="1">
        <v>37827</v>
      </c>
      <c r="I5009" s="1">
        <v>37834</v>
      </c>
      <c r="J5009" t="s">
        <v>15</v>
      </c>
      <c r="K5009">
        <v>5</v>
      </c>
      <c r="L5009">
        <v>0</v>
      </c>
      <c r="M5009" t="s">
        <v>16</v>
      </c>
      <c r="N5009">
        <v>1</v>
      </c>
    </row>
    <row r="5010" hidden="1" spans="1:14">
      <c r="A5010">
        <v>2304</v>
      </c>
      <c r="B5010">
        <v>0</v>
      </c>
      <c r="C5010" t="s">
        <v>239</v>
      </c>
      <c r="D5010">
        <v>0</v>
      </c>
      <c r="E5010">
        <v>107.896</v>
      </c>
      <c r="F5010">
        <v>12.9815</v>
      </c>
      <c r="G5010">
        <v>3901.07</v>
      </c>
      <c r="H5010" s="1">
        <v>37835</v>
      </c>
      <c r="I5010" s="1">
        <v>37838</v>
      </c>
      <c r="J5010" t="s">
        <v>15</v>
      </c>
      <c r="K5010">
        <v>12</v>
      </c>
      <c r="L5010">
        <v>0</v>
      </c>
      <c r="M5010" t="s">
        <v>18</v>
      </c>
      <c r="N5010">
        <v>1</v>
      </c>
    </row>
    <row r="5011" hidden="1" spans="1:14">
      <c r="A5011">
        <v>2308</v>
      </c>
      <c r="B5011">
        <v>0</v>
      </c>
      <c r="C5011" t="s">
        <v>239</v>
      </c>
      <c r="D5011">
        <v>0</v>
      </c>
      <c r="E5011">
        <v>106.447</v>
      </c>
      <c r="F5011">
        <v>10.5416</v>
      </c>
      <c r="G5011">
        <v>14422.68</v>
      </c>
      <c r="H5011" s="1">
        <v>37837</v>
      </c>
      <c r="I5011" s="1">
        <v>37841</v>
      </c>
      <c r="J5011" t="s">
        <v>15</v>
      </c>
      <c r="K5011">
        <v>0</v>
      </c>
      <c r="L5011">
        <v>0</v>
      </c>
      <c r="M5011" t="s">
        <v>16</v>
      </c>
      <c r="N5011">
        <v>1</v>
      </c>
    </row>
    <row r="5012" hidden="1" spans="1:14">
      <c r="A5012">
        <v>2346</v>
      </c>
      <c r="B5012">
        <v>0</v>
      </c>
      <c r="C5012" t="s">
        <v>239</v>
      </c>
      <c r="D5012">
        <v>0</v>
      </c>
      <c r="E5012">
        <v>105.73</v>
      </c>
      <c r="F5012">
        <v>19.4009</v>
      </c>
      <c r="G5012">
        <v>31350.78</v>
      </c>
      <c r="H5012" s="1">
        <v>37874</v>
      </c>
      <c r="I5012" s="1">
        <v>37878</v>
      </c>
      <c r="J5012" t="s">
        <v>15</v>
      </c>
      <c r="K5012">
        <v>15</v>
      </c>
      <c r="L5012">
        <v>0</v>
      </c>
      <c r="M5012" t="s">
        <v>23</v>
      </c>
      <c r="N5012">
        <v>1</v>
      </c>
    </row>
    <row r="5013" hidden="1" spans="1:14">
      <c r="A5013">
        <v>2368</v>
      </c>
      <c r="B5013">
        <v>0</v>
      </c>
      <c r="C5013" t="s">
        <v>239</v>
      </c>
      <c r="D5013">
        <v>0</v>
      </c>
      <c r="E5013">
        <v>108.846</v>
      </c>
      <c r="F5013">
        <v>14.7675</v>
      </c>
      <c r="G5013">
        <v>10631.92</v>
      </c>
      <c r="H5013" s="1">
        <v>37909</v>
      </c>
      <c r="I5013" s="1">
        <v>37916</v>
      </c>
      <c r="J5013" t="s">
        <v>15</v>
      </c>
      <c r="K5013">
        <v>52</v>
      </c>
      <c r="L5013">
        <v>40000</v>
      </c>
      <c r="M5013" t="s">
        <v>16</v>
      </c>
      <c r="N5013">
        <v>1</v>
      </c>
    </row>
    <row r="5014" hidden="1" spans="1:14">
      <c r="A5014">
        <v>2383</v>
      </c>
      <c r="B5014">
        <v>0</v>
      </c>
      <c r="C5014" t="s">
        <v>239</v>
      </c>
      <c r="D5014">
        <v>0</v>
      </c>
      <c r="E5014">
        <v>108.979</v>
      </c>
      <c r="F5014">
        <v>12.9047</v>
      </c>
      <c r="G5014">
        <v>38304.75</v>
      </c>
      <c r="H5014" s="1">
        <v>37937</v>
      </c>
      <c r="I5014" s="1">
        <v>37942</v>
      </c>
      <c r="J5014" t="s">
        <v>15</v>
      </c>
      <c r="K5014">
        <v>61</v>
      </c>
      <c r="L5014">
        <v>0</v>
      </c>
      <c r="M5014" t="s">
        <v>16</v>
      </c>
      <c r="N5014">
        <v>1</v>
      </c>
    </row>
    <row r="5015" hidden="1" spans="1:14">
      <c r="A5015">
        <v>2390</v>
      </c>
      <c r="B5015">
        <v>0</v>
      </c>
      <c r="C5015" t="s">
        <v>239</v>
      </c>
      <c r="D5015">
        <v>0</v>
      </c>
      <c r="E5015">
        <v>108.35</v>
      </c>
      <c r="F5015">
        <v>15.6116</v>
      </c>
      <c r="G5015">
        <v>3793.65</v>
      </c>
      <c r="H5015" s="1">
        <v>37949</v>
      </c>
      <c r="I5015" s="1">
        <v>37951</v>
      </c>
      <c r="J5015" t="s">
        <v>15</v>
      </c>
      <c r="K5015">
        <v>3</v>
      </c>
      <c r="L5015">
        <v>0</v>
      </c>
      <c r="M5015" t="s">
        <v>16</v>
      </c>
      <c r="N5015">
        <v>1</v>
      </c>
    </row>
    <row r="5016" hidden="1" spans="1:14">
      <c r="A5016">
        <v>2474</v>
      </c>
      <c r="B5016">
        <v>0</v>
      </c>
      <c r="C5016" t="s">
        <v>239</v>
      </c>
      <c r="D5016">
        <v>0</v>
      </c>
      <c r="E5016">
        <v>103.941</v>
      </c>
      <c r="F5016">
        <v>21.2792</v>
      </c>
      <c r="G5016">
        <v>3305.11</v>
      </c>
      <c r="H5016" s="1">
        <v>38093</v>
      </c>
      <c r="I5016" s="1">
        <v>38094</v>
      </c>
      <c r="J5016" t="s">
        <v>15</v>
      </c>
      <c r="K5016">
        <v>9</v>
      </c>
      <c r="L5016">
        <v>0</v>
      </c>
      <c r="M5016" t="s">
        <v>16</v>
      </c>
      <c r="N5016">
        <v>1</v>
      </c>
    </row>
    <row r="5017" hidden="1" spans="1:14">
      <c r="A5017">
        <v>2530</v>
      </c>
      <c r="B5017">
        <v>0</v>
      </c>
      <c r="C5017" t="s">
        <v>239</v>
      </c>
      <c r="D5017">
        <v>0</v>
      </c>
      <c r="E5017">
        <v>105.869</v>
      </c>
      <c r="F5017">
        <v>22.5609</v>
      </c>
      <c r="G5017">
        <v>12017.51</v>
      </c>
      <c r="H5017" s="1">
        <v>38186</v>
      </c>
      <c r="I5017" s="1">
        <v>38196</v>
      </c>
      <c r="J5017" t="s">
        <v>15</v>
      </c>
      <c r="K5017">
        <v>36</v>
      </c>
      <c r="L5017">
        <v>0</v>
      </c>
      <c r="M5017" t="s">
        <v>16</v>
      </c>
      <c r="N5017">
        <v>1</v>
      </c>
    </row>
    <row r="5018" hidden="1" spans="1:14">
      <c r="A5018">
        <v>2555</v>
      </c>
      <c r="B5018">
        <v>0</v>
      </c>
      <c r="C5018" t="s">
        <v>239</v>
      </c>
      <c r="D5018" t="s">
        <v>237</v>
      </c>
      <c r="E5018">
        <v>105.824</v>
      </c>
      <c r="F5018">
        <v>10.3179</v>
      </c>
      <c r="G5018">
        <v>47461.89</v>
      </c>
      <c r="H5018" s="1">
        <v>38223</v>
      </c>
      <c r="I5018" s="1">
        <v>38281</v>
      </c>
      <c r="J5018" t="s">
        <v>15</v>
      </c>
      <c r="K5018">
        <v>34</v>
      </c>
      <c r="L5018">
        <v>30000</v>
      </c>
      <c r="M5018" t="s">
        <v>23</v>
      </c>
      <c r="N5018">
        <v>1</v>
      </c>
    </row>
    <row r="5019" hidden="1" spans="1:14">
      <c r="A5019">
        <v>2591</v>
      </c>
      <c r="B5019">
        <v>0</v>
      </c>
      <c r="C5019" t="s">
        <v>239</v>
      </c>
      <c r="D5019">
        <v>0</v>
      </c>
      <c r="E5019">
        <v>107.437</v>
      </c>
      <c r="F5019">
        <v>16.1973</v>
      </c>
      <c r="G5019">
        <v>23734.89</v>
      </c>
      <c r="H5019" s="1">
        <v>38317</v>
      </c>
      <c r="I5019" s="1">
        <v>38321</v>
      </c>
      <c r="J5019" t="s">
        <v>15</v>
      </c>
      <c r="K5019">
        <v>56</v>
      </c>
      <c r="L5019">
        <v>500000</v>
      </c>
      <c r="M5019" t="s">
        <v>16</v>
      </c>
      <c r="N5019">
        <v>1</v>
      </c>
    </row>
    <row r="5020" hidden="1" spans="1:14">
      <c r="A5020">
        <v>2710</v>
      </c>
      <c r="B5020">
        <v>0</v>
      </c>
      <c r="C5020" t="s">
        <v>239</v>
      </c>
      <c r="D5020">
        <v>0</v>
      </c>
      <c r="E5020">
        <v>104.857</v>
      </c>
      <c r="F5020">
        <v>19.1699</v>
      </c>
      <c r="G5020">
        <v>14785.95</v>
      </c>
      <c r="H5020" s="1">
        <v>38577</v>
      </c>
      <c r="I5020" s="1">
        <v>38580</v>
      </c>
      <c r="J5020" t="s">
        <v>15</v>
      </c>
      <c r="K5020">
        <v>13</v>
      </c>
      <c r="L5020">
        <v>0</v>
      </c>
      <c r="M5020" t="s">
        <v>16</v>
      </c>
      <c r="N5020">
        <v>1</v>
      </c>
    </row>
    <row r="5021" hidden="1" spans="1:14">
      <c r="A5021">
        <v>2725</v>
      </c>
      <c r="B5021">
        <v>0</v>
      </c>
      <c r="C5021" t="s">
        <v>239</v>
      </c>
      <c r="D5021" t="s">
        <v>237</v>
      </c>
      <c r="E5021">
        <v>105.735</v>
      </c>
      <c r="F5021">
        <v>10.7071</v>
      </c>
      <c r="G5021">
        <v>154793.77</v>
      </c>
      <c r="H5021" s="1">
        <v>38603</v>
      </c>
      <c r="I5021" s="1">
        <v>38657</v>
      </c>
      <c r="J5021" t="s">
        <v>15</v>
      </c>
      <c r="K5021">
        <v>69</v>
      </c>
      <c r="L5021">
        <v>30000</v>
      </c>
      <c r="M5021" t="s">
        <v>23</v>
      </c>
      <c r="N5021">
        <v>1</v>
      </c>
    </row>
    <row r="5022" hidden="1" spans="1:14">
      <c r="A5022">
        <v>2732</v>
      </c>
      <c r="B5022">
        <v>0</v>
      </c>
      <c r="C5022" t="s">
        <v>239</v>
      </c>
      <c r="D5022">
        <v>0</v>
      </c>
      <c r="E5022">
        <v>105.55</v>
      </c>
      <c r="F5022">
        <v>18.7601</v>
      </c>
      <c r="G5022">
        <v>10778.8</v>
      </c>
      <c r="H5022" s="1">
        <v>38613</v>
      </c>
      <c r="I5022" s="1">
        <v>38619</v>
      </c>
      <c r="J5022" t="s">
        <v>15</v>
      </c>
      <c r="K5022">
        <v>8</v>
      </c>
      <c r="L5022">
        <v>8500</v>
      </c>
      <c r="M5022" t="s">
        <v>86</v>
      </c>
      <c r="N5022">
        <v>1</v>
      </c>
    </row>
    <row r="5023" hidden="1" spans="1:14">
      <c r="A5023">
        <v>2748</v>
      </c>
      <c r="B5023">
        <v>0</v>
      </c>
      <c r="C5023" t="s">
        <v>239</v>
      </c>
      <c r="D5023">
        <v>0</v>
      </c>
      <c r="E5023">
        <v>106.82</v>
      </c>
      <c r="F5023">
        <v>17.1257</v>
      </c>
      <c r="G5023">
        <v>8374.03</v>
      </c>
      <c r="H5023" s="1">
        <v>38632</v>
      </c>
      <c r="I5023" s="1">
        <v>38636</v>
      </c>
      <c r="J5023" t="s">
        <v>15</v>
      </c>
      <c r="K5023">
        <v>17</v>
      </c>
      <c r="L5023">
        <v>10000</v>
      </c>
      <c r="M5023" t="s">
        <v>16</v>
      </c>
      <c r="N5023">
        <v>1</v>
      </c>
    </row>
    <row r="5024" hidden="1" spans="1:14">
      <c r="A5024">
        <v>2757</v>
      </c>
      <c r="B5024">
        <v>0</v>
      </c>
      <c r="C5024" t="s">
        <v>239</v>
      </c>
      <c r="D5024">
        <v>0</v>
      </c>
      <c r="E5024">
        <v>109.071</v>
      </c>
      <c r="F5024">
        <v>12.7525</v>
      </c>
      <c r="G5024">
        <v>28847.57</v>
      </c>
      <c r="H5024" s="1">
        <v>38645</v>
      </c>
      <c r="I5024" s="1">
        <v>38653</v>
      </c>
      <c r="J5024" t="s">
        <v>15</v>
      </c>
      <c r="K5024">
        <v>67</v>
      </c>
      <c r="L5024">
        <v>1500</v>
      </c>
      <c r="M5024" t="s">
        <v>16</v>
      </c>
      <c r="N5024">
        <v>1</v>
      </c>
    </row>
    <row r="5025" hidden="1" spans="1:14">
      <c r="A5025">
        <v>2760</v>
      </c>
      <c r="B5025">
        <v>0</v>
      </c>
      <c r="C5025" t="s">
        <v>239</v>
      </c>
      <c r="D5025">
        <v>0</v>
      </c>
      <c r="E5025">
        <v>108.217</v>
      </c>
      <c r="F5025">
        <v>15.6484</v>
      </c>
      <c r="G5025">
        <v>16656.85</v>
      </c>
      <c r="H5025" s="1">
        <v>38658</v>
      </c>
      <c r="I5025" s="1">
        <v>38660</v>
      </c>
      <c r="J5025" t="s">
        <v>15</v>
      </c>
      <c r="K5025">
        <v>20</v>
      </c>
      <c r="L5025">
        <v>15000</v>
      </c>
      <c r="M5025" t="s">
        <v>86</v>
      </c>
      <c r="N5025">
        <v>1</v>
      </c>
    </row>
    <row r="5026" hidden="1" spans="1:14">
      <c r="A5026">
        <v>2766</v>
      </c>
      <c r="B5026">
        <v>0</v>
      </c>
      <c r="C5026" t="s">
        <v>239</v>
      </c>
      <c r="D5026">
        <v>0</v>
      </c>
      <c r="E5026">
        <v>108.104</v>
      </c>
      <c r="F5026">
        <v>15.5251</v>
      </c>
      <c r="G5026">
        <v>16015.58</v>
      </c>
      <c r="H5026" s="1">
        <v>38674</v>
      </c>
      <c r="I5026" s="1">
        <v>38677</v>
      </c>
      <c r="J5026" t="s">
        <v>15</v>
      </c>
      <c r="K5026">
        <v>5</v>
      </c>
      <c r="L5026">
        <v>3000</v>
      </c>
      <c r="M5026" t="s">
        <v>16</v>
      </c>
      <c r="N5026">
        <v>1</v>
      </c>
    </row>
    <row r="5027" hidden="1" spans="1:14">
      <c r="A5027">
        <v>2770</v>
      </c>
      <c r="B5027">
        <v>0</v>
      </c>
      <c r="C5027" t="s">
        <v>239</v>
      </c>
      <c r="D5027">
        <v>0</v>
      </c>
      <c r="E5027">
        <v>108.583</v>
      </c>
      <c r="F5027">
        <v>13.607</v>
      </c>
      <c r="G5027">
        <v>63089.06</v>
      </c>
      <c r="H5027" s="1">
        <v>38690</v>
      </c>
      <c r="I5027" s="1">
        <v>38710</v>
      </c>
      <c r="J5027" t="s">
        <v>15</v>
      </c>
      <c r="K5027">
        <v>62</v>
      </c>
      <c r="L5027">
        <v>20000</v>
      </c>
      <c r="M5027" t="s">
        <v>16</v>
      </c>
      <c r="N5027">
        <v>1</v>
      </c>
    </row>
    <row r="5028" hidden="1" spans="1:14">
      <c r="A5028">
        <v>2805</v>
      </c>
      <c r="B5028">
        <v>0</v>
      </c>
      <c r="C5028" t="s">
        <v>239</v>
      </c>
      <c r="D5028">
        <v>0</v>
      </c>
      <c r="E5028">
        <v>106.928</v>
      </c>
      <c r="F5028">
        <v>17.0428</v>
      </c>
      <c r="G5028">
        <v>17541.13</v>
      </c>
      <c r="H5028" s="1">
        <v>38762</v>
      </c>
      <c r="I5028" s="1">
        <v>38769</v>
      </c>
      <c r="J5028" t="s">
        <v>15</v>
      </c>
      <c r="K5028">
        <v>0</v>
      </c>
      <c r="L5028">
        <v>500</v>
      </c>
      <c r="M5028" t="s">
        <v>16</v>
      </c>
      <c r="N5028">
        <v>2</v>
      </c>
    </row>
    <row r="5029" hidden="1" spans="1:14">
      <c r="A5029">
        <v>2915</v>
      </c>
      <c r="B5029">
        <v>0</v>
      </c>
      <c r="C5029" t="s">
        <v>239</v>
      </c>
      <c r="D5029">
        <v>0</v>
      </c>
      <c r="E5029">
        <v>105.326</v>
      </c>
      <c r="F5029">
        <v>22.7127</v>
      </c>
      <c r="G5029">
        <v>634.81</v>
      </c>
      <c r="H5029" s="1">
        <v>38907</v>
      </c>
      <c r="I5029" s="1">
        <v>38909</v>
      </c>
      <c r="J5029" t="s">
        <v>15</v>
      </c>
      <c r="K5029">
        <v>4</v>
      </c>
      <c r="L5029">
        <v>100</v>
      </c>
      <c r="M5029" t="s">
        <v>16</v>
      </c>
      <c r="N5029">
        <v>1</v>
      </c>
    </row>
    <row r="5030" hidden="1" spans="1:14">
      <c r="A5030">
        <v>2948</v>
      </c>
      <c r="B5030" t="s">
        <v>1106</v>
      </c>
      <c r="C5030" t="s">
        <v>239</v>
      </c>
      <c r="D5030">
        <v>0</v>
      </c>
      <c r="E5030">
        <v>106.149</v>
      </c>
      <c r="F5030">
        <v>17.7642</v>
      </c>
      <c r="G5030">
        <v>124537.13</v>
      </c>
      <c r="H5030" s="1">
        <v>38941</v>
      </c>
      <c r="I5030" s="1">
        <v>38962</v>
      </c>
      <c r="J5030" t="s">
        <v>15</v>
      </c>
      <c r="K5030">
        <v>42</v>
      </c>
      <c r="L5030">
        <v>50000</v>
      </c>
      <c r="M5030" t="s">
        <v>16</v>
      </c>
      <c r="N5030">
        <v>1</v>
      </c>
    </row>
    <row r="5031" hidden="1" spans="1:14">
      <c r="A5031">
        <v>2964</v>
      </c>
      <c r="B5031">
        <v>0</v>
      </c>
      <c r="C5031" t="s">
        <v>239</v>
      </c>
      <c r="D5031">
        <v>0</v>
      </c>
      <c r="E5031">
        <v>108.108</v>
      </c>
      <c r="F5031">
        <v>11.8653</v>
      </c>
      <c r="G5031">
        <v>34788.84</v>
      </c>
      <c r="H5031" s="1">
        <v>38977</v>
      </c>
      <c r="I5031" s="1">
        <v>38981</v>
      </c>
      <c r="J5031" t="s">
        <v>15</v>
      </c>
      <c r="K5031">
        <v>4</v>
      </c>
      <c r="L5031">
        <v>16000</v>
      </c>
      <c r="M5031" t="s">
        <v>16</v>
      </c>
      <c r="N5031">
        <v>1</v>
      </c>
    </row>
    <row r="5032" hidden="1" spans="1:14">
      <c r="A5032">
        <v>3117</v>
      </c>
      <c r="B5032">
        <v>0</v>
      </c>
      <c r="C5032" t="s">
        <v>239</v>
      </c>
      <c r="D5032">
        <v>0</v>
      </c>
      <c r="E5032">
        <v>107.174</v>
      </c>
      <c r="F5032">
        <v>21.2401</v>
      </c>
      <c r="G5032">
        <v>4852.46</v>
      </c>
      <c r="H5032" s="1">
        <v>39263</v>
      </c>
      <c r="I5032" s="1">
        <v>39265</v>
      </c>
      <c r="J5032" t="s">
        <v>15</v>
      </c>
      <c r="K5032">
        <v>3</v>
      </c>
      <c r="L5032">
        <v>0</v>
      </c>
      <c r="M5032" t="s">
        <v>16</v>
      </c>
      <c r="N5032">
        <v>1</v>
      </c>
    </row>
    <row r="5033" hidden="1" spans="1:14">
      <c r="A5033">
        <v>3149</v>
      </c>
      <c r="B5033" t="s">
        <v>1107</v>
      </c>
      <c r="C5033" t="s">
        <v>239</v>
      </c>
      <c r="D5033">
        <v>0</v>
      </c>
      <c r="E5033">
        <v>108.198</v>
      </c>
      <c r="F5033">
        <v>12.3429</v>
      </c>
      <c r="G5033">
        <v>98228.2</v>
      </c>
      <c r="H5033" s="1">
        <v>39297</v>
      </c>
      <c r="I5033" s="1">
        <v>39311</v>
      </c>
      <c r="J5033" t="s">
        <v>15</v>
      </c>
      <c r="K5033">
        <v>74</v>
      </c>
      <c r="L5033">
        <v>10000</v>
      </c>
      <c r="M5033" t="s">
        <v>16</v>
      </c>
      <c r="N5033">
        <v>1.5</v>
      </c>
    </row>
    <row r="5034" hidden="1" spans="1:14">
      <c r="A5034">
        <v>3200</v>
      </c>
      <c r="B5034" t="s">
        <v>1108</v>
      </c>
      <c r="C5034" t="s">
        <v>239</v>
      </c>
      <c r="E5034">
        <v>106.903</v>
      </c>
      <c r="F5034">
        <v>17.0656</v>
      </c>
      <c r="G5034">
        <v>60980.7</v>
      </c>
      <c r="H5034" s="1">
        <v>39354</v>
      </c>
      <c r="I5034" s="1">
        <v>39367</v>
      </c>
      <c r="J5034" t="s">
        <v>15</v>
      </c>
      <c r="K5034">
        <v>96</v>
      </c>
      <c r="L5034">
        <v>30000</v>
      </c>
      <c r="M5034" t="s">
        <v>86</v>
      </c>
      <c r="N5034">
        <v>1.5</v>
      </c>
    </row>
    <row r="5035" hidden="1" spans="1:14">
      <c r="A5035">
        <v>3207</v>
      </c>
      <c r="B5035">
        <v>0</v>
      </c>
      <c r="C5035" t="s">
        <v>239</v>
      </c>
      <c r="D5035">
        <v>0</v>
      </c>
      <c r="E5035">
        <v>107.78</v>
      </c>
      <c r="F5035">
        <v>15.8682</v>
      </c>
      <c r="G5035">
        <v>24811.52</v>
      </c>
      <c r="H5035" s="1">
        <v>39369</v>
      </c>
      <c r="I5035" s="1">
        <v>39379</v>
      </c>
      <c r="J5035" t="s">
        <v>15</v>
      </c>
      <c r="K5035">
        <v>15</v>
      </c>
      <c r="L5035">
        <v>22000</v>
      </c>
      <c r="M5035" t="s">
        <v>16</v>
      </c>
      <c r="N5035">
        <v>1</v>
      </c>
    </row>
    <row r="5036" hidden="1" spans="1:14">
      <c r="A5036">
        <v>3210</v>
      </c>
      <c r="B5036">
        <v>0</v>
      </c>
      <c r="C5036" t="s">
        <v>239</v>
      </c>
      <c r="D5036">
        <v>0</v>
      </c>
      <c r="E5036">
        <v>105.514</v>
      </c>
      <c r="F5036">
        <v>11.0109</v>
      </c>
      <c r="G5036">
        <v>46469.24</v>
      </c>
      <c r="H5036" s="1">
        <v>39375</v>
      </c>
      <c r="I5036" s="1">
        <v>39402</v>
      </c>
      <c r="J5036" t="s">
        <v>15</v>
      </c>
      <c r="K5036">
        <v>3</v>
      </c>
      <c r="L5036">
        <v>280000</v>
      </c>
      <c r="M5036" t="s">
        <v>16</v>
      </c>
      <c r="N5036">
        <v>1</v>
      </c>
    </row>
    <row r="5037" hidden="1" spans="1:14">
      <c r="A5037">
        <v>3215</v>
      </c>
      <c r="B5037">
        <v>0</v>
      </c>
      <c r="C5037" t="s">
        <v>239</v>
      </c>
      <c r="D5037">
        <v>0</v>
      </c>
      <c r="E5037">
        <v>106.69</v>
      </c>
      <c r="F5037">
        <v>10.7668</v>
      </c>
      <c r="G5037">
        <v>349.494</v>
      </c>
      <c r="H5037" s="1">
        <v>39382</v>
      </c>
      <c r="I5037" s="1">
        <v>39386</v>
      </c>
      <c r="J5037" t="s">
        <v>15</v>
      </c>
      <c r="K5037">
        <v>0</v>
      </c>
      <c r="L5037">
        <v>0</v>
      </c>
      <c r="M5037" t="s">
        <v>25</v>
      </c>
      <c r="N5037">
        <v>1</v>
      </c>
    </row>
    <row r="5038" hidden="1" spans="1:14">
      <c r="A5038">
        <v>3219</v>
      </c>
      <c r="B5038" t="s">
        <v>1109</v>
      </c>
      <c r="C5038" t="s">
        <v>239</v>
      </c>
      <c r="D5038">
        <v>0</v>
      </c>
      <c r="E5038">
        <v>107.36</v>
      </c>
      <c r="F5038">
        <v>16.3208</v>
      </c>
      <c r="G5038">
        <v>35110.03</v>
      </c>
      <c r="H5038" s="1">
        <v>39383</v>
      </c>
      <c r="I5038" s="1">
        <v>39395</v>
      </c>
      <c r="J5038" t="s">
        <v>15</v>
      </c>
      <c r="K5038">
        <v>70</v>
      </c>
      <c r="L5038">
        <v>94000</v>
      </c>
      <c r="M5038" t="s">
        <v>16</v>
      </c>
      <c r="N5038">
        <v>1</v>
      </c>
    </row>
    <row r="5039" hidden="1" spans="1:14">
      <c r="A5039">
        <v>3224</v>
      </c>
      <c r="B5039">
        <v>0</v>
      </c>
      <c r="C5039" t="s">
        <v>239</v>
      </c>
      <c r="D5039">
        <v>0</v>
      </c>
      <c r="E5039">
        <v>108.44</v>
      </c>
      <c r="F5039">
        <v>15.3026</v>
      </c>
      <c r="G5039">
        <v>36817.56</v>
      </c>
      <c r="H5039" s="1">
        <v>39396</v>
      </c>
      <c r="I5039" s="1">
        <v>39407</v>
      </c>
      <c r="J5039" t="s">
        <v>15</v>
      </c>
      <c r="K5039">
        <v>55</v>
      </c>
      <c r="L5039">
        <v>150000</v>
      </c>
      <c r="M5039" t="s">
        <v>86</v>
      </c>
      <c r="N5039">
        <v>1</v>
      </c>
    </row>
    <row r="5040" hidden="1" spans="1:14">
      <c r="A5040">
        <v>3304</v>
      </c>
      <c r="B5040">
        <v>0</v>
      </c>
      <c r="C5040" t="s">
        <v>239</v>
      </c>
      <c r="D5040">
        <v>0</v>
      </c>
      <c r="E5040">
        <v>107.828</v>
      </c>
      <c r="F5040">
        <v>12.139</v>
      </c>
      <c r="G5040">
        <v>5301.17</v>
      </c>
      <c r="H5040" s="1">
        <v>39579</v>
      </c>
      <c r="I5040" s="1">
        <v>39580</v>
      </c>
      <c r="J5040" t="s">
        <v>15</v>
      </c>
      <c r="K5040">
        <v>4</v>
      </c>
      <c r="L5040">
        <v>500</v>
      </c>
      <c r="M5040" t="s">
        <v>16</v>
      </c>
      <c r="N5040">
        <v>1</v>
      </c>
    </row>
    <row r="5041" hidden="1" spans="1:14">
      <c r="A5041">
        <v>3385</v>
      </c>
      <c r="B5041" t="s">
        <v>1110</v>
      </c>
      <c r="C5041" t="s">
        <v>239</v>
      </c>
      <c r="E5041">
        <v>104.593</v>
      </c>
      <c r="F5041">
        <v>21.8994</v>
      </c>
      <c r="G5041">
        <v>58984.46</v>
      </c>
      <c r="H5041" s="1">
        <v>39716</v>
      </c>
      <c r="I5041" s="1">
        <v>39720</v>
      </c>
      <c r="J5041" t="s">
        <v>15</v>
      </c>
      <c r="K5041">
        <v>41</v>
      </c>
      <c r="L5041">
        <v>0</v>
      </c>
      <c r="M5041" t="s">
        <v>1111</v>
      </c>
      <c r="N5041">
        <v>2</v>
      </c>
    </row>
    <row r="5042" hidden="1" spans="1:14">
      <c r="A5042">
        <v>3396</v>
      </c>
      <c r="B5042" t="s">
        <v>1112</v>
      </c>
      <c r="C5042" t="s">
        <v>239</v>
      </c>
      <c r="D5042">
        <v>0</v>
      </c>
      <c r="E5042">
        <v>107.456</v>
      </c>
      <c r="F5042">
        <v>14.8977</v>
      </c>
      <c r="G5042">
        <v>39092.29</v>
      </c>
      <c r="H5042" s="1">
        <v>39740</v>
      </c>
      <c r="I5042" s="1">
        <v>39741</v>
      </c>
      <c r="J5042" t="s">
        <v>15</v>
      </c>
      <c r="K5042">
        <v>22</v>
      </c>
      <c r="L5042">
        <v>12000</v>
      </c>
      <c r="M5042" t="s">
        <v>49</v>
      </c>
      <c r="N5042">
        <v>1.5</v>
      </c>
    </row>
    <row r="5043" hidden="1" spans="1:14">
      <c r="A5043">
        <v>3408</v>
      </c>
      <c r="B5043" t="s">
        <v>1113</v>
      </c>
      <c r="C5043" t="s">
        <v>239</v>
      </c>
      <c r="D5043">
        <v>0</v>
      </c>
      <c r="E5043">
        <v>107.711</v>
      </c>
      <c r="F5043">
        <v>15.7039</v>
      </c>
      <c r="G5043">
        <v>36155.63</v>
      </c>
      <c r="H5043" s="1">
        <v>39769</v>
      </c>
      <c r="I5043" s="1">
        <v>39772</v>
      </c>
      <c r="J5043" t="s">
        <v>15</v>
      </c>
      <c r="K5043">
        <v>21</v>
      </c>
      <c r="L5043">
        <v>1200</v>
      </c>
      <c r="M5043" t="s">
        <v>1114</v>
      </c>
      <c r="N5043">
        <v>1</v>
      </c>
    </row>
    <row r="5044" hidden="1" spans="1:14">
      <c r="A5044">
        <v>3431</v>
      </c>
      <c r="B5044">
        <v>0</v>
      </c>
      <c r="C5044" t="s">
        <v>239</v>
      </c>
      <c r="D5044">
        <v>0</v>
      </c>
      <c r="E5044">
        <v>107.058</v>
      </c>
      <c r="F5044">
        <v>16.8877</v>
      </c>
      <c r="G5044">
        <v>29579.28</v>
      </c>
      <c r="H5044" s="1">
        <v>39811</v>
      </c>
      <c r="I5044" s="1">
        <v>39829</v>
      </c>
      <c r="J5044" t="s">
        <v>15</v>
      </c>
      <c r="K5044">
        <v>0</v>
      </c>
      <c r="L5044">
        <v>0</v>
      </c>
      <c r="M5044" t="s">
        <v>49</v>
      </c>
      <c r="N5044">
        <v>1.5</v>
      </c>
    </row>
    <row r="5045" hidden="1" spans="1:14">
      <c r="A5045">
        <v>3494</v>
      </c>
      <c r="B5045" t="s">
        <v>1115</v>
      </c>
      <c r="C5045" t="s">
        <v>239</v>
      </c>
      <c r="E5045">
        <v>104.302</v>
      </c>
      <c r="F5045">
        <v>20.674</v>
      </c>
      <c r="G5045">
        <v>69855.97</v>
      </c>
      <c r="H5045" s="1">
        <v>39943</v>
      </c>
      <c r="I5045" s="1">
        <v>39995</v>
      </c>
      <c r="J5045" t="s">
        <v>15</v>
      </c>
      <c r="K5045">
        <v>0</v>
      </c>
      <c r="L5045">
        <v>0</v>
      </c>
      <c r="M5045" t="s">
        <v>49</v>
      </c>
      <c r="N5045">
        <v>1</v>
      </c>
    </row>
    <row r="5046" hidden="1" spans="1:14">
      <c r="A5046">
        <v>3978</v>
      </c>
      <c r="B5046" t="s">
        <v>1116</v>
      </c>
      <c r="C5046" t="s">
        <v>239</v>
      </c>
      <c r="E5046">
        <v>105.458</v>
      </c>
      <c r="F5046">
        <v>19.0626</v>
      </c>
      <c r="G5046">
        <v>16825.58</v>
      </c>
      <c r="H5046" s="1">
        <v>41154</v>
      </c>
      <c r="I5046" s="1">
        <v>41159</v>
      </c>
      <c r="J5046" t="s">
        <v>15</v>
      </c>
      <c r="K5046">
        <v>6</v>
      </c>
      <c r="L5046">
        <v>5000</v>
      </c>
      <c r="M5046" t="s">
        <v>52</v>
      </c>
      <c r="N5046">
        <v>1</v>
      </c>
    </row>
    <row r="5047" hidden="1" spans="1:14">
      <c r="A5047">
        <v>4103</v>
      </c>
      <c r="C5047" t="s">
        <v>239</v>
      </c>
      <c r="E5047">
        <v>107.706</v>
      </c>
      <c r="F5047">
        <v>15.5821</v>
      </c>
      <c r="G5047">
        <v>48985.15</v>
      </c>
      <c r="H5047" s="1">
        <v>41592</v>
      </c>
      <c r="I5047" s="1">
        <v>41597</v>
      </c>
      <c r="J5047" t="s">
        <v>15</v>
      </c>
      <c r="K5047">
        <v>41</v>
      </c>
      <c r="L5047">
        <v>80000</v>
      </c>
      <c r="M5047" t="s">
        <v>49</v>
      </c>
      <c r="N5047">
        <v>1.5</v>
      </c>
    </row>
    <row r="5048" hidden="1" spans="1:14">
      <c r="A5048">
        <v>4268</v>
      </c>
      <c r="C5048" t="s">
        <v>239</v>
      </c>
      <c r="E5048">
        <v>103.525</v>
      </c>
      <c r="F5048">
        <v>21.3114</v>
      </c>
      <c r="G5048">
        <v>6346.62</v>
      </c>
      <c r="H5048" s="1">
        <v>42179</v>
      </c>
      <c r="I5048" s="1">
        <v>42184</v>
      </c>
      <c r="J5048" t="s">
        <v>15</v>
      </c>
      <c r="K5048">
        <v>7</v>
      </c>
      <c r="L5048">
        <v>100</v>
      </c>
      <c r="M5048" t="s">
        <v>1117</v>
      </c>
      <c r="N5048">
        <v>1.5</v>
      </c>
    </row>
    <row r="5049" hidden="1" spans="1:14">
      <c r="A5049">
        <v>4280</v>
      </c>
      <c r="B5049" t="s">
        <v>1118</v>
      </c>
      <c r="C5049" t="s">
        <v>239</v>
      </c>
      <c r="E5049">
        <v>106.865</v>
      </c>
      <c r="F5049">
        <v>20.8137</v>
      </c>
      <c r="G5049">
        <v>24336.74</v>
      </c>
      <c r="H5049" s="1">
        <v>42210</v>
      </c>
      <c r="I5049" s="1">
        <v>42221</v>
      </c>
      <c r="J5049" t="s">
        <v>15</v>
      </c>
      <c r="K5049">
        <v>20</v>
      </c>
      <c r="L5049">
        <v>3000</v>
      </c>
      <c r="M5049" t="s">
        <v>52</v>
      </c>
      <c r="N5049">
        <v>2</v>
      </c>
    </row>
    <row r="5050" hidden="1" spans="1:14">
      <c r="A5050">
        <v>4293</v>
      </c>
      <c r="C5050" t="s">
        <v>239</v>
      </c>
      <c r="D5050" t="s">
        <v>238</v>
      </c>
      <c r="E5050">
        <v>104.762</v>
      </c>
      <c r="F5050">
        <v>20.5669</v>
      </c>
      <c r="G5050">
        <v>192886.73</v>
      </c>
      <c r="H5050" s="1">
        <v>42254</v>
      </c>
      <c r="I5050" s="1">
        <v>42258</v>
      </c>
      <c r="J5050" t="s">
        <v>15</v>
      </c>
      <c r="K5050">
        <v>2</v>
      </c>
      <c r="L5050">
        <v>100</v>
      </c>
      <c r="M5050" t="s">
        <v>52</v>
      </c>
      <c r="N5050">
        <v>1</v>
      </c>
    </row>
    <row r="5051" hidden="1" spans="1:14">
      <c r="A5051">
        <v>4410</v>
      </c>
      <c r="C5051" t="s">
        <v>239</v>
      </c>
      <c r="E5051">
        <v>107.68</v>
      </c>
      <c r="F5051">
        <v>16.0038</v>
      </c>
      <c r="G5051">
        <v>63641.54</v>
      </c>
      <c r="H5051" s="1">
        <v>42652</v>
      </c>
      <c r="I5051" s="1">
        <v>42684</v>
      </c>
      <c r="J5051" t="s">
        <v>15</v>
      </c>
      <c r="K5051">
        <v>21</v>
      </c>
      <c r="L5051">
        <v>100000</v>
      </c>
      <c r="M5051" t="s">
        <v>54</v>
      </c>
      <c r="N5051">
        <v>2</v>
      </c>
    </row>
    <row r="5052" hidden="1" spans="1:14">
      <c r="A5052">
        <v>4422</v>
      </c>
      <c r="C5052" t="s">
        <v>239</v>
      </c>
      <c r="E5052">
        <v>108.572</v>
      </c>
      <c r="F5052">
        <v>12.7304</v>
      </c>
      <c r="G5052">
        <v>37984.59</v>
      </c>
      <c r="H5052" s="1">
        <v>42704</v>
      </c>
      <c r="I5052" s="1">
        <v>42711</v>
      </c>
      <c r="J5052" t="s">
        <v>15</v>
      </c>
      <c r="K5052">
        <v>14</v>
      </c>
      <c r="L5052">
        <v>500</v>
      </c>
      <c r="M5052" t="s">
        <v>49</v>
      </c>
      <c r="N5052">
        <v>1.5</v>
      </c>
    </row>
    <row r="5053" hidden="1" spans="1:14">
      <c r="A5053">
        <v>4429</v>
      </c>
      <c r="B5053" t="s">
        <v>1119</v>
      </c>
      <c r="C5053" t="s">
        <v>239</v>
      </c>
      <c r="E5053">
        <v>107.805</v>
      </c>
      <c r="F5053">
        <v>15.4331</v>
      </c>
      <c r="G5053">
        <v>44341.22</v>
      </c>
      <c r="H5053" s="1">
        <v>42717</v>
      </c>
      <c r="I5053" s="1">
        <v>42737</v>
      </c>
      <c r="J5053" t="s">
        <v>15</v>
      </c>
      <c r="K5053">
        <v>19</v>
      </c>
      <c r="L5053">
        <v>0</v>
      </c>
      <c r="M5053" t="s">
        <v>49</v>
      </c>
      <c r="N5053">
        <v>1.5</v>
      </c>
    </row>
    <row r="5054" hidden="1" spans="1:14">
      <c r="A5054">
        <v>4500</v>
      </c>
      <c r="B5054" t="s">
        <v>1120</v>
      </c>
      <c r="C5054" t="s">
        <v>239</v>
      </c>
      <c r="E5054">
        <v>105.158</v>
      </c>
      <c r="F5054">
        <v>21.6577</v>
      </c>
      <c r="G5054">
        <v>23949.6</v>
      </c>
      <c r="H5054" s="1">
        <v>42949</v>
      </c>
      <c r="I5054" s="1">
        <v>42957</v>
      </c>
      <c r="J5054" t="s">
        <v>15</v>
      </c>
      <c r="K5054">
        <v>12</v>
      </c>
      <c r="L5054">
        <v>3600</v>
      </c>
      <c r="M5054" t="s">
        <v>49</v>
      </c>
      <c r="N5054">
        <v>1</v>
      </c>
    </row>
    <row r="5055" hidden="1" spans="1:14">
      <c r="A5055">
        <v>4518</v>
      </c>
      <c r="B5055" t="s">
        <v>1121</v>
      </c>
      <c r="C5055" t="s">
        <v>239</v>
      </c>
      <c r="D5055" t="s">
        <v>813</v>
      </c>
      <c r="E5055">
        <v>108.139</v>
      </c>
      <c r="F5055">
        <v>15.5076</v>
      </c>
      <c r="G5055">
        <v>84598.57</v>
      </c>
      <c r="H5055" s="1">
        <v>42993</v>
      </c>
      <c r="I5055" s="1">
        <v>42997</v>
      </c>
      <c r="J5055" t="s">
        <v>15</v>
      </c>
      <c r="K5055">
        <v>4</v>
      </c>
      <c r="L5055">
        <v>116000</v>
      </c>
      <c r="M5055" t="s">
        <v>1122</v>
      </c>
      <c r="N5055">
        <v>2</v>
      </c>
    </row>
    <row r="5056" hidden="1" spans="1:14">
      <c r="A5056">
        <v>4533</v>
      </c>
      <c r="B5056" t="s">
        <v>1123</v>
      </c>
      <c r="C5056" t="s">
        <v>239</v>
      </c>
      <c r="E5056">
        <v>108.572</v>
      </c>
      <c r="F5056">
        <v>12.9288</v>
      </c>
      <c r="G5056">
        <v>52429.68</v>
      </c>
      <c r="H5056" s="1">
        <v>43043</v>
      </c>
      <c r="I5056" s="1">
        <v>43047</v>
      </c>
      <c r="J5056" t="s">
        <v>15</v>
      </c>
      <c r="K5056">
        <v>89</v>
      </c>
      <c r="L5056">
        <v>35000</v>
      </c>
      <c r="M5056" t="s">
        <v>1124</v>
      </c>
      <c r="N5056">
        <v>2</v>
      </c>
    </row>
    <row r="5057" hidden="1" spans="1:14">
      <c r="A5057">
        <v>4541</v>
      </c>
      <c r="C5057" t="s">
        <v>239</v>
      </c>
      <c r="E5057">
        <v>108.399</v>
      </c>
      <c r="F5057">
        <v>11.6644</v>
      </c>
      <c r="G5057">
        <v>27646.32</v>
      </c>
      <c r="H5057" s="1">
        <v>43058</v>
      </c>
      <c r="I5057" s="1">
        <v>43063</v>
      </c>
      <c r="J5057" t="s">
        <v>15</v>
      </c>
      <c r="K5057">
        <v>4</v>
      </c>
      <c r="L5057">
        <v>35000</v>
      </c>
      <c r="M5057" t="s">
        <v>1125</v>
      </c>
      <c r="N5057">
        <v>1</v>
      </c>
    </row>
    <row r="5058" hidden="1" spans="1:14">
      <c r="A5058">
        <v>4653</v>
      </c>
      <c r="C5058" t="s">
        <v>239</v>
      </c>
      <c r="E5058">
        <v>105.925</v>
      </c>
      <c r="F5058">
        <v>21.1736</v>
      </c>
      <c r="G5058">
        <v>42661.65</v>
      </c>
      <c r="H5058" s="1">
        <v>43298</v>
      </c>
      <c r="I5058" s="1">
        <v>43304</v>
      </c>
      <c r="J5058" t="s">
        <v>56</v>
      </c>
      <c r="K5058">
        <v>5</v>
      </c>
      <c r="L5058">
        <v>1400</v>
      </c>
      <c r="M5058" t="s">
        <v>1105</v>
      </c>
      <c r="N5058">
        <v>1.5</v>
      </c>
    </row>
    <row r="5059" hidden="1" spans="1:14">
      <c r="A5059">
        <v>4704</v>
      </c>
      <c r="C5059" t="s">
        <v>239</v>
      </c>
      <c r="E5059">
        <v>107.137</v>
      </c>
      <c r="F5059">
        <v>11.491</v>
      </c>
      <c r="G5059">
        <v>121111.99</v>
      </c>
      <c r="H5059" s="1">
        <v>43428</v>
      </c>
      <c r="I5059" s="1">
        <v>43433</v>
      </c>
      <c r="J5059" t="s">
        <v>56</v>
      </c>
      <c r="K5059">
        <v>1</v>
      </c>
      <c r="L5059">
        <v>100000</v>
      </c>
      <c r="M5059" t="s">
        <v>1126</v>
      </c>
      <c r="N5059">
        <v>1</v>
      </c>
    </row>
    <row r="5060" hidden="1" spans="1:14">
      <c r="A5060">
        <v>4709</v>
      </c>
      <c r="C5060" t="s">
        <v>239</v>
      </c>
      <c r="E5060">
        <v>106.568</v>
      </c>
      <c r="F5060">
        <v>17.3678</v>
      </c>
      <c r="G5060">
        <v>13984.75</v>
      </c>
      <c r="H5060" s="1">
        <v>43440</v>
      </c>
      <c r="I5060" s="1">
        <v>43446</v>
      </c>
      <c r="J5060" t="s">
        <v>56</v>
      </c>
      <c r="K5060">
        <v>2</v>
      </c>
      <c r="L5060">
        <v>400</v>
      </c>
      <c r="M5060" t="s">
        <v>49</v>
      </c>
      <c r="N5060">
        <v>1.5</v>
      </c>
    </row>
    <row r="5061" hidden="1" spans="1:14">
      <c r="A5061">
        <v>4888</v>
      </c>
      <c r="C5061" t="s">
        <v>239</v>
      </c>
      <c r="E5061">
        <v>105.183</v>
      </c>
      <c r="F5061">
        <v>20.691</v>
      </c>
      <c r="G5061">
        <v>50183.18</v>
      </c>
      <c r="H5061" s="1">
        <v>43892</v>
      </c>
      <c r="I5061" s="1">
        <v>43900</v>
      </c>
      <c r="J5061" t="s">
        <v>56</v>
      </c>
      <c r="K5061">
        <v>2</v>
      </c>
      <c r="L5061">
        <v>1000</v>
      </c>
      <c r="M5061" t="s">
        <v>49</v>
      </c>
      <c r="N5061">
        <v>1</v>
      </c>
    </row>
    <row r="5062" hidden="1" spans="1:14">
      <c r="A5062">
        <v>4905</v>
      </c>
      <c r="C5062" t="s">
        <v>239</v>
      </c>
      <c r="E5062">
        <v>106.172</v>
      </c>
      <c r="F5062">
        <v>17.8886</v>
      </c>
      <c r="G5062">
        <v>15289.41</v>
      </c>
      <c r="H5062" s="1">
        <v>43943</v>
      </c>
      <c r="I5062" s="1">
        <v>43947</v>
      </c>
      <c r="J5062" t="s">
        <v>56</v>
      </c>
      <c r="K5062">
        <v>3</v>
      </c>
      <c r="L5062">
        <v>0</v>
      </c>
      <c r="M5062" t="s">
        <v>52</v>
      </c>
      <c r="N5062">
        <v>1</v>
      </c>
    </row>
    <row r="5063" hidden="1" spans="1:14">
      <c r="A5063">
        <v>4966</v>
      </c>
      <c r="C5063" t="s">
        <v>239</v>
      </c>
      <c r="E5063">
        <v>107.833</v>
      </c>
      <c r="F5063">
        <v>15.8548</v>
      </c>
      <c r="G5063">
        <v>52752.51</v>
      </c>
      <c r="H5063" s="1">
        <v>44110</v>
      </c>
      <c r="I5063" s="1">
        <v>44129</v>
      </c>
      <c r="J5063" t="s">
        <v>56</v>
      </c>
      <c r="K5063">
        <v>75</v>
      </c>
      <c r="L5063">
        <v>900000</v>
      </c>
      <c r="M5063" t="s">
        <v>49</v>
      </c>
      <c r="N5063">
        <v>2</v>
      </c>
    </row>
    <row r="5064" hidden="1" spans="1:14">
      <c r="A5064">
        <v>1604</v>
      </c>
      <c r="B5064">
        <v>0</v>
      </c>
      <c r="C5064" t="s">
        <v>1127</v>
      </c>
      <c r="D5064">
        <v>0</v>
      </c>
      <c r="E5064">
        <v>108.358</v>
      </c>
      <c r="F5064">
        <v>12.1244</v>
      </c>
      <c r="G5064">
        <v>3865.72</v>
      </c>
      <c r="H5064" s="1">
        <v>36677</v>
      </c>
      <c r="I5064" s="1">
        <v>36679</v>
      </c>
      <c r="J5064" t="s">
        <v>15</v>
      </c>
      <c r="K5064">
        <v>0</v>
      </c>
      <c r="L5064">
        <v>0</v>
      </c>
      <c r="M5064" t="s">
        <v>18</v>
      </c>
      <c r="N5064">
        <v>1</v>
      </c>
    </row>
    <row r="5065" hidden="1" spans="1:14">
      <c r="A5065">
        <v>1645</v>
      </c>
      <c r="B5065">
        <v>0</v>
      </c>
      <c r="C5065" t="s">
        <v>1127</v>
      </c>
      <c r="D5065">
        <v>0</v>
      </c>
      <c r="E5065">
        <v>107.684</v>
      </c>
      <c r="F5065">
        <v>12.2919</v>
      </c>
      <c r="G5065">
        <v>71922.63</v>
      </c>
      <c r="H5065" s="1">
        <v>36809</v>
      </c>
      <c r="I5065" s="1">
        <v>36818</v>
      </c>
      <c r="J5065" t="s">
        <v>15</v>
      </c>
      <c r="K5065">
        <v>23</v>
      </c>
      <c r="L5065">
        <v>200000</v>
      </c>
      <c r="M5065" t="s">
        <v>23</v>
      </c>
      <c r="N5065">
        <v>1</v>
      </c>
    </row>
    <row r="5066" hidden="1" spans="1:14">
      <c r="A5066">
        <v>1668</v>
      </c>
      <c r="B5066">
        <v>0</v>
      </c>
      <c r="C5066" t="s">
        <v>1127</v>
      </c>
      <c r="D5066">
        <v>0</v>
      </c>
      <c r="E5066">
        <v>108.567</v>
      </c>
      <c r="F5066">
        <v>14.7895</v>
      </c>
      <c r="G5066">
        <v>49136.38</v>
      </c>
      <c r="H5066" s="1">
        <v>36848</v>
      </c>
      <c r="I5066" s="1">
        <v>36856</v>
      </c>
      <c r="J5066" t="s">
        <v>15</v>
      </c>
      <c r="K5066">
        <v>36</v>
      </c>
      <c r="L5066">
        <v>25000</v>
      </c>
      <c r="M5066">
        <v>0</v>
      </c>
      <c r="N5066">
        <v>1</v>
      </c>
    </row>
    <row r="5067" hidden="1" spans="1:14">
      <c r="A5067">
        <v>1726</v>
      </c>
      <c r="B5067">
        <v>0</v>
      </c>
      <c r="C5067" t="s">
        <v>1127</v>
      </c>
      <c r="D5067">
        <v>0</v>
      </c>
      <c r="E5067">
        <v>107.55</v>
      </c>
      <c r="F5067">
        <v>16.3066</v>
      </c>
      <c r="G5067">
        <v>5615.49</v>
      </c>
      <c r="H5067" s="1">
        <v>37026</v>
      </c>
      <c r="I5067" s="1">
        <v>37028</v>
      </c>
      <c r="J5067" t="s">
        <v>15</v>
      </c>
      <c r="K5067">
        <v>2</v>
      </c>
      <c r="L5067">
        <v>0</v>
      </c>
      <c r="M5067" t="s">
        <v>16</v>
      </c>
      <c r="N5067">
        <v>1</v>
      </c>
    </row>
    <row r="5068" hidden="1" spans="1:14">
      <c r="A5068">
        <v>1783</v>
      </c>
      <c r="B5068">
        <v>0</v>
      </c>
      <c r="C5068" t="s">
        <v>1127</v>
      </c>
      <c r="D5068">
        <v>0</v>
      </c>
      <c r="E5068">
        <v>108.296</v>
      </c>
      <c r="F5068">
        <v>12.0911</v>
      </c>
      <c r="G5068">
        <v>23437.85</v>
      </c>
      <c r="H5068" s="1">
        <v>37123</v>
      </c>
      <c r="I5068" s="1">
        <v>37125</v>
      </c>
      <c r="J5068" t="s">
        <v>15</v>
      </c>
      <c r="K5068">
        <v>11</v>
      </c>
      <c r="L5068">
        <v>640</v>
      </c>
      <c r="M5068" t="s">
        <v>16</v>
      </c>
      <c r="N5068">
        <v>1</v>
      </c>
    </row>
    <row r="5069" hidden="1" spans="1:14">
      <c r="A5069">
        <v>1815</v>
      </c>
      <c r="B5069">
        <v>0</v>
      </c>
      <c r="C5069" t="s">
        <v>1127</v>
      </c>
      <c r="D5069">
        <v>0</v>
      </c>
      <c r="E5069">
        <v>108.217</v>
      </c>
      <c r="F5069">
        <v>14.4472</v>
      </c>
      <c r="G5069">
        <v>72024.14</v>
      </c>
      <c r="H5069" s="1">
        <v>37184</v>
      </c>
      <c r="I5069" s="1">
        <v>37188</v>
      </c>
      <c r="J5069" t="s">
        <v>15</v>
      </c>
      <c r="K5069">
        <v>39</v>
      </c>
      <c r="L5069">
        <v>0</v>
      </c>
      <c r="M5069" t="s">
        <v>18</v>
      </c>
      <c r="N5069">
        <v>1</v>
      </c>
    </row>
    <row r="5070" hidden="1" spans="1:14">
      <c r="A5070">
        <v>30</v>
      </c>
      <c r="B5070">
        <v>0</v>
      </c>
      <c r="C5070" t="s">
        <v>1128</v>
      </c>
      <c r="D5070">
        <v>0</v>
      </c>
      <c r="E5070">
        <v>6.50952</v>
      </c>
      <c r="F5070">
        <v>50.7134</v>
      </c>
      <c r="G5070">
        <v>1927.64</v>
      </c>
      <c r="H5070" s="1">
        <v>31234</v>
      </c>
      <c r="I5070" s="1">
        <v>31235</v>
      </c>
      <c r="J5070" t="s">
        <v>15</v>
      </c>
      <c r="K5070">
        <v>3</v>
      </c>
      <c r="L5070">
        <v>0</v>
      </c>
      <c r="M5070" t="s">
        <v>16</v>
      </c>
      <c r="N5070">
        <v>1</v>
      </c>
    </row>
    <row r="5071" hidden="1" spans="1:14">
      <c r="A5071">
        <v>172</v>
      </c>
      <c r="B5071">
        <v>0</v>
      </c>
      <c r="C5071" t="s">
        <v>1128</v>
      </c>
      <c r="D5071">
        <v>0</v>
      </c>
      <c r="E5071">
        <v>10.0852</v>
      </c>
      <c r="F5071">
        <v>49.8867</v>
      </c>
      <c r="G5071">
        <v>105533.51</v>
      </c>
      <c r="H5071" s="1">
        <v>32228</v>
      </c>
      <c r="I5071" s="1">
        <v>32232</v>
      </c>
      <c r="J5071" t="s">
        <v>15</v>
      </c>
      <c r="K5071">
        <v>6</v>
      </c>
      <c r="L5071">
        <v>3500</v>
      </c>
      <c r="M5071" t="s">
        <v>16</v>
      </c>
      <c r="N5071">
        <v>2</v>
      </c>
    </row>
    <row r="5072" hidden="1" spans="1:14">
      <c r="A5072">
        <v>394</v>
      </c>
      <c r="B5072">
        <v>0</v>
      </c>
      <c r="C5072" t="s">
        <v>1128</v>
      </c>
      <c r="D5072">
        <v>0</v>
      </c>
      <c r="E5072">
        <v>8.96919</v>
      </c>
      <c r="F5072">
        <v>48.6199</v>
      </c>
      <c r="G5072">
        <v>35634.96</v>
      </c>
      <c r="H5072" s="1">
        <v>32918</v>
      </c>
      <c r="I5072" s="1">
        <v>32920</v>
      </c>
      <c r="J5072" t="s">
        <v>15</v>
      </c>
      <c r="K5072">
        <v>3</v>
      </c>
      <c r="L5072">
        <v>50</v>
      </c>
      <c r="M5072" t="s">
        <v>16</v>
      </c>
      <c r="N5072">
        <v>1</v>
      </c>
    </row>
    <row r="5073" hidden="1" spans="1:14">
      <c r="A5073">
        <v>2774</v>
      </c>
      <c r="B5073">
        <v>0</v>
      </c>
      <c r="C5073" t="s">
        <v>1129</v>
      </c>
      <c r="D5073">
        <v>0</v>
      </c>
      <c r="E5073">
        <v>-10.8789</v>
      </c>
      <c r="F5073">
        <v>27.1188</v>
      </c>
      <c r="G5073">
        <v>114098.67</v>
      </c>
      <c r="H5073" s="1">
        <v>38708</v>
      </c>
      <c r="I5073" s="1">
        <v>38712</v>
      </c>
      <c r="J5073" t="s">
        <v>15</v>
      </c>
      <c r="K5073">
        <v>0</v>
      </c>
      <c r="L5073">
        <v>3000</v>
      </c>
      <c r="M5073" t="s">
        <v>16</v>
      </c>
      <c r="N5073">
        <v>2</v>
      </c>
    </row>
    <row r="5074" hidden="1" spans="1:14">
      <c r="A5074">
        <v>293</v>
      </c>
      <c r="B5074">
        <v>0</v>
      </c>
      <c r="C5074" t="s">
        <v>929</v>
      </c>
      <c r="D5074">
        <v>0</v>
      </c>
      <c r="E5074">
        <v>49.9988</v>
      </c>
      <c r="F5074">
        <v>15.9819</v>
      </c>
      <c r="G5074">
        <v>58565.18</v>
      </c>
      <c r="H5074" s="1">
        <v>32586</v>
      </c>
      <c r="I5074" s="1">
        <v>32629</v>
      </c>
      <c r="J5074" t="s">
        <v>15</v>
      </c>
      <c r="K5074">
        <v>53</v>
      </c>
      <c r="L5074">
        <v>80000</v>
      </c>
      <c r="M5074" t="s">
        <v>1130</v>
      </c>
      <c r="N5074">
        <v>1</v>
      </c>
    </row>
    <row r="5075" hidden="1" spans="1:14">
      <c r="A5075">
        <v>614</v>
      </c>
      <c r="B5075">
        <v>0</v>
      </c>
      <c r="C5075" t="s">
        <v>929</v>
      </c>
      <c r="D5075">
        <v>0</v>
      </c>
      <c r="E5075">
        <v>53.9083</v>
      </c>
      <c r="F5075">
        <v>12.5093</v>
      </c>
      <c r="G5075">
        <v>3770.84</v>
      </c>
      <c r="H5075" s="1">
        <v>33607</v>
      </c>
      <c r="I5075" s="1">
        <v>33609</v>
      </c>
      <c r="J5075" t="s">
        <v>15</v>
      </c>
      <c r="K5075">
        <v>0</v>
      </c>
      <c r="L5075">
        <v>24200</v>
      </c>
      <c r="M5075" t="s">
        <v>16</v>
      </c>
      <c r="N5075">
        <v>1</v>
      </c>
    </row>
    <row r="5076" hidden="1" spans="1:14">
      <c r="A5076">
        <v>1072</v>
      </c>
      <c r="B5076">
        <v>0</v>
      </c>
      <c r="C5076" t="s">
        <v>929</v>
      </c>
      <c r="D5076">
        <v>0</v>
      </c>
      <c r="E5076">
        <v>44.0349</v>
      </c>
      <c r="F5076">
        <v>13.6097</v>
      </c>
      <c r="G5076">
        <v>19293.18</v>
      </c>
      <c r="H5076" s="1">
        <v>35199</v>
      </c>
      <c r="I5076" s="1">
        <v>35203</v>
      </c>
      <c r="J5076" t="s">
        <v>15</v>
      </c>
      <c r="K5076">
        <v>7</v>
      </c>
      <c r="L5076">
        <v>5000</v>
      </c>
      <c r="M5076" t="s">
        <v>16</v>
      </c>
      <c r="N5076">
        <v>1</v>
      </c>
    </row>
    <row r="5077" hidden="1" spans="1:14">
      <c r="A5077">
        <v>1073</v>
      </c>
      <c r="C5077" t="s">
        <v>929</v>
      </c>
      <c r="E5077">
        <v>47.415</v>
      </c>
      <c r="F5077">
        <v>15.4695</v>
      </c>
      <c r="G5077">
        <v>190981.11</v>
      </c>
      <c r="H5077" s="1">
        <v>35199</v>
      </c>
      <c r="I5077" s="1">
        <v>35203</v>
      </c>
      <c r="J5077" t="s">
        <v>15</v>
      </c>
      <c r="K5077">
        <v>0</v>
      </c>
      <c r="L5077">
        <v>0</v>
      </c>
      <c r="N5077">
        <v>1</v>
      </c>
    </row>
    <row r="5078" hidden="1" spans="1:14">
      <c r="A5078">
        <v>1321</v>
      </c>
      <c r="B5078">
        <v>0</v>
      </c>
      <c r="C5078" t="s">
        <v>929</v>
      </c>
      <c r="D5078">
        <v>0</v>
      </c>
      <c r="E5078">
        <v>43.6641</v>
      </c>
      <c r="F5078">
        <v>14.5118</v>
      </c>
      <c r="G5078">
        <v>28619.3</v>
      </c>
      <c r="H5078" s="1">
        <v>35868</v>
      </c>
      <c r="I5078" s="1">
        <v>35870</v>
      </c>
      <c r="J5078" t="s">
        <v>15</v>
      </c>
      <c r="K5078">
        <v>0</v>
      </c>
      <c r="L5078">
        <v>1600</v>
      </c>
      <c r="M5078" t="s">
        <v>16</v>
      </c>
      <c r="N5078">
        <v>1</v>
      </c>
    </row>
    <row r="5079" hidden="1" spans="1:14">
      <c r="A5079">
        <v>1429</v>
      </c>
      <c r="B5079">
        <v>0</v>
      </c>
      <c r="C5079" t="s">
        <v>929</v>
      </c>
      <c r="D5079">
        <v>0</v>
      </c>
      <c r="E5079">
        <v>44.4596</v>
      </c>
      <c r="F5079">
        <v>14.8371</v>
      </c>
      <c r="G5079">
        <v>128410.56</v>
      </c>
      <c r="H5079" s="1">
        <v>36021</v>
      </c>
      <c r="I5079" s="1">
        <v>36037</v>
      </c>
      <c r="J5079" t="s">
        <v>15</v>
      </c>
      <c r="K5079">
        <v>70</v>
      </c>
      <c r="L5079">
        <v>240</v>
      </c>
      <c r="M5079" t="s">
        <v>18</v>
      </c>
      <c r="N5079">
        <v>1</v>
      </c>
    </row>
    <row r="5080" hidden="1" spans="1:14">
      <c r="A5080">
        <v>1978</v>
      </c>
      <c r="B5080">
        <v>0</v>
      </c>
      <c r="C5080" t="s">
        <v>929</v>
      </c>
      <c r="D5080">
        <v>0</v>
      </c>
      <c r="E5080">
        <v>43.7053</v>
      </c>
      <c r="F5080">
        <v>15.1817</v>
      </c>
      <c r="G5080">
        <v>3902.44</v>
      </c>
      <c r="H5080" s="1">
        <v>37443</v>
      </c>
      <c r="I5080" s="1">
        <v>37445</v>
      </c>
      <c r="J5080" t="s">
        <v>15</v>
      </c>
      <c r="K5080">
        <v>10</v>
      </c>
      <c r="L5080">
        <v>0</v>
      </c>
      <c r="M5080" t="s">
        <v>16</v>
      </c>
      <c r="N5080">
        <v>1</v>
      </c>
    </row>
    <row r="5081" hidden="1" spans="1:14">
      <c r="A5081">
        <v>2004</v>
      </c>
      <c r="B5081">
        <v>0</v>
      </c>
      <c r="C5081" t="s">
        <v>929</v>
      </c>
      <c r="D5081">
        <v>0</v>
      </c>
      <c r="E5081">
        <v>44.008</v>
      </c>
      <c r="F5081">
        <v>15.2291</v>
      </c>
      <c r="G5081">
        <v>5161.32</v>
      </c>
      <c r="H5081" s="1">
        <v>37461</v>
      </c>
      <c r="I5081" s="1">
        <v>37463</v>
      </c>
      <c r="J5081" t="s">
        <v>15</v>
      </c>
      <c r="K5081">
        <v>13</v>
      </c>
      <c r="L5081">
        <v>0</v>
      </c>
      <c r="M5081" t="s">
        <v>16</v>
      </c>
      <c r="N5081">
        <v>1</v>
      </c>
    </row>
    <row r="5082" hidden="1" spans="1:14">
      <c r="A5082">
        <v>2051</v>
      </c>
      <c r="B5082">
        <v>0</v>
      </c>
      <c r="C5082" t="s">
        <v>929</v>
      </c>
      <c r="D5082">
        <v>0</v>
      </c>
      <c r="E5082">
        <v>50.0785</v>
      </c>
      <c r="F5082">
        <v>15.1966</v>
      </c>
      <c r="G5082">
        <v>19471.32</v>
      </c>
      <c r="H5082" s="1">
        <v>37490</v>
      </c>
      <c r="I5082" s="1">
        <v>37505</v>
      </c>
      <c r="J5082" t="s">
        <v>15</v>
      </c>
      <c r="K5082">
        <v>28</v>
      </c>
      <c r="L5082">
        <v>0</v>
      </c>
      <c r="M5082" t="s">
        <v>16</v>
      </c>
      <c r="N5082">
        <v>1</v>
      </c>
    </row>
    <row r="5083" hidden="1" spans="1:14">
      <c r="A5083">
        <v>2420</v>
      </c>
      <c r="B5083">
        <v>0</v>
      </c>
      <c r="C5083" t="s">
        <v>929</v>
      </c>
      <c r="D5083">
        <v>0</v>
      </c>
      <c r="E5083">
        <v>45.3309</v>
      </c>
      <c r="F5083">
        <v>14.3526</v>
      </c>
      <c r="G5083">
        <v>10630.55</v>
      </c>
      <c r="H5083" s="1">
        <v>37998</v>
      </c>
      <c r="I5083" s="1">
        <v>38007</v>
      </c>
      <c r="J5083" t="s">
        <v>15</v>
      </c>
      <c r="K5083">
        <v>5</v>
      </c>
      <c r="L5083">
        <v>0</v>
      </c>
      <c r="M5083" t="s">
        <v>16</v>
      </c>
      <c r="N5083">
        <v>1</v>
      </c>
    </row>
    <row r="5084" hidden="1" spans="1:14">
      <c r="A5084">
        <v>2466</v>
      </c>
      <c r="B5084">
        <v>0</v>
      </c>
      <c r="C5084" t="s">
        <v>929</v>
      </c>
      <c r="D5084">
        <v>0</v>
      </c>
      <c r="E5084">
        <v>44.5352</v>
      </c>
      <c r="F5084">
        <v>14.0626</v>
      </c>
      <c r="G5084">
        <v>9904.24</v>
      </c>
      <c r="H5084" s="1">
        <v>38085</v>
      </c>
      <c r="I5084" s="1">
        <v>38086</v>
      </c>
      <c r="J5084" t="s">
        <v>15</v>
      </c>
      <c r="K5084">
        <v>4</v>
      </c>
      <c r="L5084">
        <v>0</v>
      </c>
      <c r="M5084" t="s">
        <v>16</v>
      </c>
      <c r="N5084">
        <v>1</v>
      </c>
    </row>
    <row r="5085" hidden="1" spans="1:14">
      <c r="A5085">
        <v>2804</v>
      </c>
      <c r="B5085" t="s">
        <v>1131</v>
      </c>
      <c r="C5085" t="s">
        <v>929</v>
      </c>
      <c r="D5085">
        <v>0</v>
      </c>
      <c r="E5085">
        <v>44.1777</v>
      </c>
      <c r="F5085">
        <v>14.5368</v>
      </c>
      <c r="G5085">
        <v>10706.76</v>
      </c>
      <c r="H5085" s="1">
        <v>38768</v>
      </c>
      <c r="I5085" s="1">
        <v>38771</v>
      </c>
      <c r="J5085" t="s">
        <v>15</v>
      </c>
      <c r="K5085">
        <v>5</v>
      </c>
      <c r="L5085">
        <v>2000</v>
      </c>
      <c r="M5085" t="s">
        <v>16</v>
      </c>
      <c r="N5085">
        <v>1</v>
      </c>
    </row>
    <row r="5086" hidden="1" spans="1:14">
      <c r="A5086">
        <v>2833</v>
      </c>
      <c r="B5086" t="s">
        <v>1132</v>
      </c>
      <c r="C5086" t="s">
        <v>929</v>
      </c>
      <c r="D5086">
        <v>0</v>
      </c>
      <c r="E5086">
        <v>43.8761</v>
      </c>
      <c r="F5086">
        <v>15.0975</v>
      </c>
      <c r="G5086">
        <v>91481.44</v>
      </c>
      <c r="H5086" s="1">
        <v>38810</v>
      </c>
      <c r="I5086" s="1">
        <v>38813</v>
      </c>
      <c r="J5086" t="s">
        <v>15</v>
      </c>
      <c r="K5086">
        <v>25</v>
      </c>
      <c r="L5086">
        <v>0</v>
      </c>
      <c r="M5086" t="s">
        <v>16</v>
      </c>
      <c r="N5086">
        <v>1</v>
      </c>
    </row>
    <row r="5087" hidden="1" spans="1:14">
      <c r="A5087">
        <v>3009</v>
      </c>
      <c r="B5087">
        <v>0</v>
      </c>
      <c r="C5087" t="s">
        <v>929</v>
      </c>
      <c r="D5087">
        <v>0</v>
      </c>
      <c r="E5087">
        <v>43.8761</v>
      </c>
      <c r="F5087">
        <v>15.0975</v>
      </c>
      <c r="G5087">
        <v>25391.02</v>
      </c>
      <c r="H5087" s="1">
        <v>39083</v>
      </c>
      <c r="I5087" s="1">
        <v>39086</v>
      </c>
      <c r="J5087" t="s">
        <v>15</v>
      </c>
      <c r="K5087">
        <v>7</v>
      </c>
      <c r="L5087">
        <v>2000</v>
      </c>
      <c r="M5087" t="s">
        <v>16</v>
      </c>
      <c r="N5087">
        <v>1</v>
      </c>
    </row>
    <row r="5088" hidden="1" spans="1:14">
      <c r="A5088">
        <v>3043</v>
      </c>
      <c r="B5088">
        <v>0</v>
      </c>
      <c r="C5088" t="s">
        <v>929</v>
      </c>
      <c r="D5088">
        <v>0</v>
      </c>
      <c r="E5088">
        <v>49.1341</v>
      </c>
      <c r="F5088">
        <v>16.5723</v>
      </c>
      <c r="G5088">
        <v>59874.59</v>
      </c>
      <c r="H5088" s="1">
        <v>39164</v>
      </c>
      <c r="I5088" s="1">
        <v>39171</v>
      </c>
      <c r="J5088" t="s">
        <v>15</v>
      </c>
      <c r="K5088">
        <v>36</v>
      </c>
      <c r="L5088">
        <v>600</v>
      </c>
      <c r="M5088" t="s">
        <v>16</v>
      </c>
      <c r="N5088">
        <v>1</v>
      </c>
    </row>
    <row r="5089" hidden="1" spans="1:14">
      <c r="A5089">
        <v>3175</v>
      </c>
      <c r="B5089">
        <v>0</v>
      </c>
      <c r="C5089" t="s">
        <v>929</v>
      </c>
      <c r="D5089">
        <v>0</v>
      </c>
      <c r="E5089">
        <v>45.7277</v>
      </c>
      <c r="F5089">
        <v>15.0794</v>
      </c>
      <c r="G5089">
        <v>165109.47</v>
      </c>
      <c r="H5089" s="1">
        <v>39295</v>
      </c>
      <c r="I5089" s="1">
        <v>39321</v>
      </c>
      <c r="J5089" t="s">
        <v>15</v>
      </c>
      <c r="K5089">
        <v>50</v>
      </c>
      <c r="L5089">
        <v>0</v>
      </c>
      <c r="M5089" t="s">
        <v>16</v>
      </c>
      <c r="N5089">
        <v>1</v>
      </c>
    </row>
    <row r="5090" hidden="1" spans="1:14">
      <c r="A5090">
        <v>3398</v>
      </c>
      <c r="B5090">
        <v>0</v>
      </c>
      <c r="C5090" t="s">
        <v>929</v>
      </c>
      <c r="D5090">
        <v>0</v>
      </c>
      <c r="E5090">
        <v>49.7849</v>
      </c>
      <c r="F5090">
        <v>15.5457</v>
      </c>
      <c r="G5090">
        <v>133203.96</v>
      </c>
      <c r="H5090" s="1">
        <v>39744</v>
      </c>
      <c r="I5090" s="1">
        <v>39745</v>
      </c>
      <c r="J5090" t="s">
        <v>15</v>
      </c>
      <c r="K5090">
        <v>69</v>
      </c>
      <c r="L5090">
        <v>6800</v>
      </c>
      <c r="M5090" t="s">
        <v>52</v>
      </c>
      <c r="N5090">
        <v>2</v>
      </c>
    </row>
    <row r="5091" hidden="1" spans="1:14">
      <c r="A5091">
        <v>3642</v>
      </c>
      <c r="B5091">
        <v>0</v>
      </c>
      <c r="C5091" t="s">
        <v>929</v>
      </c>
      <c r="D5091">
        <v>0</v>
      </c>
      <c r="E5091">
        <v>44.3104</v>
      </c>
      <c r="F5091">
        <v>14.0344</v>
      </c>
      <c r="G5091">
        <v>38889.73</v>
      </c>
      <c r="H5091" s="1">
        <v>40303</v>
      </c>
      <c r="I5091" s="1">
        <v>40304</v>
      </c>
      <c r="J5091">
        <v>0</v>
      </c>
      <c r="K5091">
        <v>7</v>
      </c>
      <c r="L5091">
        <v>0</v>
      </c>
      <c r="M5091" t="s">
        <v>52</v>
      </c>
      <c r="N5091">
        <v>1</v>
      </c>
    </row>
    <row r="5092" hidden="1" spans="1:14">
      <c r="A5092">
        <v>3685</v>
      </c>
      <c r="B5092">
        <v>0</v>
      </c>
      <c r="C5092" t="s">
        <v>929</v>
      </c>
      <c r="D5092">
        <v>0</v>
      </c>
      <c r="E5092">
        <v>47.918</v>
      </c>
      <c r="F5092">
        <v>16.7388</v>
      </c>
      <c r="G5092">
        <v>176263.75</v>
      </c>
      <c r="H5092" s="1">
        <v>40369</v>
      </c>
      <c r="I5092" s="1">
        <v>40374</v>
      </c>
      <c r="J5092">
        <v>0</v>
      </c>
      <c r="K5092">
        <v>15</v>
      </c>
      <c r="L5092">
        <v>0</v>
      </c>
      <c r="M5092" t="s">
        <v>52</v>
      </c>
      <c r="N5092">
        <v>1.5</v>
      </c>
    </row>
    <row r="5093" hidden="1" spans="1:14">
      <c r="A5093">
        <v>4694</v>
      </c>
      <c r="C5093" t="s">
        <v>929</v>
      </c>
      <c r="D5093" t="s">
        <v>769</v>
      </c>
      <c r="E5093">
        <v>54.5326</v>
      </c>
      <c r="F5093">
        <v>18.3109</v>
      </c>
      <c r="G5093">
        <v>95755.2</v>
      </c>
      <c r="H5093" s="1">
        <v>43387</v>
      </c>
      <c r="I5093" s="1">
        <v>43390</v>
      </c>
      <c r="J5093" t="s">
        <v>56</v>
      </c>
      <c r="K5093">
        <v>3</v>
      </c>
      <c r="L5093">
        <v>0</v>
      </c>
      <c r="M5093" t="s">
        <v>1133</v>
      </c>
      <c r="N5093">
        <v>1.5</v>
      </c>
    </row>
    <row r="5094" hidden="1" spans="1:14">
      <c r="A5094">
        <v>4778</v>
      </c>
      <c r="C5094" t="s">
        <v>929</v>
      </c>
      <c r="E5094">
        <v>43.5712</v>
      </c>
      <c r="F5094">
        <v>15.1183</v>
      </c>
      <c r="G5094">
        <v>30368.53</v>
      </c>
      <c r="H5094" s="1">
        <v>43676</v>
      </c>
      <c r="I5094" s="1">
        <v>43686</v>
      </c>
      <c r="J5094" t="s">
        <v>56</v>
      </c>
      <c r="K5094">
        <v>12</v>
      </c>
      <c r="L5094">
        <v>500</v>
      </c>
      <c r="M5094" t="s">
        <v>52</v>
      </c>
      <c r="N5094">
        <v>1.5</v>
      </c>
    </row>
    <row r="5095" hidden="1" spans="1:14">
      <c r="A5095">
        <v>4908</v>
      </c>
      <c r="C5095" t="s">
        <v>929</v>
      </c>
      <c r="E5095">
        <v>44.4372</v>
      </c>
      <c r="F5095">
        <v>13.2586</v>
      </c>
      <c r="G5095">
        <v>18949.28</v>
      </c>
      <c r="H5095" s="1">
        <v>43941</v>
      </c>
      <c r="I5095" s="1">
        <v>43943</v>
      </c>
      <c r="J5095" t="s">
        <v>56</v>
      </c>
      <c r="K5095">
        <v>10</v>
      </c>
      <c r="L5095">
        <v>0</v>
      </c>
      <c r="M5095" t="s">
        <v>52</v>
      </c>
      <c r="N5095">
        <v>1.5</v>
      </c>
    </row>
    <row r="5096" hidden="1" spans="1:14">
      <c r="A5096">
        <v>5062</v>
      </c>
      <c r="C5096" t="s">
        <v>929</v>
      </c>
      <c r="E5096">
        <v>49.5591</v>
      </c>
      <c r="F5096">
        <v>16.3552</v>
      </c>
      <c r="G5096">
        <v>66535.29</v>
      </c>
      <c r="H5096" s="1">
        <v>44317</v>
      </c>
      <c r="I5096" s="1">
        <v>44320</v>
      </c>
      <c r="J5096" t="s">
        <v>56</v>
      </c>
      <c r="K5096">
        <v>4</v>
      </c>
      <c r="L5096">
        <v>0</v>
      </c>
      <c r="M5096" t="s">
        <v>49</v>
      </c>
      <c r="N5096">
        <v>1</v>
      </c>
    </row>
    <row r="5097" hidden="1" spans="1:14">
      <c r="A5097">
        <v>1771</v>
      </c>
      <c r="B5097">
        <v>0</v>
      </c>
      <c r="C5097" t="s">
        <v>1134</v>
      </c>
      <c r="D5097">
        <v>0</v>
      </c>
      <c r="E5097">
        <v>44.0332</v>
      </c>
      <c r="F5097">
        <v>16.378</v>
      </c>
      <c r="G5097">
        <v>4207.18</v>
      </c>
      <c r="H5097" s="1">
        <v>37108</v>
      </c>
      <c r="I5097" s="1">
        <v>37108</v>
      </c>
      <c r="J5097" t="s">
        <v>15</v>
      </c>
      <c r="K5097">
        <v>11</v>
      </c>
      <c r="L5097">
        <v>0</v>
      </c>
      <c r="M5097" t="s">
        <v>16</v>
      </c>
      <c r="N5097">
        <v>1</v>
      </c>
    </row>
    <row r="5098" hidden="1" spans="1:14">
      <c r="A5098">
        <v>730</v>
      </c>
      <c r="B5098">
        <v>0</v>
      </c>
      <c r="C5098" t="s">
        <v>1135</v>
      </c>
      <c r="D5098">
        <v>0</v>
      </c>
      <c r="E5098">
        <v>45.822</v>
      </c>
      <c r="F5098">
        <v>13.9406</v>
      </c>
      <c r="G5098">
        <v>61492.38</v>
      </c>
      <c r="H5098" s="1">
        <v>34005</v>
      </c>
      <c r="I5098" s="1">
        <v>34010</v>
      </c>
      <c r="J5098" t="s">
        <v>15</v>
      </c>
      <c r="K5098">
        <v>31</v>
      </c>
      <c r="L5098">
        <v>2500</v>
      </c>
      <c r="M5098" t="s">
        <v>16</v>
      </c>
      <c r="N5098">
        <v>1</v>
      </c>
    </row>
    <row r="5099" hidden="1" spans="1:14">
      <c r="A5099">
        <v>1760</v>
      </c>
      <c r="B5099">
        <v>0</v>
      </c>
      <c r="C5099" t="s">
        <v>1135</v>
      </c>
      <c r="D5099">
        <v>0</v>
      </c>
      <c r="E5099">
        <v>44.1874</v>
      </c>
      <c r="F5099">
        <v>14.5594</v>
      </c>
      <c r="G5099">
        <v>10853.46</v>
      </c>
      <c r="H5099" s="1">
        <v>37098</v>
      </c>
      <c r="I5099" s="1">
        <v>37101</v>
      </c>
      <c r="J5099" t="s">
        <v>15</v>
      </c>
      <c r="K5099">
        <v>20</v>
      </c>
      <c r="L5099">
        <v>0</v>
      </c>
      <c r="M5099" t="s">
        <v>18</v>
      </c>
      <c r="N5099">
        <v>1</v>
      </c>
    </row>
    <row r="5100" hidden="1" spans="1:14">
      <c r="A5100">
        <v>129</v>
      </c>
      <c r="B5100">
        <v>0</v>
      </c>
      <c r="C5100" t="s">
        <v>1136</v>
      </c>
      <c r="D5100">
        <v>0</v>
      </c>
      <c r="E5100">
        <v>19.6312</v>
      </c>
      <c r="F5100">
        <v>44.584</v>
      </c>
      <c r="G5100">
        <v>23819.91</v>
      </c>
      <c r="H5100" s="1">
        <v>31904</v>
      </c>
      <c r="I5100" s="1">
        <v>31912</v>
      </c>
      <c r="J5100" t="s">
        <v>15</v>
      </c>
      <c r="K5100">
        <v>4</v>
      </c>
      <c r="L5100">
        <v>0</v>
      </c>
      <c r="M5100" t="s">
        <v>16</v>
      </c>
      <c r="N5100">
        <v>1</v>
      </c>
    </row>
    <row r="5101" hidden="1" spans="1:14">
      <c r="A5101">
        <v>282</v>
      </c>
      <c r="B5101">
        <v>0</v>
      </c>
      <c r="C5101" t="s">
        <v>1136</v>
      </c>
      <c r="D5101">
        <v>0</v>
      </c>
      <c r="E5101">
        <v>17.7595</v>
      </c>
      <c r="F5101">
        <v>43.8036</v>
      </c>
      <c r="G5101">
        <v>40946.6</v>
      </c>
      <c r="H5101" s="1">
        <v>32534</v>
      </c>
      <c r="I5101" s="1">
        <v>32541</v>
      </c>
      <c r="J5101" t="s">
        <v>15</v>
      </c>
      <c r="K5101">
        <v>72</v>
      </c>
      <c r="L5101">
        <v>500000</v>
      </c>
      <c r="M5101" t="s">
        <v>16</v>
      </c>
      <c r="N5101">
        <v>1</v>
      </c>
    </row>
    <row r="5102" hidden="1" spans="1:14">
      <c r="A5102">
        <v>1526</v>
      </c>
      <c r="B5102">
        <v>0</v>
      </c>
      <c r="C5102" t="s">
        <v>1136</v>
      </c>
      <c r="D5102">
        <v>0</v>
      </c>
      <c r="E5102">
        <v>20.1296</v>
      </c>
      <c r="F5102">
        <v>45.2537</v>
      </c>
      <c r="G5102">
        <v>31125.65</v>
      </c>
      <c r="H5102" s="1">
        <v>36350</v>
      </c>
      <c r="I5102" s="1">
        <v>36353</v>
      </c>
      <c r="J5102" t="s">
        <v>15</v>
      </c>
      <c r="K5102">
        <v>7</v>
      </c>
      <c r="L5102">
        <v>5000</v>
      </c>
      <c r="M5102" t="s">
        <v>18</v>
      </c>
      <c r="N5102">
        <v>1</v>
      </c>
    </row>
    <row r="5103" hidden="1" spans="1:14">
      <c r="A5103">
        <v>284</v>
      </c>
      <c r="B5103">
        <v>0</v>
      </c>
      <c r="C5103" t="s">
        <v>721</v>
      </c>
      <c r="D5103">
        <v>0</v>
      </c>
      <c r="E5103">
        <v>28.2813</v>
      </c>
      <c r="F5103">
        <v>-15.4802</v>
      </c>
      <c r="G5103">
        <v>4548.61</v>
      </c>
      <c r="H5103" s="1">
        <v>32540</v>
      </c>
      <c r="I5103" s="1">
        <v>32549</v>
      </c>
      <c r="J5103" t="s">
        <v>15</v>
      </c>
      <c r="K5103">
        <v>8</v>
      </c>
      <c r="L5103">
        <v>20000</v>
      </c>
      <c r="M5103" t="s">
        <v>16</v>
      </c>
      <c r="N5103">
        <v>1</v>
      </c>
    </row>
    <row r="5104" hidden="1" spans="1:14">
      <c r="A5104">
        <v>1322</v>
      </c>
      <c r="B5104">
        <v>0</v>
      </c>
      <c r="C5104" t="s">
        <v>721</v>
      </c>
      <c r="D5104" t="s">
        <v>231</v>
      </c>
      <c r="E5104">
        <v>23.1216</v>
      </c>
      <c r="F5104">
        <v>-17.3257</v>
      </c>
      <c r="G5104">
        <v>158186.65</v>
      </c>
      <c r="H5104" s="1">
        <v>35871</v>
      </c>
      <c r="I5104" s="1">
        <v>35873</v>
      </c>
      <c r="J5104" t="s">
        <v>15</v>
      </c>
      <c r="K5104">
        <v>0</v>
      </c>
      <c r="L5104">
        <v>288</v>
      </c>
      <c r="M5104" t="s">
        <v>16</v>
      </c>
      <c r="N5104">
        <v>1</v>
      </c>
    </row>
    <row r="5105" hidden="1" spans="1:14">
      <c r="A5105">
        <v>2153</v>
      </c>
      <c r="B5105">
        <v>0</v>
      </c>
      <c r="C5105" t="s">
        <v>721</v>
      </c>
      <c r="D5105">
        <v>0</v>
      </c>
      <c r="E5105">
        <v>28.5651</v>
      </c>
      <c r="F5105">
        <v>-14.3453</v>
      </c>
      <c r="G5105">
        <v>2674.05</v>
      </c>
      <c r="H5105" s="1">
        <v>37657</v>
      </c>
      <c r="I5105" s="1">
        <v>37659</v>
      </c>
      <c r="J5105" t="s">
        <v>15</v>
      </c>
      <c r="K5105">
        <v>0</v>
      </c>
      <c r="L5105">
        <v>400</v>
      </c>
      <c r="M5105" t="s">
        <v>16</v>
      </c>
      <c r="N5105">
        <v>1</v>
      </c>
    </row>
    <row r="5106" hidden="1" spans="1:14">
      <c r="A5106">
        <v>2161</v>
      </c>
      <c r="B5106">
        <v>0</v>
      </c>
      <c r="C5106" t="s">
        <v>721</v>
      </c>
      <c r="D5106" t="s">
        <v>79</v>
      </c>
      <c r="E5106">
        <v>21.7005</v>
      </c>
      <c r="F5106">
        <v>-12.1764</v>
      </c>
      <c r="G5106">
        <v>607286.01</v>
      </c>
      <c r="H5106" s="1">
        <v>37636</v>
      </c>
      <c r="I5106" s="1">
        <v>37803</v>
      </c>
      <c r="J5106" t="s">
        <v>15</v>
      </c>
      <c r="K5106">
        <v>7</v>
      </c>
      <c r="L5106">
        <v>20000</v>
      </c>
      <c r="M5106" t="s">
        <v>16</v>
      </c>
      <c r="N5106">
        <v>2</v>
      </c>
    </row>
    <row r="5107" hidden="1" spans="1:14">
      <c r="A5107">
        <v>2181</v>
      </c>
      <c r="B5107">
        <v>0</v>
      </c>
      <c r="C5107" t="s">
        <v>721</v>
      </c>
      <c r="D5107">
        <v>0</v>
      </c>
      <c r="E5107">
        <v>27.69</v>
      </c>
      <c r="F5107">
        <v>-16.0663</v>
      </c>
      <c r="G5107">
        <v>22883.26</v>
      </c>
      <c r="H5107" s="1">
        <v>37691</v>
      </c>
      <c r="I5107" s="1">
        <v>37695</v>
      </c>
      <c r="J5107" t="s">
        <v>15</v>
      </c>
      <c r="K5107">
        <v>0</v>
      </c>
      <c r="L5107">
        <v>6400</v>
      </c>
      <c r="M5107" t="s">
        <v>16</v>
      </c>
      <c r="N5107">
        <v>2</v>
      </c>
    </row>
    <row r="5108" hidden="1" spans="1:14">
      <c r="A5108">
        <v>2638</v>
      </c>
      <c r="B5108">
        <v>0</v>
      </c>
      <c r="C5108" t="s">
        <v>721</v>
      </c>
      <c r="D5108">
        <v>0</v>
      </c>
      <c r="E5108">
        <v>31.1146</v>
      </c>
      <c r="F5108">
        <v>-10.5871</v>
      </c>
      <c r="G5108">
        <v>122632.43</v>
      </c>
      <c r="H5108" s="1">
        <v>38412</v>
      </c>
      <c r="I5108" s="1">
        <v>38443</v>
      </c>
      <c r="J5108" t="s">
        <v>15</v>
      </c>
      <c r="K5108">
        <v>0</v>
      </c>
      <c r="L5108">
        <v>300</v>
      </c>
      <c r="M5108" t="s">
        <v>16</v>
      </c>
      <c r="N5108">
        <v>1</v>
      </c>
    </row>
    <row r="5109" hidden="1" spans="1:14">
      <c r="A5109">
        <v>3018</v>
      </c>
      <c r="B5109" t="s">
        <v>1137</v>
      </c>
      <c r="C5109" t="s">
        <v>721</v>
      </c>
      <c r="E5109">
        <v>24.3703</v>
      </c>
      <c r="F5109">
        <v>-12.9526</v>
      </c>
      <c r="G5109">
        <v>719319.21</v>
      </c>
      <c r="H5109" s="1">
        <v>39092</v>
      </c>
      <c r="I5109" s="1">
        <v>39212</v>
      </c>
      <c r="J5109" t="s">
        <v>15</v>
      </c>
      <c r="K5109">
        <v>11</v>
      </c>
      <c r="L5109">
        <v>250000</v>
      </c>
      <c r="M5109" t="s">
        <v>16</v>
      </c>
      <c r="N5109">
        <v>1</v>
      </c>
    </row>
    <row r="5110" hidden="1" spans="1:14">
      <c r="A5110">
        <v>3250</v>
      </c>
      <c r="B5110">
        <v>0</v>
      </c>
      <c r="C5110" t="s">
        <v>721</v>
      </c>
      <c r="D5110">
        <v>0</v>
      </c>
      <c r="E5110">
        <v>27.7672</v>
      </c>
      <c r="F5110">
        <v>-15.94</v>
      </c>
      <c r="G5110">
        <v>672970.42</v>
      </c>
      <c r="H5110" s="1">
        <v>39446</v>
      </c>
      <c r="I5110" s="1">
        <v>39450</v>
      </c>
      <c r="J5110" t="s">
        <v>15</v>
      </c>
      <c r="K5110">
        <v>1</v>
      </c>
      <c r="L5110">
        <v>3000</v>
      </c>
      <c r="M5110" t="s">
        <v>16</v>
      </c>
      <c r="N5110">
        <v>1</v>
      </c>
    </row>
    <row r="5111" hidden="1" spans="1:14">
      <c r="A5111">
        <v>3272</v>
      </c>
      <c r="B5111" t="s">
        <v>723</v>
      </c>
      <c r="C5111" t="s">
        <v>721</v>
      </c>
      <c r="E5111">
        <v>23.7939</v>
      </c>
      <c r="F5111">
        <v>-14.9555</v>
      </c>
      <c r="G5111">
        <v>438919.74</v>
      </c>
      <c r="H5111" s="1">
        <v>39487</v>
      </c>
      <c r="I5111" s="1">
        <v>39569</v>
      </c>
      <c r="J5111" t="s">
        <v>15</v>
      </c>
      <c r="K5111">
        <v>4</v>
      </c>
      <c r="L5111">
        <v>15000</v>
      </c>
      <c r="M5111" t="s">
        <v>16</v>
      </c>
      <c r="N5111">
        <v>1</v>
      </c>
    </row>
    <row r="5112" hidden="1" spans="1:14">
      <c r="A5112">
        <v>3467</v>
      </c>
      <c r="B5112" t="s">
        <v>1138</v>
      </c>
      <c r="C5112" t="s">
        <v>721</v>
      </c>
      <c r="D5112">
        <v>0</v>
      </c>
      <c r="E5112">
        <v>24.2305</v>
      </c>
      <c r="F5112">
        <v>-18.7599</v>
      </c>
      <c r="G5112">
        <v>1148027.26</v>
      </c>
      <c r="H5112" s="1">
        <v>39899</v>
      </c>
      <c r="I5112" s="1">
        <v>39899</v>
      </c>
      <c r="J5112" t="s">
        <v>15</v>
      </c>
      <c r="K5112">
        <v>99</v>
      </c>
      <c r="L5112">
        <v>1600</v>
      </c>
      <c r="M5112" t="s">
        <v>107</v>
      </c>
      <c r="N5112">
        <v>1</v>
      </c>
    </row>
    <row r="5113" hidden="1" spans="1:14">
      <c r="A5113">
        <v>3616</v>
      </c>
      <c r="B5113" t="s">
        <v>1139</v>
      </c>
      <c r="C5113" t="s">
        <v>721</v>
      </c>
      <c r="E5113">
        <v>27.7369</v>
      </c>
      <c r="F5113">
        <v>-16.0918</v>
      </c>
      <c r="G5113">
        <v>85511.58</v>
      </c>
      <c r="H5113" s="1">
        <v>40238</v>
      </c>
      <c r="I5113" s="1">
        <v>40254</v>
      </c>
      <c r="J5113">
        <v>0</v>
      </c>
      <c r="K5113">
        <v>0</v>
      </c>
      <c r="L5113">
        <v>115</v>
      </c>
      <c r="M5113" t="s">
        <v>49</v>
      </c>
      <c r="N5113">
        <v>1</v>
      </c>
    </row>
    <row r="5114" hidden="1" spans="1:14">
      <c r="A5114">
        <v>4842</v>
      </c>
      <c r="C5114" t="s">
        <v>721</v>
      </c>
      <c r="E5114">
        <v>31.15</v>
      </c>
      <c r="F5114">
        <v>-13.8712</v>
      </c>
      <c r="G5114">
        <v>51482.86</v>
      </c>
      <c r="H5114" s="1">
        <v>43824</v>
      </c>
      <c r="I5114" s="1">
        <v>43838</v>
      </c>
      <c r="J5114" t="s">
        <v>56</v>
      </c>
      <c r="K5114">
        <v>0</v>
      </c>
      <c r="L5114">
        <v>1500</v>
      </c>
      <c r="M5114" t="s">
        <v>49</v>
      </c>
      <c r="N5114">
        <v>1.5</v>
      </c>
    </row>
    <row r="5115" hidden="1" spans="1:14">
      <c r="A5115">
        <v>4882</v>
      </c>
      <c r="C5115" t="s">
        <v>721</v>
      </c>
      <c r="E5115">
        <v>29.9623</v>
      </c>
      <c r="F5115">
        <v>-10.2504</v>
      </c>
      <c r="G5115">
        <v>101083.2</v>
      </c>
      <c r="H5115" s="1">
        <v>43894</v>
      </c>
      <c r="I5115" s="1">
        <v>43907</v>
      </c>
      <c r="J5115" t="s">
        <v>58</v>
      </c>
      <c r="K5115">
        <v>0</v>
      </c>
      <c r="L5115">
        <v>0</v>
      </c>
      <c r="M5115" t="s">
        <v>49</v>
      </c>
      <c r="N5115">
        <v>1.5</v>
      </c>
    </row>
    <row r="5116" hidden="1" spans="1:14">
      <c r="A5116">
        <v>4895</v>
      </c>
      <c r="C5116" t="s">
        <v>721</v>
      </c>
      <c r="E5116">
        <v>30.9025</v>
      </c>
      <c r="F5116">
        <v>-10.0901</v>
      </c>
      <c r="G5116">
        <v>91521.53</v>
      </c>
      <c r="H5116" s="1">
        <v>43894</v>
      </c>
      <c r="I5116" s="1">
        <v>43945</v>
      </c>
      <c r="J5116" t="s">
        <v>56</v>
      </c>
      <c r="K5116">
        <v>0</v>
      </c>
      <c r="L5116">
        <v>0</v>
      </c>
      <c r="M5116" t="s">
        <v>49</v>
      </c>
      <c r="N5116">
        <v>1.5</v>
      </c>
    </row>
    <row r="5117" hidden="1" spans="1:14">
      <c r="A5117">
        <v>1589</v>
      </c>
      <c r="B5117">
        <v>0</v>
      </c>
      <c r="C5117" t="s">
        <v>1140</v>
      </c>
      <c r="D5117">
        <v>0</v>
      </c>
      <c r="E5117">
        <v>28.8479</v>
      </c>
      <c r="F5117">
        <v>-16.5282</v>
      </c>
      <c r="G5117">
        <v>8583.8</v>
      </c>
      <c r="H5117" s="1">
        <v>36588</v>
      </c>
      <c r="I5117" s="1">
        <v>36589</v>
      </c>
      <c r="J5117" t="s">
        <v>15</v>
      </c>
      <c r="K5117">
        <v>0</v>
      </c>
      <c r="L5117">
        <v>12000</v>
      </c>
      <c r="M5117" t="s">
        <v>25</v>
      </c>
      <c r="N5117">
        <v>2</v>
      </c>
    </row>
    <row r="5118" hidden="1" spans="1:14">
      <c r="A5118">
        <v>720</v>
      </c>
      <c r="B5118">
        <v>0</v>
      </c>
      <c r="C5118" t="s">
        <v>711</v>
      </c>
      <c r="D5118">
        <v>0</v>
      </c>
      <c r="E5118">
        <v>30.1524</v>
      </c>
      <c r="F5118">
        <v>-20.8141</v>
      </c>
      <c r="G5118">
        <v>140745.48</v>
      </c>
      <c r="H5118" s="1">
        <v>33963</v>
      </c>
      <c r="I5118" s="1">
        <v>33965</v>
      </c>
      <c r="J5118" t="s">
        <v>15</v>
      </c>
      <c r="K5118">
        <v>1</v>
      </c>
      <c r="L5118">
        <v>250</v>
      </c>
      <c r="M5118" t="s">
        <v>16</v>
      </c>
      <c r="N5118">
        <v>2</v>
      </c>
    </row>
    <row r="5119" hidden="1" spans="1:14">
      <c r="A5119">
        <v>1047</v>
      </c>
      <c r="B5119">
        <v>0</v>
      </c>
      <c r="C5119" t="s">
        <v>711</v>
      </c>
      <c r="D5119">
        <v>0</v>
      </c>
      <c r="E5119">
        <v>28.6842</v>
      </c>
      <c r="F5119">
        <v>-18.0362</v>
      </c>
      <c r="G5119">
        <v>18896.39</v>
      </c>
      <c r="H5119" s="1">
        <v>35080</v>
      </c>
      <c r="I5119" s="1">
        <v>35086</v>
      </c>
      <c r="J5119" t="s">
        <v>15</v>
      </c>
      <c r="K5119">
        <v>0</v>
      </c>
      <c r="L5119">
        <v>0</v>
      </c>
      <c r="M5119" t="s">
        <v>16</v>
      </c>
      <c r="N5119">
        <v>2</v>
      </c>
    </row>
    <row r="5120" hidden="1" spans="1:14">
      <c r="A5120">
        <v>2171</v>
      </c>
      <c r="B5120">
        <v>0</v>
      </c>
      <c r="C5120" t="s">
        <v>711</v>
      </c>
      <c r="D5120">
        <v>0</v>
      </c>
      <c r="E5120">
        <v>31.1595</v>
      </c>
      <c r="F5120">
        <v>-16.3458</v>
      </c>
      <c r="G5120">
        <v>13941.66</v>
      </c>
      <c r="H5120" s="1">
        <v>37677</v>
      </c>
      <c r="I5120" s="1">
        <v>37680</v>
      </c>
      <c r="J5120" t="s">
        <v>15</v>
      </c>
      <c r="K5120">
        <v>2</v>
      </c>
      <c r="L5120">
        <v>18000</v>
      </c>
      <c r="M5120" t="s">
        <v>16</v>
      </c>
      <c r="N5120">
        <v>1</v>
      </c>
    </row>
    <row r="5121" hidden="1" spans="1:14">
      <c r="A5121">
        <v>3241</v>
      </c>
      <c r="B5121" t="s">
        <v>1141</v>
      </c>
      <c r="C5121" t="s">
        <v>711</v>
      </c>
      <c r="D5121">
        <v>0</v>
      </c>
      <c r="E5121">
        <v>31.244</v>
      </c>
      <c r="F5121">
        <v>-16.6606</v>
      </c>
      <c r="G5121">
        <v>13373.77</v>
      </c>
      <c r="H5121" s="1">
        <v>39429</v>
      </c>
      <c r="I5121" s="1">
        <v>39450</v>
      </c>
      <c r="J5121" t="s">
        <v>15</v>
      </c>
      <c r="K5121">
        <v>3</v>
      </c>
      <c r="L5121">
        <v>2400</v>
      </c>
      <c r="M5121" t="s">
        <v>16</v>
      </c>
      <c r="N5121">
        <v>1</v>
      </c>
    </row>
    <row r="5122" hidden="1" spans="1:14">
      <c r="A5122">
        <v>3245</v>
      </c>
      <c r="B5122">
        <v>0</v>
      </c>
      <c r="C5122" t="s">
        <v>711</v>
      </c>
      <c r="E5122">
        <v>31.242</v>
      </c>
      <c r="F5122">
        <v>-20.7845</v>
      </c>
      <c r="G5122">
        <v>100497.28</v>
      </c>
      <c r="H5122" s="1">
        <v>39435</v>
      </c>
      <c r="I5122" s="1">
        <v>39449</v>
      </c>
      <c r="J5122" t="s">
        <v>15</v>
      </c>
      <c r="K5122">
        <v>24</v>
      </c>
      <c r="L5122">
        <v>2000</v>
      </c>
      <c r="M5122" t="s">
        <v>16</v>
      </c>
      <c r="N5122">
        <v>1</v>
      </c>
    </row>
    <row r="5123" hidden="1" spans="1:14">
      <c r="A5123">
        <v>4865</v>
      </c>
      <c r="C5123" t="s">
        <v>711</v>
      </c>
      <c r="E5123">
        <v>27.1663</v>
      </c>
      <c r="F5123">
        <v>-18.3012</v>
      </c>
      <c r="G5123">
        <v>75329.36</v>
      </c>
      <c r="H5123" s="1">
        <v>43847</v>
      </c>
      <c r="I5123" s="1">
        <v>43852</v>
      </c>
      <c r="J5123" t="s">
        <v>56</v>
      </c>
      <c r="K5123">
        <v>0</v>
      </c>
      <c r="L5123">
        <v>40</v>
      </c>
      <c r="M5123" t="s">
        <v>49</v>
      </c>
      <c r="N5123">
        <v>1</v>
      </c>
    </row>
    <row r="5124" hidden="1" spans="1:14">
      <c r="A5124">
        <v>4870</v>
      </c>
      <c r="C5124" t="s">
        <v>711</v>
      </c>
      <c r="E5124">
        <v>27.7849</v>
      </c>
      <c r="F5124">
        <v>-18.2455</v>
      </c>
      <c r="G5124">
        <v>73436.23</v>
      </c>
      <c r="H5124" s="1">
        <v>43872</v>
      </c>
      <c r="I5124" s="1">
        <v>43878</v>
      </c>
      <c r="J5124" t="s">
        <v>56</v>
      </c>
      <c r="K5124">
        <v>1</v>
      </c>
      <c r="L5124">
        <v>160</v>
      </c>
      <c r="M5124" t="s">
        <v>49</v>
      </c>
      <c r="N5124">
        <v>1</v>
      </c>
    </row>
    <row r="5125" hidden="1" spans="1:14">
      <c r="A5125">
        <v>1839</v>
      </c>
      <c r="B5125">
        <v>0</v>
      </c>
      <c r="C5125" t="s">
        <v>1142</v>
      </c>
      <c r="D5125">
        <v>0</v>
      </c>
      <c r="E5125">
        <v>31.3674</v>
      </c>
      <c r="F5125">
        <v>-21.2908</v>
      </c>
      <c r="G5125">
        <v>35653.02</v>
      </c>
      <c r="H5125" s="1">
        <v>37241</v>
      </c>
      <c r="I5125" s="1">
        <v>37243</v>
      </c>
      <c r="J5125" t="s">
        <v>15</v>
      </c>
      <c r="K5125">
        <v>0</v>
      </c>
      <c r="L5125">
        <v>0</v>
      </c>
      <c r="M5125" t="s">
        <v>16</v>
      </c>
      <c r="N5125">
        <v>1</v>
      </c>
    </row>
    <row r="5126" hidden="1" spans="1:14">
      <c r="A5126">
        <v>4118</v>
      </c>
      <c r="C5126" t="s">
        <v>706</v>
      </c>
      <c r="E5126">
        <v>30.8531</v>
      </c>
      <c r="F5126">
        <v>-17.2057</v>
      </c>
      <c r="G5126">
        <v>142586.1</v>
      </c>
      <c r="H5126" s="1">
        <v>41654</v>
      </c>
      <c r="I5126" s="1">
        <v>41677</v>
      </c>
      <c r="J5126" t="s">
        <v>15</v>
      </c>
      <c r="K5126">
        <v>0</v>
      </c>
      <c r="L5126">
        <v>0</v>
      </c>
      <c r="M5126" t="s">
        <v>49</v>
      </c>
      <c r="N5126">
        <v>1.5</v>
      </c>
    </row>
    <row r="5127" hidden="1" spans="1:14">
      <c r="A5127">
        <v>4119</v>
      </c>
      <c r="C5127" t="s">
        <v>706</v>
      </c>
      <c r="E5127">
        <v>28.9231</v>
      </c>
      <c r="F5127">
        <v>-20.2044</v>
      </c>
      <c r="G5127">
        <v>72462.23</v>
      </c>
      <c r="H5127" s="1">
        <v>41654</v>
      </c>
      <c r="I5127" s="1">
        <v>41677</v>
      </c>
      <c r="J5127" t="s">
        <v>15</v>
      </c>
      <c r="K5127">
        <v>0</v>
      </c>
      <c r="L5127">
        <v>4000</v>
      </c>
      <c r="M5127" t="s">
        <v>49</v>
      </c>
      <c r="N5127">
        <v>1.5</v>
      </c>
    </row>
    <row r="5128" hidden="1" spans="1:14">
      <c r="A5128">
        <v>4128</v>
      </c>
      <c r="C5128" t="s">
        <v>706</v>
      </c>
      <c r="E5128">
        <v>31.3479</v>
      </c>
      <c r="F5128">
        <v>-21.5196</v>
      </c>
      <c r="G5128">
        <v>17205.64</v>
      </c>
      <c r="H5128" s="1">
        <v>41671</v>
      </c>
      <c r="I5128" s="1">
        <v>41728</v>
      </c>
      <c r="J5128" t="s">
        <v>15</v>
      </c>
      <c r="K5128">
        <v>0</v>
      </c>
      <c r="L5128">
        <v>4000</v>
      </c>
      <c r="M5128" t="s">
        <v>208</v>
      </c>
      <c r="N5128">
        <v>1</v>
      </c>
    </row>
    <row r="5129" hidden="1" spans="1:14">
      <c r="A5129">
        <v>4449</v>
      </c>
      <c r="B5129" t="s">
        <v>1143</v>
      </c>
      <c r="C5129" t="s">
        <v>706</v>
      </c>
      <c r="E5129">
        <v>29.022</v>
      </c>
      <c r="F5129">
        <v>-18.6428</v>
      </c>
      <c r="G5129">
        <v>163760.91</v>
      </c>
      <c r="H5129" s="1">
        <v>42782</v>
      </c>
      <c r="I5129" s="1">
        <v>42797</v>
      </c>
      <c r="J5129" t="s">
        <v>15</v>
      </c>
      <c r="K5129">
        <v>246</v>
      </c>
      <c r="L5129">
        <v>900</v>
      </c>
      <c r="M5129" t="s">
        <v>939</v>
      </c>
      <c r="N5129">
        <v>1.5</v>
      </c>
    </row>
    <row r="5130" hidden="1" spans="1:14">
      <c r="A5130">
        <v>4724</v>
      </c>
      <c r="C5130" t="s">
        <v>706</v>
      </c>
      <c r="E5130">
        <v>30.8036</v>
      </c>
      <c r="F5130">
        <v>-19.0405</v>
      </c>
      <c r="G5130">
        <v>154678.41</v>
      </c>
      <c r="H5130" s="1">
        <v>43508</v>
      </c>
      <c r="I5130" s="1">
        <v>43514</v>
      </c>
      <c r="J5130" t="s">
        <v>56</v>
      </c>
      <c r="K5130">
        <v>2</v>
      </c>
      <c r="L5130">
        <v>300</v>
      </c>
      <c r="M5130" t="s">
        <v>49</v>
      </c>
      <c r="N5130">
        <v>1.5</v>
      </c>
    </row>
    <row r="5131" hidden="1" spans="1:14">
      <c r="A5131">
        <v>4973</v>
      </c>
      <c r="C5131" t="s">
        <v>706</v>
      </c>
      <c r="E5131">
        <v>31.1995</v>
      </c>
      <c r="F5131">
        <v>-17.7014</v>
      </c>
      <c r="G5131">
        <v>109134.15</v>
      </c>
      <c r="H5131" s="1">
        <v>44141</v>
      </c>
      <c r="I5131" s="1">
        <v>44144</v>
      </c>
      <c r="J5131" t="s">
        <v>56</v>
      </c>
      <c r="K5131">
        <v>2</v>
      </c>
      <c r="L5131">
        <v>0</v>
      </c>
      <c r="M5131" t="s">
        <v>52</v>
      </c>
      <c r="N5131">
        <v>1</v>
      </c>
    </row>
  </sheetData>
  <autoFilter xmlns:etc="http://www.wps.cn/officeDocument/2017/etCustomData" ref="A1:N5131" etc:filterBottomFollowUsedRange="0">
    <filterColumn colId="2">
      <customFilters>
        <customFilter operator="equal" val="Nigeria "/>
        <customFilter operator="equal" val="Nigeria"/>
      </customFilters>
    </filterColumn>
    <extLst/>
  </autoFilter>
  <sortState ref="A2:N5131">
    <sortCondition ref="C2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33"/>
  <sheetViews>
    <sheetView workbookViewId="0">
      <selection activeCell="A3" sqref="A3"/>
    </sheetView>
  </sheetViews>
  <sheetFormatPr defaultColWidth="8.72727272727273" defaultRowHeight="14.5" outlineLevelCol="2"/>
  <cols>
    <col min="1" max="1" width="12.3636363636364"/>
    <col min="2" max="3" width="12"/>
  </cols>
  <sheetData>
    <row r="3" spans="1:3">
      <c r="A3" t="s">
        <v>1144</v>
      </c>
      <c r="B3" t="s">
        <v>1145</v>
      </c>
      <c r="C3" t="s">
        <v>1146</v>
      </c>
    </row>
    <row r="4" spans="1:3">
      <c r="A4">
        <v>1985</v>
      </c>
      <c r="B4">
        <v>1</v>
      </c>
      <c r="C4">
        <v>74615.9</v>
      </c>
    </row>
    <row r="5" spans="1:3">
      <c r="A5">
        <v>1988</v>
      </c>
      <c r="B5">
        <v>6</v>
      </c>
      <c r="C5">
        <v>147463.99</v>
      </c>
    </row>
    <row r="6" spans="1:3">
      <c r="A6">
        <v>1990</v>
      </c>
      <c r="B6">
        <v>3</v>
      </c>
      <c r="C6">
        <v>45061.73</v>
      </c>
    </row>
    <row r="7" spans="1:3">
      <c r="A7">
        <v>1991</v>
      </c>
      <c r="B7">
        <v>1</v>
      </c>
      <c r="C7">
        <v>22908.02</v>
      </c>
    </row>
    <row r="8" spans="1:3">
      <c r="A8">
        <v>1992</v>
      </c>
      <c r="B8">
        <v>1</v>
      </c>
      <c r="C8">
        <v>42369.21</v>
      </c>
    </row>
    <row r="9" spans="1:3">
      <c r="A9">
        <v>1994</v>
      </c>
      <c r="B9">
        <v>1</v>
      </c>
      <c r="C9">
        <v>317262.41</v>
      </c>
    </row>
    <row r="10" spans="1:3">
      <c r="A10">
        <v>1995</v>
      </c>
      <c r="B10">
        <v>1</v>
      </c>
      <c r="C10">
        <v>19768.44</v>
      </c>
    </row>
    <row r="11" spans="1:3">
      <c r="A11">
        <v>1997</v>
      </c>
      <c r="B11">
        <v>1</v>
      </c>
      <c r="C11">
        <v>17287.47</v>
      </c>
    </row>
    <row r="12" spans="1:3">
      <c r="A12">
        <v>1998</v>
      </c>
      <c r="B12">
        <v>2</v>
      </c>
      <c r="C12">
        <v>68804.11</v>
      </c>
    </row>
    <row r="13" spans="1:3">
      <c r="A13">
        <v>1999</v>
      </c>
      <c r="B13">
        <v>2</v>
      </c>
      <c r="C13">
        <v>1113252</v>
      </c>
    </row>
    <row r="14" spans="1:3">
      <c r="A14">
        <v>2002</v>
      </c>
      <c r="B14">
        <v>1</v>
      </c>
      <c r="C14">
        <v>1657.33</v>
      </c>
    </row>
    <row r="15" spans="1:3">
      <c r="A15">
        <v>2003</v>
      </c>
      <c r="B15">
        <v>9</v>
      </c>
      <c r="C15">
        <v>449965.884</v>
      </c>
    </row>
    <row r="16" spans="1:3">
      <c r="A16">
        <v>2004</v>
      </c>
      <c r="B16">
        <v>5</v>
      </c>
      <c r="C16">
        <v>35839.844</v>
      </c>
    </row>
    <row r="17" spans="1:3">
      <c r="A17">
        <v>2005</v>
      </c>
      <c r="B17">
        <v>2</v>
      </c>
      <c r="C17">
        <v>171050.48</v>
      </c>
    </row>
    <row r="18" spans="1:3">
      <c r="A18">
        <v>2006</v>
      </c>
      <c r="B18">
        <v>3</v>
      </c>
      <c r="C18">
        <v>3445.332</v>
      </c>
    </row>
    <row r="19" spans="1:3">
      <c r="A19">
        <v>2007</v>
      </c>
      <c r="B19">
        <v>2</v>
      </c>
      <c r="C19">
        <v>635389.03</v>
      </c>
    </row>
    <row r="20" spans="1:3">
      <c r="A20">
        <v>2009</v>
      </c>
      <c r="B20">
        <v>2</v>
      </c>
      <c r="C20">
        <v>117219.47</v>
      </c>
    </row>
    <row r="21" spans="1:3">
      <c r="A21">
        <v>2010</v>
      </c>
      <c r="B21">
        <v>1</v>
      </c>
      <c r="C21">
        <v>8694.6</v>
      </c>
    </row>
    <row r="22" spans="1:3">
      <c r="A22">
        <v>2011</v>
      </c>
      <c r="B22">
        <v>2</v>
      </c>
      <c r="C22">
        <v>123013.9</v>
      </c>
    </row>
    <row r="23" spans="1:3">
      <c r="A23">
        <v>2012</v>
      </c>
      <c r="B23">
        <v>6</v>
      </c>
      <c r="C23">
        <v>270674.49</v>
      </c>
    </row>
    <row r="24" spans="1:3">
      <c r="A24">
        <v>2013</v>
      </c>
      <c r="B24">
        <v>1</v>
      </c>
      <c r="C24">
        <v>178191.77</v>
      </c>
    </row>
    <row r="25" spans="1:3">
      <c r="A25">
        <v>2015</v>
      </c>
      <c r="B25">
        <v>1</v>
      </c>
      <c r="C25">
        <v>186816.02</v>
      </c>
    </row>
    <row r="26" spans="1:3">
      <c r="A26">
        <v>2017</v>
      </c>
      <c r="B26">
        <v>2</v>
      </c>
      <c r="C26">
        <v>111091.46</v>
      </c>
    </row>
    <row r="27" spans="1:3">
      <c r="A27">
        <v>2018</v>
      </c>
      <c r="B27">
        <v>2</v>
      </c>
      <c r="C27">
        <v>320377.82</v>
      </c>
    </row>
    <row r="28" spans="1:3">
      <c r="A28">
        <v>2019</v>
      </c>
      <c r="B28">
        <v>4</v>
      </c>
      <c r="C28">
        <v>1471789.48</v>
      </c>
    </row>
    <row r="29" spans="1:3">
      <c r="A29">
        <v>2020</v>
      </c>
      <c r="B29">
        <v>2</v>
      </c>
      <c r="C29">
        <v>449138.64</v>
      </c>
    </row>
    <row r="30" spans="1:3">
      <c r="A30">
        <v>2021</v>
      </c>
      <c r="B30">
        <v>1</v>
      </c>
      <c r="C30">
        <v>114959.47</v>
      </c>
    </row>
    <row r="31" spans="1:3">
      <c r="A31">
        <v>2000</v>
      </c>
      <c r="B31">
        <v>1</v>
      </c>
      <c r="C31">
        <v>7724.63</v>
      </c>
    </row>
    <row r="32" spans="1:3">
      <c r="A32">
        <v>2001</v>
      </c>
      <c r="B32">
        <v>2</v>
      </c>
      <c r="C32">
        <v>15352.34</v>
      </c>
    </row>
    <row r="33" spans="1:3">
      <c r="A33" t="s">
        <v>1147</v>
      </c>
      <c r="B33">
        <v>68</v>
      </c>
      <c r="C33">
        <v>6541185.27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9"/>
  <sheetViews>
    <sheetView workbookViewId="0">
      <selection activeCell="O2" sqref="O2:O69"/>
    </sheetView>
  </sheetViews>
  <sheetFormatPr defaultColWidth="8.72727272727273" defaultRowHeight="14.5"/>
  <cols>
    <col min="4" max="4" width="12.5454545454545" customWidth="1"/>
    <col min="6" max="6" width="11" customWidth="1"/>
    <col min="8" max="8" width="12.2727272727273" customWidth="1"/>
    <col min="9" max="9" width="13.3636363636364" customWidth="1"/>
    <col min="13" max="13" width="14.9090909090909" customWidth="1"/>
    <col min="15" max="15" width="10.1818181818182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1144</v>
      </c>
    </row>
    <row r="2" spans="1:15">
      <c r="A2">
        <v>55</v>
      </c>
      <c r="B2">
        <v>0</v>
      </c>
      <c r="C2" t="s">
        <v>263</v>
      </c>
      <c r="D2">
        <v>0</v>
      </c>
      <c r="E2">
        <v>6.50345</v>
      </c>
      <c r="F2">
        <v>6.41486</v>
      </c>
      <c r="G2">
        <v>74615.9</v>
      </c>
      <c r="H2" s="1">
        <v>31313</v>
      </c>
      <c r="I2" s="1">
        <v>31315</v>
      </c>
      <c r="J2" t="s">
        <v>15</v>
      </c>
      <c r="K2">
        <v>0</v>
      </c>
      <c r="L2">
        <v>6000</v>
      </c>
      <c r="M2" t="s">
        <v>49</v>
      </c>
      <c r="N2">
        <v>1</v>
      </c>
      <c r="O2">
        <f>YEAR(H2)</f>
        <v>1985</v>
      </c>
    </row>
    <row r="3" spans="1:15">
      <c r="A3">
        <v>249</v>
      </c>
      <c r="B3">
        <v>0</v>
      </c>
      <c r="C3" t="s">
        <v>263</v>
      </c>
      <c r="E3">
        <v>2.40705</v>
      </c>
      <c r="F3">
        <v>9.50559</v>
      </c>
      <c r="G3">
        <v>71964.13</v>
      </c>
      <c r="H3" s="1">
        <v>32400</v>
      </c>
      <c r="I3" s="1">
        <v>32412</v>
      </c>
      <c r="J3" t="s">
        <v>15</v>
      </c>
      <c r="K3">
        <v>7</v>
      </c>
      <c r="L3">
        <v>136000</v>
      </c>
      <c r="M3" t="s">
        <v>64</v>
      </c>
      <c r="N3">
        <v>1</v>
      </c>
      <c r="O3">
        <f t="shared" ref="O3:O34" si="0">YEAR(H3)</f>
        <v>1988</v>
      </c>
    </row>
    <row r="4" spans="1:15">
      <c r="A4">
        <v>257</v>
      </c>
      <c r="B4">
        <v>0</v>
      </c>
      <c r="C4" t="s">
        <v>263</v>
      </c>
      <c r="D4">
        <v>0</v>
      </c>
      <c r="E4">
        <v>7.10119</v>
      </c>
      <c r="F4">
        <v>6.37902</v>
      </c>
      <c r="G4">
        <v>8884.3</v>
      </c>
      <c r="H4" s="1">
        <v>32407</v>
      </c>
      <c r="I4" s="1">
        <v>32421</v>
      </c>
      <c r="J4" t="s">
        <v>15</v>
      </c>
      <c r="K4">
        <v>0</v>
      </c>
      <c r="L4">
        <v>70000</v>
      </c>
      <c r="M4" t="s">
        <v>25</v>
      </c>
      <c r="N4">
        <v>1</v>
      </c>
      <c r="O4">
        <f t="shared" si="0"/>
        <v>1988</v>
      </c>
    </row>
    <row r="5" spans="1:15">
      <c r="A5">
        <v>430</v>
      </c>
      <c r="B5">
        <v>0</v>
      </c>
      <c r="C5" t="s">
        <v>263</v>
      </c>
      <c r="D5">
        <v>0</v>
      </c>
      <c r="E5">
        <v>3.51739</v>
      </c>
      <c r="F5">
        <v>6.53686</v>
      </c>
      <c r="G5">
        <v>3421.54</v>
      </c>
      <c r="H5" s="1">
        <v>33057</v>
      </c>
      <c r="I5" s="1">
        <v>33058</v>
      </c>
      <c r="J5" t="s">
        <v>15</v>
      </c>
      <c r="K5">
        <v>5</v>
      </c>
      <c r="L5">
        <v>3000</v>
      </c>
      <c r="M5" t="s">
        <v>16</v>
      </c>
      <c r="N5">
        <v>1</v>
      </c>
      <c r="O5">
        <f t="shared" si="0"/>
        <v>1990</v>
      </c>
    </row>
    <row r="6" spans="1:15">
      <c r="A6">
        <v>443</v>
      </c>
      <c r="B6">
        <v>0</v>
      </c>
      <c r="C6" t="s">
        <v>263</v>
      </c>
      <c r="D6">
        <v>0</v>
      </c>
      <c r="E6">
        <v>8.3879</v>
      </c>
      <c r="F6">
        <v>5.84049</v>
      </c>
      <c r="G6">
        <v>5516.12</v>
      </c>
      <c r="H6" s="1">
        <v>33087</v>
      </c>
      <c r="I6" s="1">
        <v>33088</v>
      </c>
      <c r="J6" t="s">
        <v>15</v>
      </c>
      <c r="K6">
        <v>100</v>
      </c>
      <c r="L6">
        <v>0</v>
      </c>
      <c r="M6" t="s">
        <v>16</v>
      </c>
      <c r="N6">
        <v>1</v>
      </c>
      <c r="O6">
        <f t="shared" si="0"/>
        <v>1990</v>
      </c>
    </row>
    <row r="7" spans="1:15">
      <c r="A7">
        <v>459</v>
      </c>
      <c r="B7">
        <v>0</v>
      </c>
      <c r="C7" t="s">
        <v>263</v>
      </c>
      <c r="D7">
        <v>0</v>
      </c>
      <c r="E7">
        <v>8.88898</v>
      </c>
      <c r="F7">
        <v>7.50054</v>
      </c>
      <c r="G7">
        <v>36124.07</v>
      </c>
      <c r="H7" s="1">
        <v>33132</v>
      </c>
      <c r="I7" s="1">
        <v>33137</v>
      </c>
      <c r="J7" t="s">
        <v>15</v>
      </c>
      <c r="K7">
        <v>0</v>
      </c>
      <c r="L7">
        <v>300000</v>
      </c>
      <c r="M7" t="s">
        <v>16</v>
      </c>
      <c r="N7">
        <v>1</v>
      </c>
      <c r="O7">
        <f t="shared" si="0"/>
        <v>1990</v>
      </c>
    </row>
    <row r="8" spans="1:15">
      <c r="A8">
        <v>559</v>
      </c>
      <c r="B8">
        <v>0</v>
      </c>
      <c r="C8" t="s">
        <v>263</v>
      </c>
      <c r="D8">
        <v>0</v>
      </c>
      <c r="E8">
        <v>8.52892</v>
      </c>
      <c r="F8">
        <v>11.69</v>
      </c>
      <c r="G8">
        <v>22908.02</v>
      </c>
      <c r="H8" s="1">
        <v>33454</v>
      </c>
      <c r="I8" s="1">
        <v>33455</v>
      </c>
      <c r="J8" t="s">
        <v>15</v>
      </c>
      <c r="K8">
        <v>4</v>
      </c>
      <c r="L8">
        <v>10000</v>
      </c>
      <c r="M8" t="s">
        <v>16</v>
      </c>
      <c r="N8">
        <v>1</v>
      </c>
      <c r="O8">
        <f t="shared" si="0"/>
        <v>1991</v>
      </c>
    </row>
    <row r="9" spans="1:15">
      <c r="A9">
        <v>698</v>
      </c>
      <c r="B9">
        <v>0</v>
      </c>
      <c r="C9" t="s">
        <v>263</v>
      </c>
      <c r="D9">
        <v>0</v>
      </c>
      <c r="E9">
        <v>13.018</v>
      </c>
      <c r="F9">
        <v>10.2805</v>
      </c>
      <c r="G9">
        <v>42369.21</v>
      </c>
      <c r="H9" s="1">
        <v>33869</v>
      </c>
      <c r="I9" s="1">
        <v>33870</v>
      </c>
      <c r="J9" t="s">
        <v>15</v>
      </c>
      <c r="K9">
        <v>9</v>
      </c>
      <c r="L9">
        <v>13000</v>
      </c>
      <c r="M9" t="s">
        <v>16</v>
      </c>
      <c r="N9">
        <v>1</v>
      </c>
      <c r="O9">
        <f t="shared" si="0"/>
        <v>1992</v>
      </c>
    </row>
    <row r="10" spans="1:15">
      <c r="A10">
        <v>899</v>
      </c>
      <c r="B10">
        <v>0</v>
      </c>
      <c r="C10" t="s">
        <v>263</v>
      </c>
      <c r="D10" t="s">
        <v>221</v>
      </c>
      <c r="E10">
        <v>13.3184</v>
      </c>
      <c r="F10">
        <v>12.0384</v>
      </c>
      <c r="G10">
        <v>317262.41</v>
      </c>
      <c r="H10" s="1">
        <v>34588</v>
      </c>
      <c r="I10" s="1">
        <v>34592</v>
      </c>
      <c r="J10" t="s">
        <v>15</v>
      </c>
      <c r="K10">
        <v>142</v>
      </c>
      <c r="L10">
        <v>180000</v>
      </c>
      <c r="M10" t="s">
        <v>16</v>
      </c>
      <c r="N10">
        <v>1</v>
      </c>
      <c r="O10">
        <f t="shared" si="0"/>
        <v>1994</v>
      </c>
    </row>
    <row r="11" spans="1:15">
      <c r="A11">
        <v>980</v>
      </c>
      <c r="B11">
        <v>0</v>
      </c>
      <c r="C11" t="s">
        <v>263</v>
      </c>
      <c r="D11">
        <v>0</v>
      </c>
      <c r="E11">
        <v>8.96747</v>
      </c>
      <c r="F11">
        <v>10.0459</v>
      </c>
      <c r="G11">
        <v>19768.44</v>
      </c>
      <c r="H11" s="1">
        <v>34918</v>
      </c>
      <c r="I11" s="1">
        <v>34921</v>
      </c>
      <c r="J11" t="s">
        <v>15</v>
      </c>
      <c r="K11">
        <v>30</v>
      </c>
      <c r="L11">
        <v>0</v>
      </c>
      <c r="M11" t="s">
        <v>16</v>
      </c>
      <c r="N11">
        <v>1</v>
      </c>
      <c r="O11">
        <f t="shared" si="0"/>
        <v>1995</v>
      </c>
    </row>
    <row r="12" spans="1:15">
      <c r="A12">
        <v>1219</v>
      </c>
      <c r="B12">
        <v>0</v>
      </c>
      <c r="C12" t="s">
        <v>263</v>
      </c>
      <c r="D12">
        <v>0</v>
      </c>
      <c r="E12">
        <v>4.03785</v>
      </c>
      <c r="F12">
        <v>7.46328</v>
      </c>
      <c r="G12">
        <v>17287.47</v>
      </c>
      <c r="H12" s="1">
        <v>35550</v>
      </c>
      <c r="I12" s="1">
        <v>35551</v>
      </c>
      <c r="J12" t="s">
        <v>15</v>
      </c>
      <c r="K12">
        <v>5</v>
      </c>
      <c r="L12">
        <v>0</v>
      </c>
      <c r="M12" t="s">
        <v>16</v>
      </c>
      <c r="N12">
        <v>1</v>
      </c>
      <c r="O12">
        <f t="shared" si="0"/>
        <v>1997</v>
      </c>
    </row>
    <row r="13" spans="1:15">
      <c r="A13">
        <v>1431</v>
      </c>
      <c r="B13">
        <v>0</v>
      </c>
      <c r="C13" t="s">
        <v>263</v>
      </c>
      <c r="D13">
        <v>0</v>
      </c>
      <c r="E13">
        <v>8.9692</v>
      </c>
      <c r="F13">
        <v>11.8968</v>
      </c>
      <c r="G13">
        <v>39717.53</v>
      </c>
      <c r="H13" s="1">
        <v>36022</v>
      </c>
      <c r="I13" s="1">
        <v>36023</v>
      </c>
      <c r="J13" t="s">
        <v>15</v>
      </c>
      <c r="K13">
        <v>15</v>
      </c>
      <c r="L13">
        <v>5000</v>
      </c>
      <c r="M13" t="s">
        <v>16</v>
      </c>
      <c r="N13">
        <v>1</v>
      </c>
      <c r="O13">
        <f t="shared" si="0"/>
        <v>1998</v>
      </c>
    </row>
    <row r="14" spans="1:15">
      <c r="A14">
        <v>1454</v>
      </c>
      <c r="B14">
        <v>0</v>
      </c>
      <c r="C14" t="s">
        <v>263</v>
      </c>
      <c r="D14">
        <v>0</v>
      </c>
      <c r="E14">
        <v>4.48983</v>
      </c>
      <c r="F14">
        <v>8.84162</v>
      </c>
      <c r="G14">
        <v>29086.58</v>
      </c>
      <c r="H14" s="1">
        <v>36080</v>
      </c>
      <c r="I14" s="1">
        <v>36086</v>
      </c>
      <c r="J14" t="s">
        <v>15</v>
      </c>
      <c r="K14">
        <v>0</v>
      </c>
      <c r="L14">
        <v>110000</v>
      </c>
      <c r="M14" t="s">
        <v>16</v>
      </c>
      <c r="N14">
        <v>1</v>
      </c>
      <c r="O14">
        <f t="shared" si="0"/>
        <v>1998</v>
      </c>
    </row>
    <row r="15" spans="1:15">
      <c r="A15">
        <v>1560</v>
      </c>
      <c r="B15">
        <v>0</v>
      </c>
      <c r="C15" t="s">
        <v>263</v>
      </c>
      <c r="D15" t="s">
        <v>427</v>
      </c>
      <c r="E15">
        <v>5.9793</v>
      </c>
      <c r="F15">
        <v>12.5634</v>
      </c>
      <c r="G15">
        <v>861989.44</v>
      </c>
      <c r="H15" s="1">
        <v>36418</v>
      </c>
      <c r="I15" s="1">
        <v>36444</v>
      </c>
      <c r="J15" t="s">
        <v>15</v>
      </c>
      <c r="K15">
        <v>85</v>
      </c>
      <c r="L15">
        <v>396748</v>
      </c>
      <c r="M15" t="s">
        <v>16</v>
      </c>
      <c r="N15">
        <v>2</v>
      </c>
      <c r="O15">
        <f t="shared" si="0"/>
        <v>1999</v>
      </c>
    </row>
    <row r="16" spans="1:15">
      <c r="A16">
        <v>1563</v>
      </c>
      <c r="B16">
        <v>0</v>
      </c>
      <c r="C16" t="s">
        <v>263</v>
      </c>
      <c r="D16">
        <v>0</v>
      </c>
      <c r="E16">
        <v>11.938</v>
      </c>
      <c r="F16">
        <v>6.60512</v>
      </c>
      <c r="G16">
        <v>251262.56</v>
      </c>
      <c r="H16" s="1">
        <v>36459</v>
      </c>
      <c r="I16" s="1">
        <v>36472</v>
      </c>
      <c r="J16" t="s">
        <v>15</v>
      </c>
      <c r="K16">
        <v>50</v>
      </c>
      <c r="L16">
        <v>0</v>
      </c>
      <c r="M16" t="s">
        <v>16</v>
      </c>
      <c r="N16">
        <v>2</v>
      </c>
      <c r="O16">
        <f t="shared" si="0"/>
        <v>1999</v>
      </c>
    </row>
    <row r="17" spans="1:15">
      <c r="A17">
        <v>2003</v>
      </c>
      <c r="B17">
        <v>0</v>
      </c>
      <c r="C17" t="s">
        <v>263</v>
      </c>
      <c r="D17">
        <v>0</v>
      </c>
      <c r="E17">
        <v>3.28106</v>
      </c>
      <c r="F17">
        <v>6.60559</v>
      </c>
      <c r="G17">
        <v>1657.33</v>
      </c>
      <c r="H17" s="1">
        <v>37461</v>
      </c>
      <c r="I17" s="1">
        <v>37463</v>
      </c>
      <c r="J17" t="s">
        <v>15</v>
      </c>
      <c r="K17">
        <v>2</v>
      </c>
      <c r="L17">
        <v>0</v>
      </c>
      <c r="M17" t="s">
        <v>16</v>
      </c>
      <c r="N17">
        <v>1</v>
      </c>
      <c r="O17">
        <f t="shared" si="0"/>
        <v>2002</v>
      </c>
    </row>
    <row r="18" spans="1:15">
      <c r="A18">
        <v>2247</v>
      </c>
      <c r="B18">
        <v>0</v>
      </c>
      <c r="C18" t="s">
        <v>263</v>
      </c>
      <c r="D18">
        <v>0</v>
      </c>
      <c r="E18">
        <v>9.78959</v>
      </c>
      <c r="F18">
        <v>12.4276</v>
      </c>
      <c r="G18">
        <v>5709.91</v>
      </c>
      <c r="H18" s="1">
        <v>37779</v>
      </c>
      <c r="I18" s="1">
        <v>37780</v>
      </c>
      <c r="J18" t="s">
        <v>15</v>
      </c>
      <c r="K18">
        <v>0</v>
      </c>
      <c r="L18">
        <v>2000</v>
      </c>
      <c r="M18" t="s">
        <v>16</v>
      </c>
      <c r="N18">
        <v>1</v>
      </c>
      <c r="O18">
        <f t="shared" si="0"/>
        <v>2003</v>
      </c>
    </row>
    <row r="19" spans="1:15">
      <c r="A19">
        <v>2250</v>
      </c>
      <c r="B19">
        <v>0</v>
      </c>
      <c r="C19" t="s">
        <v>263</v>
      </c>
      <c r="D19">
        <v>0</v>
      </c>
      <c r="E19">
        <v>8.43421</v>
      </c>
      <c r="F19">
        <v>11.81</v>
      </c>
      <c r="G19">
        <v>785.174</v>
      </c>
      <c r="H19" s="1">
        <v>37769</v>
      </c>
      <c r="I19" s="1">
        <v>37770</v>
      </c>
      <c r="J19" t="s">
        <v>15</v>
      </c>
      <c r="K19">
        <v>1</v>
      </c>
      <c r="L19">
        <v>800</v>
      </c>
      <c r="M19" t="s">
        <v>18</v>
      </c>
      <c r="N19">
        <v>1</v>
      </c>
      <c r="O19">
        <f t="shared" si="0"/>
        <v>2003</v>
      </c>
    </row>
    <row r="20" spans="1:15">
      <c r="A20">
        <v>2290</v>
      </c>
      <c r="B20">
        <v>0</v>
      </c>
      <c r="C20" t="s">
        <v>263</v>
      </c>
      <c r="D20">
        <v>0</v>
      </c>
      <c r="E20">
        <v>8.94298</v>
      </c>
      <c r="F20">
        <v>6.28577</v>
      </c>
      <c r="G20">
        <v>8171.95</v>
      </c>
      <c r="H20" s="1">
        <v>37825</v>
      </c>
      <c r="I20" s="1">
        <v>37827</v>
      </c>
      <c r="J20" t="s">
        <v>15</v>
      </c>
      <c r="K20">
        <v>5</v>
      </c>
      <c r="L20">
        <v>0</v>
      </c>
      <c r="M20" t="s">
        <v>16</v>
      </c>
      <c r="N20">
        <v>1</v>
      </c>
      <c r="O20">
        <f t="shared" si="0"/>
        <v>2003</v>
      </c>
    </row>
    <row r="21" spans="1:15">
      <c r="A21">
        <v>2293</v>
      </c>
      <c r="B21">
        <v>0</v>
      </c>
      <c r="C21" t="s">
        <v>263</v>
      </c>
      <c r="D21">
        <v>0</v>
      </c>
      <c r="E21">
        <v>11.1736</v>
      </c>
      <c r="F21">
        <v>10.1997</v>
      </c>
      <c r="G21">
        <v>1524.21</v>
      </c>
      <c r="H21" s="1">
        <v>37824</v>
      </c>
      <c r="I21" s="1">
        <v>37826</v>
      </c>
      <c r="J21" t="s">
        <v>15</v>
      </c>
      <c r="K21">
        <v>0</v>
      </c>
      <c r="L21">
        <v>160</v>
      </c>
      <c r="M21" t="s">
        <v>16</v>
      </c>
      <c r="N21">
        <v>1</v>
      </c>
      <c r="O21">
        <f t="shared" si="0"/>
        <v>2003</v>
      </c>
    </row>
    <row r="22" spans="1:15">
      <c r="A22">
        <v>2294</v>
      </c>
      <c r="B22">
        <v>0</v>
      </c>
      <c r="C22" t="s">
        <v>263</v>
      </c>
      <c r="D22">
        <v>0</v>
      </c>
      <c r="E22">
        <v>9.13461</v>
      </c>
      <c r="F22">
        <v>6.92886</v>
      </c>
      <c r="G22">
        <v>2626.51</v>
      </c>
      <c r="H22" s="1">
        <v>37829</v>
      </c>
      <c r="I22" s="1">
        <v>37829</v>
      </c>
      <c r="J22" t="s">
        <v>15</v>
      </c>
      <c r="K22">
        <v>2</v>
      </c>
      <c r="L22">
        <v>3000</v>
      </c>
      <c r="M22" t="s">
        <v>16</v>
      </c>
      <c r="N22">
        <v>1</v>
      </c>
      <c r="O22">
        <f t="shared" si="0"/>
        <v>2003</v>
      </c>
    </row>
    <row r="23" spans="1:15">
      <c r="A23">
        <v>2311</v>
      </c>
      <c r="B23">
        <v>0</v>
      </c>
      <c r="C23" t="s">
        <v>263</v>
      </c>
      <c r="D23">
        <v>0</v>
      </c>
      <c r="E23">
        <v>4.73527</v>
      </c>
      <c r="F23">
        <v>12.3948</v>
      </c>
      <c r="G23">
        <v>138852.9</v>
      </c>
      <c r="H23" s="1">
        <v>37838</v>
      </c>
      <c r="I23" s="1">
        <v>37906</v>
      </c>
      <c r="J23" t="s">
        <v>15</v>
      </c>
      <c r="K23">
        <v>7</v>
      </c>
      <c r="L23">
        <v>10000</v>
      </c>
      <c r="M23" t="s">
        <v>16</v>
      </c>
      <c r="N23">
        <v>1</v>
      </c>
      <c r="O23">
        <f t="shared" si="0"/>
        <v>2003</v>
      </c>
    </row>
    <row r="24" spans="1:15">
      <c r="A24">
        <v>2314</v>
      </c>
      <c r="B24">
        <v>0</v>
      </c>
      <c r="C24" t="s">
        <v>263</v>
      </c>
      <c r="D24">
        <v>0</v>
      </c>
      <c r="E24">
        <v>10.0128</v>
      </c>
      <c r="F24">
        <v>12.6343</v>
      </c>
      <c r="G24">
        <v>19628.97</v>
      </c>
      <c r="H24" s="1">
        <v>37838</v>
      </c>
      <c r="I24" s="1">
        <v>37906</v>
      </c>
      <c r="J24" t="s">
        <v>15</v>
      </c>
      <c r="K24">
        <v>7</v>
      </c>
      <c r="L24">
        <v>10000</v>
      </c>
      <c r="M24" t="s">
        <v>16</v>
      </c>
      <c r="N24">
        <v>1</v>
      </c>
      <c r="O24">
        <f t="shared" si="0"/>
        <v>2003</v>
      </c>
    </row>
    <row r="25" spans="1:15">
      <c r="A25">
        <v>2345</v>
      </c>
      <c r="B25">
        <v>0</v>
      </c>
      <c r="C25" t="s">
        <v>263</v>
      </c>
      <c r="D25">
        <v>0</v>
      </c>
      <c r="E25">
        <v>7.48686</v>
      </c>
      <c r="F25">
        <v>10.5143</v>
      </c>
      <c r="G25">
        <v>134916.26</v>
      </c>
      <c r="H25" s="1">
        <v>37869</v>
      </c>
      <c r="I25" s="1">
        <v>37922</v>
      </c>
      <c r="J25" t="s">
        <v>15</v>
      </c>
      <c r="K25">
        <v>16</v>
      </c>
      <c r="L25">
        <v>210000</v>
      </c>
      <c r="M25" t="s">
        <v>16</v>
      </c>
      <c r="N25">
        <v>1</v>
      </c>
      <c r="O25">
        <f t="shared" si="0"/>
        <v>2003</v>
      </c>
    </row>
    <row r="26" spans="1:15">
      <c r="A26">
        <v>2361</v>
      </c>
      <c r="B26">
        <v>0</v>
      </c>
      <c r="C26" t="s">
        <v>263</v>
      </c>
      <c r="D26">
        <v>0</v>
      </c>
      <c r="E26">
        <v>11.9235</v>
      </c>
      <c r="F26">
        <v>8.87752</v>
      </c>
      <c r="G26">
        <v>137750</v>
      </c>
      <c r="H26" s="1">
        <v>37886</v>
      </c>
      <c r="I26" s="1">
        <v>37904</v>
      </c>
      <c r="J26" t="s">
        <v>15</v>
      </c>
      <c r="K26">
        <v>28</v>
      </c>
      <c r="L26">
        <v>1000</v>
      </c>
      <c r="M26" t="s">
        <v>16</v>
      </c>
      <c r="N26">
        <v>1</v>
      </c>
      <c r="O26">
        <f t="shared" si="0"/>
        <v>2003</v>
      </c>
    </row>
    <row r="27" spans="1:15">
      <c r="A27">
        <v>2503</v>
      </c>
      <c r="B27">
        <v>0</v>
      </c>
      <c r="C27" t="s">
        <v>263</v>
      </c>
      <c r="D27">
        <v>0</v>
      </c>
      <c r="E27">
        <v>3.48641</v>
      </c>
      <c r="F27">
        <v>6.4901</v>
      </c>
      <c r="G27">
        <v>337.173</v>
      </c>
      <c r="H27" s="1">
        <v>38155</v>
      </c>
      <c r="I27" s="1">
        <v>38156</v>
      </c>
      <c r="J27" t="s">
        <v>15</v>
      </c>
      <c r="K27">
        <v>0</v>
      </c>
      <c r="L27">
        <v>0</v>
      </c>
      <c r="M27" t="s">
        <v>16</v>
      </c>
      <c r="N27">
        <v>1</v>
      </c>
      <c r="O27">
        <f t="shared" si="0"/>
        <v>2004</v>
      </c>
    </row>
    <row r="28" spans="1:15">
      <c r="A28">
        <v>2509</v>
      </c>
      <c r="B28">
        <v>0</v>
      </c>
      <c r="C28" t="s">
        <v>263</v>
      </c>
      <c r="D28">
        <v>0</v>
      </c>
      <c r="E28">
        <v>9.72517</v>
      </c>
      <c r="F28">
        <v>12.4118</v>
      </c>
      <c r="G28">
        <v>8716.04</v>
      </c>
      <c r="H28" s="1">
        <v>38160</v>
      </c>
      <c r="I28" s="1">
        <v>38163</v>
      </c>
      <c r="J28" t="s">
        <v>15</v>
      </c>
      <c r="K28">
        <v>0</v>
      </c>
      <c r="L28">
        <v>300</v>
      </c>
      <c r="M28" t="s">
        <v>16</v>
      </c>
      <c r="N28">
        <v>1</v>
      </c>
      <c r="O28">
        <f t="shared" si="0"/>
        <v>2004</v>
      </c>
    </row>
    <row r="29" spans="1:15">
      <c r="A29">
        <v>2545</v>
      </c>
      <c r="B29">
        <v>0</v>
      </c>
      <c r="C29" t="s">
        <v>263</v>
      </c>
      <c r="D29">
        <v>0</v>
      </c>
      <c r="E29">
        <v>6.00639</v>
      </c>
      <c r="F29">
        <v>5.5144</v>
      </c>
      <c r="G29">
        <v>517.871</v>
      </c>
      <c r="H29" s="1">
        <v>38207</v>
      </c>
      <c r="I29" s="1">
        <v>38209</v>
      </c>
      <c r="J29" t="s">
        <v>15</v>
      </c>
      <c r="K29">
        <v>0</v>
      </c>
      <c r="L29">
        <v>15000</v>
      </c>
      <c r="M29" t="s">
        <v>16</v>
      </c>
      <c r="N29">
        <v>1</v>
      </c>
      <c r="O29">
        <f t="shared" si="0"/>
        <v>2004</v>
      </c>
    </row>
    <row r="30" spans="1:15">
      <c r="A30">
        <v>2546</v>
      </c>
      <c r="B30">
        <v>0</v>
      </c>
      <c r="C30" t="s">
        <v>263</v>
      </c>
      <c r="D30">
        <v>0</v>
      </c>
      <c r="E30">
        <v>12.7303</v>
      </c>
      <c r="F30">
        <v>10.0552</v>
      </c>
      <c r="G30">
        <v>5488.44</v>
      </c>
      <c r="H30" s="1">
        <v>38207</v>
      </c>
      <c r="I30" s="1">
        <v>38211</v>
      </c>
      <c r="J30" t="s">
        <v>15</v>
      </c>
      <c r="K30">
        <v>65</v>
      </c>
      <c r="L30">
        <v>2500</v>
      </c>
      <c r="M30" t="s">
        <v>16</v>
      </c>
      <c r="N30">
        <v>1</v>
      </c>
      <c r="O30">
        <f t="shared" si="0"/>
        <v>2004</v>
      </c>
    </row>
    <row r="31" spans="1:15">
      <c r="A31">
        <v>2553</v>
      </c>
      <c r="B31">
        <v>0</v>
      </c>
      <c r="C31" t="s">
        <v>263</v>
      </c>
      <c r="D31">
        <v>0</v>
      </c>
      <c r="E31">
        <v>11.1989</v>
      </c>
      <c r="F31">
        <v>10.4041</v>
      </c>
      <c r="G31">
        <v>20780.32</v>
      </c>
      <c r="H31" s="1">
        <v>38220</v>
      </c>
      <c r="I31" s="1">
        <v>38222</v>
      </c>
      <c r="J31" t="s">
        <v>15</v>
      </c>
      <c r="K31">
        <v>25</v>
      </c>
      <c r="L31">
        <v>3000</v>
      </c>
      <c r="M31" t="s">
        <v>16</v>
      </c>
      <c r="N31">
        <v>1</v>
      </c>
      <c r="O31">
        <f t="shared" si="0"/>
        <v>2004</v>
      </c>
    </row>
    <row r="32" spans="1:15">
      <c r="A32">
        <v>2721</v>
      </c>
      <c r="B32">
        <v>0</v>
      </c>
      <c r="C32" t="s">
        <v>263</v>
      </c>
      <c r="D32">
        <v>0</v>
      </c>
      <c r="E32">
        <v>10.9053</v>
      </c>
      <c r="F32">
        <v>10.6656</v>
      </c>
      <c r="G32">
        <v>159497.37</v>
      </c>
      <c r="H32" s="1">
        <v>38571</v>
      </c>
      <c r="I32" s="1">
        <v>38611</v>
      </c>
      <c r="J32" t="s">
        <v>15</v>
      </c>
      <c r="K32">
        <v>3</v>
      </c>
      <c r="L32">
        <v>7</v>
      </c>
      <c r="M32" t="s">
        <v>16</v>
      </c>
      <c r="N32">
        <v>1</v>
      </c>
      <c r="O32">
        <f t="shared" si="0"/>
        <v>2005</v>
      </c>
    </row>
    <row r="33" spans="1:15">
      <c r="A33">
        <v>2739</v>
      </c>
      <c r="B33">
        <v>0</v>
      </c>
      <c r="C33" t="s">
        <v>263</v>
      </c>
      <c r="D33">
        <v>0</v>
      </c>
      <c r="E33">
        <v>10.4374</v>
      </c>
      <c r="F33">
        <v>12.5706</v>
      </c>
      <c r="G33">
        <v>11553.11</v>
      </c>
      <c r="H33" s="1">
        <v>38621</v>
      </c>
      <c r="I33" s="1">
        <v>38624</v>
      </c>
      <c r="J33" t="s">
        <v>15</v>
      </c>
      <c r="K33">
        <v>0</v>
      </c>
      <c r="L33">
        <v>1500</v>
      </c>
      <c r="M33" t="s">
        <v>16</v>
      </c>
      <c r="N33">
        <v>1</v>
      </c>
      <c r="O33">
        <f t="shared" si="0"/>
        <v>2005</v>
      </c>
    </row>
    <row r="34" spans="1:15">
      <c r="A34">
        <v>2925</v>
      </c>
      <c r="B34">
        <v>0</v>
      </c>
      <c r="C34" t="s">
        <v>263</v>
      </c>
      <c r="D34">
        <v>0</v>
      </c>
      <c r="E34">
        <v>6.3487</v>
      </c>
      <c r="F34">
        <v>6.9447</v>
      </c>
      <c r="G34">
        <v>724.352</v>
      </c>
      <c r="H34" s="1">
        <v>38913</v>
      </c>
      <c r="I34" s="1">
        <v>38915</v>
      </c>
      <c r="J34" t="s">
        <v>15</v>
      </c>
      <c r="K34">
        <v>0</v>
      </c>
      <c r="L34">
        <v>2000</v>
      </c>
      <c r="M34" t="s">
        <v>16</v>
      </c>
      <c r="N34">
        <v>1</v>
      </c>
      <c r="O34">
        <f t="shared" si="0"/>
        <v>2006</v>
      </c>
    </row>
    <row r="35" spans="1:15">
      <c r="A35">
        <v>2928</v>
      </c>
      <c r="B35">
        <v>0</v>
      </c>
      <c r="C35" t="s">
        <v>263</v>
      </c>
      <c r="D35">
        <v>0</v>
      </c>
      <c r="E35">
        <v>7.17056</v>
      </c>
      <c r="F35">
        <v>9.08112</v>
      </c>
      <c r="G35">
        <v>1851.09</v>
      </c>
      <c r="H35" s="1">
        <v>38916</v>
      </c>
      <c r="I35" s="1">
        <v>38918</v>
      </c>
      <c r="J35" t="s">
        <v>15</v>
      </c>
      <c r="K35">
        <v>4</v>
      </c>
      <c r="L35">
        <v>40</v>
      </c>
      <c r="M35" t="s">
        <v>16</v>
      </c>
      <c r="N35">
        <v>1</v>
      </c>
      <c r="O35">
        <f t="shared" ref="O35:O69" si="1">YEAR(H35)</f>
        <v>2006</v>
      </c>
    </row>
    <row r="36" spans="1:15">
      <c r="A36">
        <v>2967</v>
      </c>
      <c r="B36">
        <v>0</v>
      </c>
      <c r="C36" t="s">
        <v>263</v>
      </c>
      <c r="D36">
        <v>0</v>
      </c>
      <c r="E36">
        <v>5.34617</v>
      </c>
      <c r="F36">
        <v>8.16231</v>
      </c>
      <c r="G36">
        <v>869.89</v>
      </c>
      <c r="H36" s="1">
        <v>38972</v>
      </c>
      <c r="I36" s="1">
        <v>38973</v>
      </c>
      <c r="J36" t="s">
        <v>15</v>
      </c>
      <c r="K36">
        <v>20</v>
      </c>
      <c r="L36">
        <v>0</v>
      </c>
      <c r="M36" t="s">
        <v>18</v>
      </c>
      <c r="N36">
        <v>1</v>
      </c>
      <c r="O36">
        <f t="shared" si="1"/>
        <v>2006</v>
      </c>
    </row>
    <row r="37" spans="1:15">
      <c r="A37">
        <v>3148</v>
      </c>
      <c r="B37" t="s">
        <v>755</v>
      </c>
      <c r="C37" t="s">
        <v>263</v>
      </c>
      <c r="D37">
        <v>0</v>
      </c>
      <c r="E37">
        <v>3.29858</v>
      </c>
      <c r="F37">
        <v>6.958</v>
      </c>
      <c r="G37">
        <v>5268.18</v>
      </c>
      <c r="H37" s="1">
        <v>39295</v>
      </c>
      <c r="I37" s="1">
        <v>39309</v>
      </c>
      <c r="J37" t="s">
        <v>15</v>
      </c>
      <c r="K37">
        <v>6</v>
      </c>
      <c r="L37">
        <v>5000</v>
      </c>
      <c r="M37" t="s">
        <v>16</v>
      </c>
      <c r="N37">
        <v>1</v>
      </c>
      <c r="O37">
        <f t="shared" si="1"/>
        <v>2007</v>
      </c>
    </row>
    <row r="38" spans="1:15">
      <c r="A38">
        <v>3151</v>
      </c>
      <c r="B38" t="s">
        <v>755</v>
      </c>
      <c r="C38" t="s">
        <v>263</v>
      </c>
      <c r="D38">
        <v>0</v>
      </c>
      <c r="E38">
        <v>11.7484</v>
      </c>
      <c r="F38">
        <v>10.2921</v>
      </c>
      <c r="G38">
        <v>630120.85</v>
      </c>
      <c r="H38" s="1">
        <v>39298</v>
      </c>
      <c r="I38" s="1">
        <v>39376</v>
      </c>
      <c r="J38" t="s">
        <v>15</v>
      </c>
      <c r="K38">
        <v>101</v>
      </c>
      <c r="L38">
        <v>140000</v>
      </c>
      <c r="M38" t="s">
        <v>16</v>
      </c>
      <c r="N38">
        <v>1</v>
      </c>
      <c r="O38">
        <f t="shared" si="1"/>
        <v>2007</v>
      </c>
    </row>
    <row r="39" spans="1:15">
      <c r="A39">
        <v>3540</v>
      </c>
      <c r="B39">
        <v>0</v>
      </c>
      <c r="C39" t="s">
        <v>263</v>
      </c>
      <c r="D39">
        <v>0</v>
      </c>
      <c r="E39">
        <v>5.68204</v>
      </c>
      <c r="F39">
        <v>12.2596</v>
      </c>
      <c r="G39">
        <v>64200.98</v>
      </c>
      <c r="H39" s="1">
        <v>40066</v>
      </c>
      <c r="I39" s="1">
        <v>40074</v>
      </c>
      <c r="J39">
        <v>0</v>
      </c>
      <c r="K39">
        <v>0</v>
      </c>
      <c r="L39">
        <v>3000</v>
      </c>
      <c r="M39" t="s">
        <v>49</v>
      </c>
      <c r="N39">
        <v>2</v>
      </c>
      <c r="O39">
        <f t="shared" si="1"/>
        <v>2009</v>
      </c>
    </row>
    <row r="40" spans="1:15">
      <c r="A40">
        <v>3555</v>
      </c>
      <c r="B40">
        <v>0</v>
      </c>
      <c r="C40" t="s">
        <v>263</v>
      </c>
      <c r="D40">
        <v>0</v>
      </c>
      <c r="E40">
        <v>6.5097</v>
      </c>
      <c r="F40">
        <v>5.54356</v>
      </c>
      <c r="G40">
        <v>53018.49</v>
      </c>
      <c r="H40" s="1">
        <v>40106</v>
      </c>
      <c r="I40" s="1">
        <v>40112</v>
      </c>
      <c r="J40">
        <v>0</v>
      </c>
      <c r="K40">
        <v>0</v>
      </c>
      <c r="L40">
        <v>5000</v>
      </c>
      <c r="M40" t="s">
        <v>49</v>
      </c>
      <c r="N40">
        <v>1</v>
      </c>
      <c r="O40">
        <f t="shared" si="1"/>
        <v>2009</v>
      </c>
    </row>
    <row r="41" spans="1:15">
      <c r="A41">
        <v>3715</v>
      </c>
      <c r="B41">
        <v>0</v>
      </c>
      <c r="C41" t="s">
        <v>263</v>
      </c>
      <c r="D41">
        <v>0</v>
      </c>
      <c r="E41">
        <v>4.5</v>
      </c>
      <c r="F41">
        <v>12.78</v>
      </c>
      <c r="G41">
        <v>8694.6</v>
      </c>
      <c r="H41" s="1">
        <v>40434</v>
      </c>
      <c r="I41" s="1">
        <v>40451</v>
      </c>
      <c r="J41" t="s">
        <v>15</v>
      </c>
      <c r="K41">
        <v>40</v>
      </c>
      <c r="L41">
        <v>10000</v>
      </c>
      <c r="M41" t="s">
        <v>756</v>
      </c>
      <c r="N41">
        <v>1.5</v>
      </c>
      <c r="O41">
        <f t="shared" si="1"/>
        <v>2010</v>
      </c>
    </row>
    <row r="42" spans="1:15">
      <c r="A42">
        <v>3839</v>
      </c>
      <c r="C42" t="s">
        <v>263</v>
      </c>
      <c r="E42">
        <v>8.6417</v>
      </c>
      <c r="F42">
        <v>12.5947</v>
      </c>
      <c r="G42">
        <v>103000.35</v>
      </c>
      <c r="H42" s="1">
        <v>40739</v>
      </c>
      <c r="I42" s="1">
        <v>40746</v>
      </c>
      <c r="J42" t="s">
        <v>15</v>
      </c>
      <c r="K42">
        <v>13</v>
      </c>
      <c r="L42">
        <v>1000</v>
      </c>
      <c r="M42" t="s">
        <v>49</v>
      </c>
      <c r="N42">
        <v>1.5</v>
      </c>
      <c r="O42">
        <f t="shared" si="1"/>
        <v>2011</v>
      </c>
    </row>
    <row r="43" spans="1:15">
      <c r="A43">
        <v>3860</v>
      </c>
      <c r="C43" t="s">
        <v>263</v>
      </c>
      <c r="E43">
        <v>4.47296</v>
      </c>
      <c r="F43">
        <v>8.73715</v>
      </c>
      <c r="G43">
        <v>20013.55</v>
      </c>
      <c r="H43" s="1">
        <v>40781</v>
      </c>
      <c r="I43" s="1">
        <v>40794</v>
      </c>
      <c r="J43" t="s">
        <v>15</v>
      </c>
      <c r="K43">
        <v>20</v>
      </c>
      <c r="L43">
        <v>3000</v>
      </c>
      <c r="M43" t="s">
        <v>52</v>
      </c>
      <c r="N43">
        <v>1.5</v>
      </c>
      <c r="O43">
        <f t="shared" si="1"/>
        <v>2011</v>
      </c>
    </row>
    <row r="44" spans="1:15">
      <c r="A44">
        <v>3901</v>
      </c>
      <c r="C44" t="s">
        <v>263</v>
      </c>
      <c r="D44" t="s">
        <v>236</v>
      </c>
      <c r="E44">
        <v>12.8074</v>
      </c>
      <c r="F44">
        <v>9.85967</v>
      </c>
      <c r="G44">
        <v>50438.09</v>
      </c>
      <c r="H44" s="1">
        <v>40959</v>
      </c>
      <c r="I44" s="1">
        <v>40966</v>
      </c>
      <c r="J44" t="s">
        <v>15</v>
      </c>
      <c r="K44">
        <v>5</v>
      </c>
      <c r="L44">
        <v>300</v>
      </c>
      <c r="M44" t="s">
        <v>49</v>
      </c>
      <c r="N44">
        <v>1</v>
      </c>
      <c r="O44">
        <f t="shared" si="1"/>
        <v>2012</v>
      </c>
    </row>
    <row r="45" spans="1:15">
      <c r="A45">
        <v>3954</v>
      </c>
      <c r="C45" t="s">
        <v>263</v>
      </c>
      <c r="E45">
        <v>8.0195</v>
      </c>
      <c r="F45">
        <v>10.5918</v>
      </c>
      <c r="G45">
        <v>45292.27</v>
      </c>
      <c r="H45" s="1">
        <v>41112</v>
      </c>
      <c r="I45" s="1">
        <v>41115</v>
      </c>
      <c r="J45" t="s">
        <v>15</v>
      </c>
      <c r="K45">
        <v>50</v>
      </c>
      <c r="L45">
        <v>2000</v>
      </c>
      <c r="M45" t="s">
        <v>49</v>
      </c>
      <c r="N45">
        <v>1.5</v>
      </c>
      <c r="O45">
        <f t="shared" si="1"/>
        <v>2012</v>
      </c>
    </row>
    <row r="46" spans="1:15">
      <c r="A46">
        <v>3964</v>
      </c>
      <c r="C46" t="s">
        <v>263</v>
      </c>
      <c r="E46">
        <v>11.2812</v>
      </c>
      <c r="F46">
        <v>7.42738</v>
      </c>
      <c r="G46">
        <v>16652.25</v>
      </c>
      <c r="H46" s="1">
        <v>41123</v>
      </c>
      <c r="I46" s="1">
        <v>41127</v>
      </c>
      <c r="J46" t="s">
        <v>15</v>
      </c>
      <c r="K46">
        <v>0</v>
      </c>
      <c r="L46">
        <v>3000</v>
      </c>
      <c r="M46" t="s">
        <v>52</v>
      </c>
      <c r="N46">
        <v>1.5</v>
      </c>
      <c r="O46">
        <f t="shared" si="1"/>
        <v>2012</v>
      </c>
    </row>
    <row r="47" spans="1:15">
      <c r="A47">
        <v>3972</v>
      </c>
      <c r="C47" t="s">
        <v>263</v>
      </c>
      <c r="E47">
        <v>4.12488</v>
      </c>
      <c r="F47">
        <v>14.316</v>
      </c>
      <c r="G47">
        <v>48922.93</v>
      </c>
      <c r="H47" s="1">
        <v>41145</v>
      </c>
      <c r="I47" s="1">
        <v>41150</v>
      </c>
      <c r="J47" t="s">
        <v>15</v>
      </c>
      <c r="K47">
        <v>10</v>
      </c>
      <c r="L47">
        <v>20000</v>
      </c>
      <c r="M47" t="s">
        <v>52</v>
      </c>
      <c r="N47">
        <v>1.5</v>
      </c>
      <c r="O47">
        <f t="shared" si="1"/>
        <v>2012</v>
      </c>
    </row>
    <row r="48" spans="1:15">
      <c r="A48">
        <v>3976</v>
      </c>
      <c r="C48" t="s">
        <v>263</v>
      </c>
      <c r="D48" t="s">
        <v>236</v>
      </c>
      <c r="E48">
        <v>12.1089</v>
      </c>
      <c r="F48">
        <v>9.30166</v>
      </c>
      <c r="G48">
        <v>96830.55</v>
      </c>
      <c r="H48" s="1">
        <v>41146</v>
      </c>
      <c r="I48" s="1">
        <v>41178</v>
      </c>
      <c r="J48" t="s">
        <v>15</v>
      </c>
      <c r="K48">
        <v>127</v>
      </c>
      <c r="L48">
        <v>20000</v>
      </c>
      <c r="M48" t="s">
        <v>49</v>
      </c>
      <c r="N48">
        <v>1.5</v>
      </c>
      <c r="O48">
        <f t="shared" si="1"/>
        <v>2012</v>
      </c>
    </row>
    <row r="49" spans="1:15">
      <c r="A49">
        <v>3988</v>
      </c>
      <c r="C49" t="s">
        <v>263</v>
      </c>
      <c r="E49">
        <v>6.33994</v>
      </c>
      <c r="F49">
        <v>5.50441</v>
      </c>
      <c r="G49">
        <v>12538.4</v>
      </c>
      <c r="H49" s="1">
        <v>41167</v>
      </c>
      <c r="I49" s="1">
        <v>41211</v>
      </c>
      <c r="J49" t="s">
        <v>15</v>
      </c>
      <c r="K49">
        <v>148</v>
      </c>
      <c r="L49">
        <v>64000</v>
      </c>
      <c r="M49" t="s">
        <v>49</v>
      </c>
      <c r="N49">
        <v>2</v>
      </c>
      <c r="O49">
        <f t="shared" si="1"/>
        <v>2012</v>
      </c>
    </row>
    <row r="50" spans="1:15">
      <c r="A50">
        <v>4088</v>
      </c>
      <c r="C50" t="s">
        <v>263</v>
      </c>
      <c r="E50">
        <v>7.63747</v>
      </c>
      <c r="F50">
        <v>10.5244</v>
      </c>
      <c r="G50">
        <v>178191.77</v>
      </c>
      <c r="H50" s="1">
        <v>41527</v>
      </c>
      <c r="I50" s="1">
        <v>41533</v>
      </c>
      <c r="J50" t="s">
        <v>15</v>
      </c>
      <c r="K50">
        <v>0</v>
      </c>
      <c r="L50">
        <v>300</v>
      </c>
      <c r="M50" t="s">
        <v>52</v>
      </c>
      <c r="N50">
        <v>1.5</v>
      </c>
      <c r="O50">
        <f t="shared" si="1"/>
        <v>2013</v>
      </c>
    </row>
    <row r="51" spans="1:15">
      <c r="A51">
        <v>4294</v>
      </c>
      <c r="C51" t="s">
        <v>263</v>
      </c>
      <c r="E51">
        <v>11.5284</v>
      </c>
      <c r="F51">
        <v>9.95267</v>
      </c>
      <c r="G51">
        <v>186816.02</v>
      </c>
      <c r="H51" s="1">
        <v>42246</v>
      </c>
      <c r="I51" s="1">
        <v>42258</v>
      </c>
      <c r="J51" t="s">
        <v>15</v>
      </c>
      <c r="K51">
        <v>30</v>
      </c>
      <c r="L51">
        <v>2000</v>
      </c>
      <c r="M51" t="s">
        <v>49</v>
      </c>
      <c r="N51">
        <v>1.5</v>
      </c>
      <c r="O51">
        <f t="shared" si="1"/>
        <v>2015</v>
      </c>
    </row>
    <row r="52" spans="1:15">
      <c r="A52">
        <v>4492</v>
      </c>
      <c r="C52" t="s">
        <v>263</v>
      </c>
      <c r="E52">
        <v>7.19827</v>
      </c>
      <c r="F52">
        <v>10.079</v>
      </c>
      <c r="G52">
        <v>24144.9</v>
      </c>
      <c r="H52" s="1">
        <v>42924</v>
      </c>
      <c r="I52" s="1">
        <v>42931</v>
      </c>
      <c r="J52" t="s">
        <v>15</v>
      </c>
      <c r="K52">
        <v>8</v>
      </c>
      <c r="L52">
        <v>0</v>
      </c>
      <c r="M52" t="s">
        <v>52</v>
      </c>
      <c r="N52">
        <v>1.5</v>
      </c>
      <c r="O52">
        <f t="shared" si="1"/>
        <v>2017</v>
      </c>
    </row>
    <row r="53" spans="1:15">
      <c r="A53">
        <v>4517</v>
      </c>
      <c r="B53" t="s">
        <v>757</v>
      </c>
      <c r="C53" t="s">
        <v>263</v>
      </c>
      <c r="E53">
        <v>9.44993</v>
      </c>
      <c r="F53">
        <v>8.16896</v>
      </c>
      <c r="G53">
        <v>86946.56</v>
      </c>
      <c r="H53" s="1">
        <v>42979</v>
      </c>
      <c r="I53" s="1">
        <v>42997</v>
      </c>
      <c r="J53" t="s">
        <v>15</v>
      </c>
      <c r="K53">
        <v>0</v>
      </c>
      <c r="L53">
        <v>10000</v>
      </c>
      <c r="M53" t="s">
        <v>49</v>
      </c>
      <c r="N53">
        <v>1</v>
      </c>
      <c r="O53">
        <f t="shared" si="1"/>
        <v>2017</v>
      </c>
    </row>
    <row r="54" spans="1:15">
      <c r="A54">
        <v>4649</v>
      </c>
      <c r="C54" t="s">
        <v>263</v>
      </c>
      <c r="E54">
        <v>4.37751</v>
      </c>
      <c r="F54">
        <v>6.60889</v>
      </c>
      <c r="G54">
        <v>62900.45</v>
      </c>
      <c r="H54" s="1">
        <v>43294</v>
      </c>
      <c r="I54" s="1">
        <v>43298</v>
      </c>
      <c r="J54" t="s">
        <v>56</v>
      </c>
      <c r="K54">
        <v>48</v>
      </c>
      <c r="L54">
        <v>0</v>
      </c>
      <c r="M54" t="s">
        <v>52</v>
      </c>
      <c r="N54">
        <v>2</v>
      </c>
      <c r="O54">
        <f t="shared" si="1"/>
        <v>2018</v>
      </c>
    </row>
    <row r="55" spans="1:15">
      <c r="A55">
        <v>4667</v>
      </c>
      <c r="C55" t="s">
        <v>263</v>
      </c>
      <c r="E55">
        <v>8.2375</v>
      </c>
      <c r="F55">
        <v>10.4748</v>
      </c>
      <c r="G55">
        <v>257477.37</v>
      </c>
      <c r="H55" s="1">
        <v>43332</v>
      </c>
      <c r="I55" s="1">
        <v>43375</v>
      </c>
      <c r="J55" t="s">
        <v>56</v>
      </c>
      <c r="K55">
        <v>108</v>
      </c>
      <c r="L55">
        <v>148000</v>
      </c>
      <c r="M55" t="s">
        <v>49</v>
      </c>
      <c r="N55">
        <v>2</v>
      </c>
      <c r="O55">
        <f t="shared" si="1"/>
        <v>2018</v>
      </c>
    </row>
    <row r="56" spans="1:15">
      <c r="A56">
        <v>4782</v>
      </c>
      <c r="C56" t="s">
        <v>263</v>
      </c>
      <c r="E56">
        <v>12.6418</v>
      </c>
      <c r="F56">
        <v>9.80315</v>
      </c>
      <c r="G56">
        <v>106018.64</v>
      </c>
      <c r="H56" s="1">
        <v>43678</v>
      </c>
      <c r="I56" s="1">
        <v>43686</v>
      </c>
      <c r="J56" t="s">
        <v>56</v>
      </c>
      <c r="K56">
        <v>7</v>
      </c>
      <c r="L56">
        <v>6000</v>
      </c>
      <c r="M56" t="s">
        <v>49</v>
      </c>
      <c r="N56">
        <v>1.5</v>
      </c>
      <c r="O56">
        <f t="shared" si="1"/>
        <v>2019</v>
      </c>
    </row>
    <row r="57" spans="1:15">
      <c r="A57">
        <v>4794</v>
      </c>
      <c r="C57" t="s">
        <v>263</v>
      </c>
      <c r="D57" t="s">
        <v>221</v>
      </c>
      <c r="E57">
        <v>9.42519</v>
      </c>
      <c r="F57">
        <v>12.7565</v>
      </c>
      <c r="G57">
        <v>1048396.98</v>
      </c>
      <c r="H57" s="1">
        <v>43709</v>
      </c>
      <c r="I57" s="1">
        <v>43722</v>
      </c>
      <c r="J57" t="s">
        <v>56</v>
      </c>
      <c r="K57">
        <v>57</v>
      </c>
      <c r="L57">
        <v>50000</v>
      </c>
      <c r="M57" t="s">
        <v>49</v>
      </c>
      <c r="N57">
        <v>1.5</v>
      </c>
      <c r="O57">
        <f t="shared" si="1"/>
        <v>2019</v>
      </c>
    </row>
    <row r="58" spans="1:15">
      <c r="A58">
        <v>4805</v>
      </c>
      <c r="C58" t="s">
        <v>263</v>
      </c>
      <c r="E58">
        <v>6.90135</v>
      </c>
      <c r="F58">
        <v>7.69921</v>
      </c>
      <c r="G58">
        <v>88014.67</v>
      </c>
      <c r="H58" s="1">
        <v>43733</v>
      </c>
      <c r="I58" s="1">
        <v>43753</v>
      </c>
      <c r="J58" t="s">
        <v>56</v>
      </c>
      <c r="K58">
        <v>2</v>
      </c>
      <c r="L58">
        <v>20000</v>
      </c>
      <c r="M58" t="s">
        <v>49</v>
      </c>
      <c r="N58">
        <v>1.5</v>
      </c>
      <c r="O58">
        <f t="shared" si="1"/>
        <v>2019</v>
      </c>
    </row>
    <row r="59" spans="1:15">
      <c r="A59">
        <v>4820</v>
      </c>
      <c r="C59" t="s">
        <v>263</v>
      </c>
      <c r="E59">
        <v>7.51994</v>
      </c>
      <c r="F59">
        <v>7.92221</v>
      </c>
      <c r="G59">
        <v>229359.19</v>
      </c>
      <c r="H59" s="1">
        <v>43753</v>
      </c>
      <c r="I59" s="1">
        <v>43788</v>
      </c>
      <c r="J59" t="s">
        <v>56</v>
      </c>
      <c r="K59">
        <v>18</v>
      </c>
      <c r="L59">
        <v>42000</v>
      </c>
      <c r="M59" t="s">
        <v>49</v>
      </c>
      <c r="N59">
        <v>2</v>
      </c>
      <c r="O59">
        <f t="shared" si="1"/>
        <v>2019</v>
      </c>
    </row>
    <row r="60" spans="1:15">
      <c r="A60">
        <v>4960</v>
      </c>
      <c r="C60" t="s">
        <v>263</v>
      </c>
      <c r="E60">
        <v>7.86635</v>
      </c>
      <c r="F60">
        <v>10.0672</v>
      </c>
      <c r="G60">
        <v>330402.23</v>
      </c>
      <c r="H60" s="1">
        <v>44048</v>
      </c>
      <c r="I60" s="1">
        <v>44070</v>
      </c>
      <c r="J60" t="s">
        <v>56</v>
      </c>
      <c r="K60">
        <v>3</v>
      </c>
      <c r="L60">
        <v>15000</v>
      </c>
      <c r="M60" t="s">
        <v>49</v>
      </c>
      <c r="N60">
        <v>1.5</v>
      </c>
      <c r="O60">
        <f t="shared" si="1"/>
        <v>2020</v>
      </c>
    </row>
    <row r="61" spans="1:15">
      <c r="A61">
        <v>4967</v>
      </c>
      <c r="C61" t="s">
        <v>263</v>
      </c>
      <c r="E61">
        <v>6.25802</v>
      </c>
      <c r="F61">
        <v>7.77412</v>
      </c>
      <c r="G61">
        <v>118736.41</v>
      </c>
      <c r="H61" s="1">
        <v>44089</v>
      </c>
      <c r="I61" s="1">
        <v>44129</v>
      </c>
      <c r="J61" t="s">
        <v>56</v>
      </c>
      <c r="K61">
        <v>155</v>
      </c>
      <c r="L61">
        <v>25000</v>
      </c>
      <c r="M61" t="s">
        <v>49</v>
      </c>
      <c r="N61">
        <v>1.5</v>
      </c>
      <c r="O61">
        <f t="shared" si="1"/>
        <v>2020</v>
      </c>
    </row>
    <row r="62" spans="1:15">
      <c r="A62">
        <v>5107</v>
      </c>
      <c r="C62" t="s">
        <v>263</v>
      </c>
      <c r="E62">
        <v>9.12827</v>
      </c>
      <c r="F62">
        <v>12.1102</v>
      </c>
      <c r="G62">
        <v>114959.47</v>
      </c>
      <c r="H62" s="1">
        <v>44418</v>
      </c>
      <c r="I62" s="1">
        <v>44425</v>
      </c>
      <c r="J62" t="s">
        <v>56</v>
      </c>
      <c r="K62">
        <v>21</v>
      </c>
      <c r="L62">
        <v>1600</v>
      </c>
      <c r="M62" t="s">
        <v>49</v>
      </c>
      <c r="N62">
        <v>1</v>
      </c>
      <c r="O62">
        <f t="shared" si="1"/>
        <v>2021</v>
      </c>
    </row>
    <row r="63" spans="1:15">
      <c r="A63">
        <v>195</v>
      </c>
      <c r="B63">
        <v>0</v>
      </c>
      <c r="C63" t="s">
        <v>758</v>
      </c>
      <c r="D63">
        <v>0</v>
      </c>
      <c r="E63">
        <v>3.45225</v>
      </c>
      <c r="F63">
        <v>6.58518</v>
      </c>
      <c r="G63">
        <v>1930.19</v>
      </c>
      <c r="H63" s="1">
        <v>32326</v>
      </c>
      <c r="I63" s="1">
        <v>32327</v>
      </c>
      <c r="J63" t="s">
        <v>15</v>
      </c>
      <c r="K63">
        <v>0</v>
      </c>
      <c r="L63">
        <v>500</v>
      </c>
      <c r="M63" t="s">
        <v>16</v>
      </c>
      <c r="N63">
        <v>1</v>
      </c>
      <c r="O63">
        <f t="shared" si="1"/>
        <v>1988</v>
      </c>
    </row>
    <row r="64" spans="1:15">
      <c r="A64">
        <v>225</v>
      </c>
      <c r="B64">
        <v>0</v>
      </c>
      <c r="C64" t="s">
        <v>758</v>
      </c>
      <c r="D64">
        <v>0</v>
      </c>
      <c r="E64">
        <v>9.09773</v>
      </c>
      <c r="F64">
        <v>11.8707</v>
      </c>
      <c r="G64">
        <v>60618.09</v>
      </c>
      <c r="H64" s="1">
        <v>32362</v>
      </c>
      <c r="I64" s="1">
        <v>32375</v>
      </c>
      <c r="J64" t="s">
        <v>15</v>
      </c>
      <c r="K64">
        <v>53</v>
      </c>
      <c r="L64">
        <v>0</v>
      </c>
      <c r="M64" t="s">
        <v>16</v>
      </c>
      <c r="N64">
        <v>2</v>
      </c>
      <c r="O64">
        <f t="shared" si="1"/>
        <v>1988</v>
      </c>
    </row>
    <row r="65" spans="1:15">
      <c r="A65">
        <v>230</v>
      </c>
      <c r="B65">
        <v>0</v>
      </c>
      <c r="C65" t="s">
        <v>758</v>
      </c>
      <c r="D65">
        <v>0</v>
      </c>
      <c r="E65">
        <v>7.08584</v>
      </c>
      <c r="F65">
        <v>4.54794</v>
      </c>
      <c r="G65">
        <v>1234.05</v>
      </c>
      <c r="H65" s="1">
        <v>32377</v>
      </c>
      <c r="I65" s="1">
        <v>32377</v>
      </c>
      <c r="J65" t="s">
        <v>15</v>
      </c>
      <c r="K65">
        <v>0</v>
      </c>
      <c r="L65">
        <v>10000</v>
      </c>
      <c r="M65" t="s">
        <v>16</v>
      </c>
      <c r="N65">
        <v>1</v>
      </c>
      <c r="O65">
        <f t="shared" si="1"/>
        <v>1988</v>
      </c>
    </row>
    <row r="66" spans="1:15">
      <c r="A66">
        <v>263</v>
      </c>
      <c r="B66">
        <v>0</v>
      </c>
      <c r="C66" t="s">
        <v>758</v>
      </c>
      <c r="D66">
        <v>0</v>
      </c>
      <c r="E66">
        <v>6.31012</v>
      </c>
      <c r="F66">
        <v>4.97124</v>
      </c>
      <c r="G66">
        <v>2833.23</v>
      </c>
      <c r="H66" s="1">
        <v>32443</v>
      </c>
      <c r="I66" s="1">
        <v>32444</v>
      </c>
      <c r="J66" t="s">
        <v>15</v>
      </c>
      <c r="K66">
        <v>10</v>
      </c>
      <c r="L66">
        <v>12000</v>
      </c>
      <c r="M66" t="s">
        <v>16</v>
      </c>
      <c r="N66">
        <v>1</v>
      </c>
      <c r="O66">
        <f t="shared" si="1"/>
        <v>1988</v>
      </c>
    </row>
    <row r="67" spans="1:15">
      <c r="A67">
        <v>1642</v>
      </c>
      <c r="B67">
        <v>0</v>
      </c>
      <c r="C67" t="s">
        <v>758</v>
      </c>
      <c r="D67" t="s">
        <v>132</v>
      </c>
      <c r="E67">
        <v>3.21802</v>
      </c>
      <c r="F67">
        <v>6.74719</v>
      </c>
      <c r="G67">
        <v>7724.63</v>
      </c>
      <c r="H67" s="1">
        <v>36789</v>
      </c>
      <c r="I67" s="1">
        <v>36790</v>
      </c>
      <c r="J67" t="s">
        <v>15</v>
      </c>
      <c r="K67">
        <v>0</v>
      </c>
      <c r="L67">
        <v>0</v>
      </c>
      <c r="M67" t="s">
        <v>18</v>
      </c>
      <c r="N67">
        <v>1</v>
      </c>
      <c r="O67">
        <f t="shared" si="1"/>
        <v>2000</v>
      </c>
    </row>
    <row r="68" spans="1:15">
      <c r="A68">
        <v>1768</v>
      </c>
      <c r="B68">
        <v>0</v>
      </c>
      <c r="C68" t="s">
        <v>758</v>
      </c>
      <c r="D68">
        <v>0</v>
      </c>
      <c r="E68">
        <v>6.16667</v>
      </c>
      <c r="F68">
        <v>12.5291</v>
      </c>
      <c r="G68">
        <v>1064.62</v>
      </c>
      <c r="H68" s="1">
        <v>37094</v>
      </c>
      <c r="I68" s="1">
        <v>37094</v>
      </c>
      <c r="J68" t="s">
        <v>15</v>
      </c>
      <c r="K68">
        <v>0</v>
      </c>
      <c r="L68">
        <v>3802</v>
      </c>
      <c r="M68" t="s">
        <v>16</v>
      </c>
      <c r="N68">
        <v>1</v>
      </c>
      <c r="O68">
        <f t="shared" si="1"/>
        <v>2001</v>
      </c>
    </row>
    <row r="69" spans="1:15">
      <c r="A69">
        <v>1786</v>
      </c>
      <c r="B69">
        <v>0</v>
      </c>
      <c r="C69" t="s">
        <v>758</v>
      </c>
      <c r="D69">
        <v>0</v>
      </c>
      <c r="E69">
        <v>8.69841</v>
      </c>
      <c r="F69">
        <v>11.7284</v>
      </c>
      <c r="G69">
        <v>14287.72</v>
      </c>
      <c r="H69" s="1">
        <v>37130</v>
      </c>
      <c r="I69" s="1">
        <v>37138</v>
      </c>
      <c r="J69" t="s">
        <v>15</v>
      </c>
      <c r="K69">
        <v>200</v>
      </c>
      <c r="L69">
        <v>80000</v>
      </c>
      <c r="M69" t="s">
        <v>25</v>
      </c>
      <c r="N69">
        <v>2</v>
      </c>
      <c r="O69">
        <f t="shared" si="1"/>
        <v>2001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9"/>
  <sheetViews>
    <sheetView tabSelected="1" topLeftCell="A21" workbookViewId="0">
      <selection activeCell="C2" sqref="C2:C39"/>
    </sheetView>
  </sheetViews>
  <sheetFormatPr defaultColWidth="8.72727272727273" defaultRowHeight="14.5" outlineLevelCol="4"/>
  <cols>
    <col min="1" max="1" width="11.9090909090909" customWidth="1"/>
    <col min="3" max="3" width="19.6363636363636" customWidth="1"/>
  </cols>
  <sheetData>
    <row r="1" spans="1:5">
      <c r="A1" t="s">
        <v>1148</v>
      </c>
      <c r="B1" t="s">
        <v>1149</v>
      </c>
      <c r="C1" t="s">
        <v>1150</v>
      </c>
    </row>
    <row r="2" spans="1:5">
      <c r="A2">
        <v>1985</v>
      </c>
      <c r="B2">
        <f>COUNTIF(Flood_Data!$O$2:$O$1000,A2)</f>
        <v>1</v>
      </c>
      <c r="C2">
        <f>SUMIF(Flood_Data!$O$2:$O$69,A2,Flood_Data!$G$2:$G$69)</f>
        <v>74615.9</v>
      </c>
      <c r="E2" t="b">
        <f>A2=1985</f>
        <v>1</v>
      </c>
    </row>
    <row r="3" spans="1:5">
      <c r="A3">
        <f>A2+1</f>
        <v>1986</v>
      </c>
      <c r="B3">
        <f>COUNTIF(Flood_Data!$O$2:$O$1000,A3)</f>
        <v>0</v>
      </c>
      <c r="C3">
        <f>SUMIF(Flood_Data!$O$2:$O$69,A3,Flood_Data!$G$2:$G$69)</f>
        <v>0</v>
      </c>
      <c r="E3">
        <f>COUNTIF(Flood_Data!O:O,1985)</f>
        <v>1</v>
      </c>
    </row>
    <row r="4" spans="1:5">
      <c r="A4">
        <f>A3+1</f>
        <v>1987</v>
      </c>
      <c r="B4">
        <f>COUNTIF(Flood_Data!$O$2:$O$1000,A4)</f>
        <v>0</v>
      </c>
      <c r="C4">
        <f>SUMIF(Flood_Data!$O$2:$O$69,A4,Flood_Data!$G$2:$G$69)</f>
        <v>0</v>
      </c>
      <c r="E4">
        <f>SUM(Flood_Data!G2)</f>
        <v>74615.9</v>
      </c>
    </row>
    <row r="5" spans="1:5">
      <c r="A5">
        <f>A4+1</f>
        <v>1988</v>
      </c>
      <c r="B5">
        <f>COUNTIF(Flood_Data!$O$2:$O$1000,A5)</f>
        <v>6</v>
      </c>
      <c r="C5">
        <f>SUMIF(Flood_Data!$O$2:$O$69,A5,Flood_Data!$G$2:$G$69)</f>
        <v>147463.99</v>
      </c>
    </row>
    <row r="6" spans="1:5">
      <c r="A6">
        <f t="shared" ref="A6:A39" si="0">A5+1</f>
        <v>1989</v>
      </c>
      <c r="B6">
        <f>COUNTIF(Flood_Data!$O$2:$O$1000,A6)</f>
        <v>0</v>
      </c>
      <c r="C6">
        <f>SUMIF(Flood_Data!$O$2:$O$69,A6,Flood_Data!$G$2:$G$69)</f>
        <v>0</v>
      </c>
    </row>
    <row r="7" spans="1:5">
      <c r="A7">
        <f t="shared" si="0"/>
        <v>1990</v>
      </c>
      <c r="B7">
        <f>COUNTIF(Flood_Data!$O$2:$O$1000,A7)</f>
        <v>3</v>
      </c>
      <c r="C7">
        <f>SUMIF(Flood_Data!$O$2:$O$69,A7,Flood_Data!$G$2:$G$69)</f>
        <v>45061.73</v>
      </c>
    </row>
    <row r="8" spans="1:5">
      <c r="A8">
        <f t="shared" si="0"/>
        <v>1991</v>
      </c>
      <c r="B8">
        <f>COUNTIF(Flood_Data!$O$2:$O$1000,A8)</f>
        <v>1</v>
      </c>
      <c r="C8">
        <f>SUMIF(Flood_Data!$O$2:$O$69,A8,Flood_Data!$G$2:$G$69)</f>
        <v>22908.02</v>
      </c>
    </row>
    <row r="9" spans="1:5">
      <c r="A9">
        <f t="shared" si="0"/>
        <v>1992</v>
      </c>
      <c r="B9">
        <f>COUNTIF(Flood_Data!$O$2:$O$1000,A9)</f>
        <v>1</v>
      </c>
      <c r="C9">
        <f>SUMIF(Flood_Data!$O$2:$O$69,A9,Flood_Data!$G$2:$G$69)</f>
        <v>42369.21</v>
      </c>
    </row>
    <row r="10" spans="1:5">
      <c r="A10">
        <f t="shared" si="0"/>
        <v>1993</v>
      </c>
      <c r="B10">
        <f>COUNTIF(Flood_Data!$O$2:$O$1000,A10)</f>
        <v>0</v>
      </c>
      <c r="C10">
        <f>SUMIF(Flood_Data!$O$2:$O$69,A10,Flood_Data!$G$2:$G$69)</f>
        <v>0</v>
      </c>
    </row>
    <row r="11" spans="1:5">
      <c r="A11">
        <f t="shared" si="0"/>
        <v>1994</v>
      </c>
      <c r="B11">
        <f>COUNTIF(Flood_Data!$O$2:$O$1000,A11)</f>
        <v>1</v>
      </c>
      <c r="C11">
        <f>SUMIF(Flood_Data!$O$2:$O$69,A11,Flood_Data!$G$2:$G$69)</f>
        <v>317262.41</v>
      </c>
    </row>
    <row r="12" spans="1:5">
      <c r="A12">
        <f t="shared" si="0"/>
        <v>1995</v>
      </c>
      <c r="B12">
        <f>COUNTIF(Flood_Data!$O$2:$O$1000,A12)</f>
        <v>1</v>
      </c>
      <c r="C12">
        <f>SUMIF(Flood_Data!$O$2:$O$69,A12,Flood_Data!$G$2:$G$69)</f>
        <v>19768.44</v>
      </c>
    </row>
    <row r="13" spans="1:5">
      <c r="A13">
        <f t="shared" si="0"/>
        <v>1996</v>
      </c>
      <c r="B13">
        <f>COUNTIF(Flood_Data!$O$2:$O$1000,A13)</f>
        <v>0</v>
      </c>
      <c r="C13">
        <f>SUMIF(Flood_Data!$O$2:$O$69,A13,Flood_Data!$G$2:$G$69)</f>
        <v>0</v>
      </c>
    </row>
    <row r="14" spans="1:5">
      <c r="A14">
        <f t="shared" si="0"/>
        <v>1997</v>
      </c>
      <c r="B14">
        <f>COUNTIF(Flood_Data!$O$2:$O$1000,A14)</f>
        <v>1</v>
      </c>
      <c r="C14">
        <f>SUMIF(Flood_Data!$O$2:$O$69,A14,Flood_Data!$G$2:$G$69)</f>
        <v>17287.47</v>
      </c>
    </row>
    <row r="15" spans="1:5">
      <c r="A15">
        <f t="shared" si="0"/>
        <v>1998</v>
      </c>
      <c r="B15">
        <f>COUNTIF(Flood_Data!$O$2:$O$1000,A15)</f>
        <v>2</v>
      </c>
      <c r="C15">
        <f>SUMIF(Flood_Data!$O$2:$O$69,A15,Flood_Data!$G$2:$G$69)</f>
        <v>68804.11</v>
      </c>
    </row>
    <row r="16" spans="1:5">
      <c r="A16">
        <f t="shared" si="0"/>
        <v>1999</v>
      </c>
      <c r="B16">
        <f>COUNTIF(Flood_Data!$O$2:$O$1000,A16)</f>
        <v>2</v>
      </c>
      <c r="C16">
        <f>SUMIF(Flood_Data!$O$2:$O$69,A16,Flood_Data!$G$2:$G$69)</f>
        <v>1113252</v>
      </c>
    </row>
    <row r="17" spans="1:3">
      <c r="A17">
        <f t="shared" si="0"/>
        <v>2000</v>
      </c>
      <c r="B17">
        <f>COUNTIF(Flood_Data!$O$2:$O$1000,A17)</f>
        <v>1</v>
      </c>
      <c r="C17">
        <f>SUMIF(Flood_Data!$O$2:$O$69,A17,Flood_Data!$G$2:$G$69)</f>
        <v>7724.63</v>
      </c>
    </row>
    <row r="18" spans="1:3">
      <c r="A18">
        <f t="shared" si="0"/>
        <v>2001</v>
      </c>
      <c r="B18">
        <f>COUNTIF(Flood_Data!$O$2:$O$1000,A18)</f>
        <v>2</v>
      </c>
      <c r="C18">
        <f>SUMIF(Flood_Data!$O$2:$O$69,A18,Flood_Data!$G$2:$G$69)</f>
        <v>15352.34</v>
      </c>
    </row>
    <row r="19" spans="1:3">
      <c r="A19">
        <f t="shared" si="0"/>
        <v>2002</v>
      </c>
      <c r="B19">
        <f>COUNTIF(Flood_Data!$O$2:$O$1000,A19)</f>
        <v>1</v>
      </c>
      <c r="C19">
        <f>SUMIF(Flood_Data!$O$2:$O$69,A19,Flood_Data!$G$2:$G$69)</f>
        <v>1657.33</v>
      </c>
    </row>
    <row r="20" spans="1:3">
      <c r="A20">
        <f t="shared" si="0"/>
        <v>2003</v>
      </c>
      <c r="B20">
        <f>COUNTIF(Flood_Data!$O$2:$O$1000,A20)</f>
        <v>9</v>
      </c>
      <c r="C20">
        <f>SUMIF(Flood_Data!$O$2:$O$69,A20,Flood_Data!$G$2:$G$69)</f>
        <v>449965.884</v>
      </c>
    </row>
    <row r="21" spans="1:3">
      <c r="A21">
        <f t="shared" si="0"/>
        <v>2004</v>
      </c>
      <c r="B21">
        <f>COUNTIF(Flood_Data!$O$2:$O$1000,A21)</f>
        <v>5</v>
      </c>
      <c r="C21">
        <f>SUMIF(Flood_Data!$O$2:$O$69,A21,Flood_Data!$G$2:$G$69)</f>
        <v>35839.844</v>
      </c>
    </row>
    <row r="22" spans="1:3">
      <c r="A22">
        <f t="shared" si="0"/>
        <v>2005</v>
      </c>
      <c r="B22">
        <f>COUNTIF(Flood_Data!$O$2:$O$1000,A22)</f>
        <v>2</v>
      </c>
      <c r="C22">
        <f>SUMIF(Flood_Data!$O$2:$O$69,A22,Flood_Data!$G$2:$G$69)</f>
        <v>171050.48</v>
      </c>
    </row>
    <row r="23" spans="1:3">
      <c r="A23">
        <f t="shared" si="0"/>
        <v>2006</v>
      </c>
      <c r="B23">
        <f>COUNTIF(Flood_Data!$O$2:$O$1000,A23)</f>
        <v>3</v>
      </c>
      <c r="C23">
        <f>SUMIF(Flood_Data!$O$2:$O$69,A23,Flood_Data!$G$2:$G$69)</f>
        <v>3445.332</v>
      </c>
    </row>
    <row r="24" spans="1:3">
      <c r="A24">
        <f t="shared" si="0"/>
        <v>2007</v>
      </c>
      <c r="B24">
        <f>COUNTIF(Flood_Data!$O$2:$O$1000,A24)</f>
        <v>2</v>
      </c>
      <c r="C24">
        <f>SUMIF(Flood_Data!$O$2:$O$69,A24,Flood_Data!$G$2:$G$69)</f>
        <v>635389.03</v>
      </c>
    </row>
    <row r="25" spans="1:3">
      <c r="A25">
        <f t="shared" si="0"/>
        <v>2008</v>
      </c>
      <c r="B25">
        <f>COUNTIF(Flood_Data!$O$2:$O$1000,A25)</f>
        <v>0</v>
      </c>
      <c r="C25">
        <f>SUMIF(Flood_Data!$O$2:$O$69,A25,Flood_Data!$G$2:$G$69)</f>
        <v>0</v>
      </c>
    </row>
    <row r="26" spans="1:3">
      <c r="A26">
        <f t="shared" si="0"/>
        <v>2009</v>
      </c>
      <c r="B26">
        <f>COUNTIF(Flood_Data!$O$2:$O$1000,A26)</f>
        <v>2</v>
      </c>
      <c r="C26">
        <f>SUMIF(Flood_Data!$O$2:$O$69,A26,Flood_Data!$G$2:$G$69)</f>
        <v>117219.47</v>
      </c>
    </row>
    <row r="27" spans="1:3">
      <c r="A27">
        <f t="shared" si="0"/>
        <v>2010</v>
      </c>
      <c r="B27">
        <f>COUNTIF(Flood_Data!$O$2:$O$1000,A27)</f>
        <v>1</v>
      </c>
      <c r="C27">
        <f>SUMIF(Flood_Data!$O$2:$O$69,A27,Flood_Data!$G$2:$G$69)</f>
        <v>8694.6</v>
      </c>
    </row>
    <row r="28" spans="1:3">
      <c r="A28">
        <f t="shared" si="0"/>
        <v>2011</v>
      </c>
      <c r="B28">
        <f>COUNTIF(Flood_Data!$O$2:$O$1000,A28)</f>
        <v>2</v>
      </c>
      <c r="C28">
        <f>SUMIF(Flood_Data!$O$2:$O$69,A28,Flood_Data!$G$2:$G$69)</f>
        <v>123013.9</v>
      </c>
    </row>
    <row r="29" spans="1:3">
      <c r="A29">
        <f t="shared" si="0"/>
        <v>2012</v>
      </c>
      <c r="B29">
        <f>COUNTIF(Flood_Data!$O$2:$O$1000,A29)</f>
        <v>6</v>
      </c>
      <c r="C29">
        <f>SUMIF(Flood_Data!$O$2:$O$69,A29,Flood_Data!$G$2:$G$69)</f>
        <v>270674.49</v>
      </c>
    </row>
    <row r="30" spans="1:3">
      <c r="A30">
        <f t="shared" si="0"/>
        <v>2013</v>
      </c>
      <c r="B30">
        <f>COUNTIF(Flood_Data!$O$2:$O$1000,A30)</f>
        <v>1</v>
      </c>
      <c r="C30">
        <f>SUMIF(Flood_Data!$O$2:$O$69,A30,Flood_Data!$G$2:$G$69)</f>
        <v>178191.77</v>
      </c>
    </row>
    <row r="31" spans="1:3">
      <c r="A31">
        <f t="shared" si="0"/>
        <v>2014</v>
      </c>
      <c r="B31">
        <f>COUNTIF(Flood_Data!$O$2:$O$1000,A31)</f>
        <v>0</v>
      </c>
      <c r="C31">
        <f>SUMIF(Flood_Data!$O$2:$O$69,A31,Flood_Data!$G$2:$G$69)</f>
        <v>0</v>
      </c>
    </row>
    <row r="32" spans="1:3">
      <c r="A32">
        <f t="shared" si="0"/>
        <v>2015</v>
      </c>
      <c r="B32">
        <f>COUNTIF(Flood_Data!$O$2:$O$1000,A32)</f>
        <v>1</v>
      </c>
      <c r="C32">
        <f>SUMIF(Flood_Data!$O$2:$O$69,A32,Flood_Data!$G$2:$G$69)</f>
        <v>186816.02</v>
      </c>
    </row>
    <row r="33" spans="1:3">
      <c r="A33">
        <f t="shared" si="0"/>
        <v>2016</v>
      </c>
      <c r="B33">
        <f>COUNTIF(Flood_Data!$O$2:$O$1000,A33)</f>
        <v>0</v>
      </c>
      <c r="C33">
        <f>SUMIF(Flood_Data!$O$2:$O$69,A33,Flood_Data!$G$2:$G$69)</f>
        <v>0</v>
      </c>
    </row>
    <row r="34" spans="1:3">
      <c r="A34">
        <f t="shared" si="0"/>
        <v>2017</v>
      </c>
      <c r="B34">
        <f>COUNTIF(Flood_Data!$O$2:$O$1000,A34)</f>
        <v>2</v>
      </c>
      <c r="C34">
        <f>SUMIF(Flood_Data!$O$2:$O$69,A34,Flood_Data!$G$2:$G$69)</f>
        <v>111091.46</v>
      </c>
    </row>
    <row r="35" spans="1:3">
      <c r="A35">
        <f t="shared" si="0"/>
        <v>2018</v>
      </c>
      <c r="B35">
        <f>COUNTIF(Flood_Data!$O$2:$O$1000,A35)</f>
        <v>2</v>
      </c>
      <c r="C35">
        <f>SUMIF(Flood_Data!$O$2:$O$69,A35,Flood_Data!$G$2:$G$69)</f>
        <v>320377.82</v>
      </c>
    </row>
    <row r="36" spans="1:3">
      <c r="A36">
        <f t="shared" si="0"/>
        <v>2019</v>
      </c>
      <c r="B36">
        <f>COUNTIF(Flood_Data!$O$2:$O$1000,A36)</f>
        <v>4</v>
      </c>
      <c r="C36">
        <f>SUMIF(Flood_Data!$O$2:$O$69,A36,Flood_Data!$G$2:$G$69)</f>
        <v>1471789.48</v>
      </c>
    </row>
    <row r="37" spans="1:3">
      <c r="A37">
        <f t="shared" si="0"/>
        <v>2020</v>
      </c>
      <c r="B37">
        <f>COUNTIF(Flood_Data!$O$2:$O$1000,A37)</f>
        <v>2</v>
      </c>
      <c r="C37">
        <f>SUMIF(Flood_Data!$O$2:$O$69,A37,Flood_Data!$G$2:$G$69)</f>
        <v>449138.64</v>
      </c>
    </row>
    <row r="38" spans="1:3">
      <c r="A38">
        <f t="shared" si="0"/>
        <v>2021</v>
      </c>
      <c r="B38">
        <f>COUNTIF(Flood_Data!$O$2:$O$1000,A38)</f>
        <v>1</v>
      </c>
      <c r="C38">
        <f>SUMIF(Flood_Data!$O$2:$O$69,A38,Flood_Data!$G$2:$G$69)</f>
        <v>114959.47</v>
      </c>
    </row>
    <row r="39" spans="1:3">
      <c r="A39">
        <f t="shared" si="0"/>
        <v>2022</v>
      </c>
      <c r="B39">
        <f>COUNTIF(Flood_Data!$O$2:$O$1000,A39)</f>
        <v>0</v>
      </c>
      <c r="C39">
        <f>SUMIF(Flood_Data!$O$2:$O$69,A39,Flood_Data!$G$2:$G$69)</f>
        <v>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4"/>
  <sheetViews>
    <sheetView topLeftCell="A32" workbookViewId="0">
      <selection activeCell="F45" sqref="F45"/>
    </sheetView>
  </sheetViews>
  <sheetFormatPr defaultColWidth="8.72727272727273" defaultRowHeight="14.5"/>
  <cols>
    <col min="2" max="2" width="12" customWidth="1"/>
    <col min="3" max="3" width="21.8181818181818" customWidth="1"/>
    <col min="4" max="4" width="18" customWidth="1"/>
    <col min="6" max="6" width="12.8181818181818"/>
    <col min="9" max="9" width="13.6363636363636" customWidth="1"/>
  </cols>
  <sheetData>
    <row r="1" spans="1:9">
      <c r="A1" t="s">
        <v>1149</v>
      </c>
      <c r="B1" t="s">
        <v>1151</v>
      </c>
      <c r="C1" t="s">
        <v>1152</v>
      </c>
      <c r="D1" t="s">
        <v>1153</v>
      </c>
      <c r="H1" t="s">
        <v>1154</v>
      </c>
      <c r="I1" t="s">
        <v>1155</v>
      </c>
    </row>
    <row r="2" spans="1:9">
      <c r="A2">
        <v>1985</v>
      </c>
      <c r="B2">
        <f>COUNTIF(Flood_Data!$O$2:$O$69,A2)</f>
        <v>1</v>
      </c>
      <c r="C2">
        <f>SUMIF(Flood_Data!$O$2:$O$69,A2,Flood_Data!$G$2:$G$69)</f>
        <v>74615.9</v>
      </c>
      <c r="D2" cm="1">
        <f t="array" ref="D2">INDEX([1]Annual_Rainfall!$B$2:$B$126,MATCH(A2,[1]Annual_Rainfall!$A$2:$A$126,0))</f>
        <v>1119.45</v>
      </c>
      <c r="F2">
        <f>COUNTBLANK(D2:D39)</f>
        <v>0</v>
      </c>
      <c r="H2">
        <f>D2</f>
        <v>1119.45</v>
      </c>
      <c r="I2">
        <f>C2</f>
        <v>74615.9</v>
      </c>
    </row>
    <row r="3" spans="1:9">
      <c r="A3">
        <v>1986</v>
      </c>
      <c r="B3">
        <f>COUNTIF(Flood_Data!$O$2:$O$69,A3)</f>
        <v>0</v>
      </c>
      <c r="C3">
        <f>SUMIF(Flood_Data!$O$2:$O$69,A3,Flood_Data!$G$2:$G$69)</f>
        <v>0</v>
      </c>
      <c r="D3" cm="1">
        <f t="array" ref="D3">INDEX([1]Annual_Rainfall!$B$2:$B$126,MATCH(A3,[1]Annual_Rainfall!$A$2:$A$126,0))</f>
        <v>1073.18</v>
      </c>
      <c r="F3" cm="1">
        <f t="array" ref="F3">CORREL(B2:B39,D2:D39)</f>
        <v>0.340938181091504</v>
      </c>
      <c r="H3">
        <f>D3</f>
        <v>1073.18</v>
      </c>
      <c r="I3">
        <f t="shared" ref="I3:I39" si="0">C3</f>
        <v>0</v>
      </c>
    </row>
    <row r="4" spans="1:9">
      <c r="A4">
        <v>1987</v>
      </c>
      <c r="B4">
        <f>COUNTIF(Flood_Data!$O$2:$O$69,A4)</f>
        <v>0</v>
      </c>
      <c r="C4">
        <f>SUMIF(Flood_Data!$O$2:$O$69,A4,Flood_Data!$G$2:$G$69)</f>
        <v>0</v>
      </c>
      <c r="D4" cm="1">
        <f t="array" ref="D4">INDEX([1]Annual_Rainfall!$B$2:$B$126,MATCH(A4,[1]Annual_Rainfall!$A$2:$A$126,0))</f>
        <v>1025.86</v>
      </c>
      <c r="F4" cm="1">
        <f t="array" ref="F4">CORREL(B2:B39,D2:D39)^2</f>
        <v>0.116238843325983</v>
      </c>
      <c r="H4">
        <f>D4</f>
        <v>1025.86</v>
      </c>
      <c r="I4">
        <f t="shared" si="0"/>
        <v>0</v>
      </c>
    </row>
    <row r="5" spans="1:9">
      <c r="A5">
        <v>1988</v>
      </c>
      <c r="B5">
        <f>COUNTIF(Flood_Data!$O$2:$O$69,A5)</f>
        <v>6</v>
      </c>
      <c r="C5">
        <f>SUMIF(Flood_Data!$O$2:$O$69,A5,Flood_Data!$G$2:$G$69)</f>
        <v>147463.99</v>
      </c>
      <c r="D5" cm="1">
        <f t="array" ref="D5">INDEX([1]Annual_Rainfall!$B$2:$B$126,MATCH(A5,[1]Annual_Rainfall!$A$2:$A$126,0))</f>
        <v>1195.07</v>
      </c>
      <c r="F5" cm="1">
        <f t="array" ref="F5">CORREL(C2:C39,D2:D39)</f>
        <v>0.439058070024206</v>
      </c>
      <c r="H5">
        <f t="shared" ref="H5:H39" si="1">D5</f>
        <v>1195.07</v>
      </c>
      <c r="I5">
        <f t="shared" si="0"/>
        <v>147463.99</v>
      </c>
    </row>
    <row r="6" spans="1:9">
      <c r="A6">
        <v>1989</v>
      </c>
      <c r="B6">
        <f>COUNTIF(Flood_Data!$O$2:$O$69,A6)</f>
        <v>0</v>
      </c>
      <c r="C6">
        <f>SUMIF(Flood_Data!$O$2:$O$69,A6,Flood_Data!$G$2:$G$69)</f>
        <v>0</v>
      </c>
      <c r="D6" cm="1">
        <f t="array" ref="D6">INDEX([1]Annual_Rainfall!$B$2:$B$126,MATCH(A6,[1]Annual_Rainfall!$A$2:$A$126,0))</f>
        <v>1148.31</v>
      </c>
      <c r="F6" cm="1">
        <f t="array" ref="F6">CORREL(C2:C39,D2:D39)^2</f>
        <v>0.19277198885338</v>
      </c>
      <c r="H6">
        <f t="shared" si="1"/>
        <v>1148.31</v>
      </c>
      <c r="I6">
        <f t="shared" si="0"/>
        <v>0</v>
      </c>
    </row>
    <row r="7" spans="1:9">
      <c r="A7">
        <v>1990</v>
      </c>
      <c r="B7">
        <f>COUNTIF(Flood_Data!$O$2:$O$69,A7)</f>
        <v>3</v>
      </c>
      <c r="C7">
        <f>SUMIF(Flood_Data!$O$2:$O$69,A7,Flood_Data!$G$2:$G$69)</f>
        <v>45061.73</v>
      </c>
      <c r="D7" cm="1">
        <f t="array" ref="D7">INDEX([1]Annual_Rainfall!$B$2:$B$126,MATCH(A7,[1]Annual_Rainfall!$A$2:$A$126,0))</f>
        <v>1097.4</v>
      </c>
      <c r="F7" cm="1">
        <f t="array" ref="F7">CORREL(H2:H39,I2:I39)</f>
        <v>0.439058070024206</v>
      </c>
      <c r="H7">
        <f t="shared" si="1"/>
        <v>1097.4</v>
      </c>
      <c r="I7">
        <f t="shared" si="0"/>
        <v>45061.73</v>
      </c>
    </row>
    <row r="8" spans="1:9">
      <c r="A8">
        <v>1991</v>
      </c>
      <c r="B8">
        <f>COUNTIF(Flood_Data!$O$2:$O$69,A8)</f>
        <v>1</v>
      </c>
      <c r="C8">
        <f>SUMIF(Flood_Data!$O$2:$O$69,A8,Flood_Data!$G$2:$G$69)</f>
        <v>22908.02</v>
      </c>
      <c r="D8" cm="1">
        <f t="array" ref="D8">INDEX([1]Annual_Rainfall!$B$2:$B$126,MATCH(A8,[1]Annual_Rainfall!$A$2:$A$126,0))</f>
        <v>1254.64</v>
      </c>
      <c r="F8" cm="1">
        <f t="array" ref="F8">RSQ(I2:I39,H2:H39)</f>
        <v>0.192771988853381</v>
      </c>
      <c r="H8">
        <f t="shared" si="1"/>
        <v>1254.64</v>
      </c>
      <c r="I8">
        <f t="shared" si="0"/>
        <v>22908.02</v>
      </c>
    </row>
    <row r="9" spans="1:9">
      <c r="A9">
        <v>1992</v>
      </c>
      <c r="B9">
        <f>COUNTIF(Flood_Data!$O$2:$O$69,A9)</f>
        <v>1</v>
      </c>
      <c r="C9">
        <f>SUMIF(Flood_Data!$O$2:$O$69,A9,Flood_Data!$G$2:$G$69)</f>
        <v>42369.21</v>
      </c>
      <c r="D9" cm="1">
        <f t="array" ref="D9">INDEX([1]Annual_Rainfall!$B$2:$B$126,MATCH(A9,[1]Annual_Rainfall!$A$2:$A$126,0))</f>
        <v>1119.42</v>
      </c>
      <c r="F9">
        <f>MAX(C2:C39)</f>
        <v>1471789.48</v>
      </c>
      <c r="H9">
        <f t="shared" si="1"/>
        <v>1119.42</v>
      </c>
      <c r="I9">
        <f t="shared" si="0"/>
        <v>42369.21</v>
      </c>
    </row>
    <row r="10" spans="1:9">
      <c r="A10">
        <v>1993</v>
      </c>
      <c r="B10">
        <f>COUNTIF(Flood_Data!$O$2:$O$69,A10)</f>
        <v>0</v>
      </c>
      <c r="C10">
        <f>SUMIF(Flood_Data!$O$2:$O$69,A10,Flood_Data!$G$2:$G$69)</f>
        <v>0</v>
      </c>
      <c r="D10" cm="1">
        <f t="array" ref="D10">INDEX([1]Annual_Rainfall!$B$2:$B$126,MATCH(A10,[1]Annual_Rainfall!$A$2:$A$126,0))</f>
        <v>1084.92</v>
      </c>
      <c r="F10" cm="1">
        <f t="array" ref="F10">INDEX(A2:A39,MATCH(MAX(C2:C39),C2:C39,0))</f>
        <v>2019</v>
      </c>
      <c r="H10">
        <f t="shared" si="1"/>
        <v>1084.92</v>
      </c>
      <c r="I10">
        <f t="shared" si="0"/>
        <v>0</v>
      </c>
    </row>
    <row r="11" spans="1:9">
      <c r="A11">
        <v>1994</v>
      </c>
      <c r="B11">
        <f>COUNTIF(Flood_Data!$O$2:$O$69,A11)</f>
        <v>1</v>
      </c>
      <c r="C11">
        <f>SUMIF(Flood_Data!$O$2:$O$69,A11,Flood_Data!$G$2:$G$69)</f>
        <v>317262.41</v>
      </c>
      <c r="D11" cm="1">
        <f t="array" ref="D11">INDEX([1]Annual_Rainfall!$B$2:$B$126,MATCH(A11,[1]Annual_Rainfall!$A$2:$A$126,0))</f>
        <v>1236.95</v>
      </c>
      <c r="F11" cm="1">
        <f t="array" ref="F11">INDEX(D2:D39,MATCH(2019,A2:A39,0))</f>
        <v>1296.65</v>
      </c>
      <c r="H11">
        <f t="shared" si="1"/>
        <v>1236.95</v>
      </c>
      <c r="I11">
        <f t="shared" si="0"/>
        <v>317262.41</v>
      </c>
    </row>
    <row r="12" spans="1:9">
      <c r="A12">
        <v>1995</v>
      </c>
      <c r="B12">
        <f>COUNTIF(Flood_Data!$O$2:$O$69,A12)</f>
        <v>1</v>
      </c>
      <c r="C12">
        <f>SUMIF(Flood_Data!$O$2:$O$69,A12,Flood_Data!$G$2:$G$69)</f>
        <v>19768.44</v>
      </c>
      <c r="D12" cm="1">
        <f t="array" ref="D12">INDEX([1]Annual_Rainfall!$B$2:$B$126,MATCH(A12,[1]Annual_Rainfall!$A$2:$A$126,0))</f>
        <v>1200.49</v>
      </c>
      <c r="F12" cm="1">
        <f t="array" ref="F12">INDEX(B2:B39,MATCH(2019,A2:A39,0))</f>
        <v>4</v>
      </c>
      <c r="H12">
        <f t="shared" si="1"/>
        <v>1200.49</v>
      </c>
      <c r="I12">
        <f t="shared" si="0"/>
        <v>19768.44</v>
      </c>
    </row>
    <row r="13" spans="1:9">
      <c r="A13">
        <v>1996</v>
      </c>
      <c r="B13">
        <f>COUNTIF(Flood_Data!$O$2:$O$69,A13)</f>
        <v>0</v>
      </c>
      <c r="C13">
        <f>SUMIF(Flood_Data!$O$2:$O$69,A13,Flood_Data!$G$2:$G$69)</f>
        <v>0</v>
      </c>
      <c r="D13" cm="1">
        <f t="array" ref="D13">INDEX([1]Annual_Rainfall!$B$2:$B$126,MATCH(A13,[1]Annual_Rainfall!$A$2:$A$126,0))</f>
        <v>1245.22</v>
      </c>
      <c r="F13">
        <f>AVERAGE(B2:B39)</f>
        <v>1.78947368421053</v>
      </c>
      <c r="H13">
        <f t="shared" si="1"/>
        <v>1245.22</v>
      </c>
      <c r="I13">
        <f t="shared" si="0"/>
        <v>0</v>
      </c>
    </row>
    <row r="14" spans="1:9">
      <c r="A14">
        <v>1997</v>
      </c>
      <c r="B14">
        <f>COUNTIF(Flood_Data!$O$2:$O$69,A14)</f>
        <v>1</v>
      </c>
      <c r="C14">
        <f>SUMIF(Flood_Data!$O$2:$O$69,A14,Flood_Data!$G$2:$G$69)</f>
        <v>17287.47</v>
      </c>
      <c r="D14" cm="1">
        <f t="array" ref="D14">INDEX([1]Annual_Rainfall!$B$2:$B$126,MATCH(A14,[1]Annual_Rainfall!$A$2:$A$126,0))</f>
        <v>1231.11</v>
      </c>
      <c r="F14">
        <f>MAX(B2:B39)</f>
        <v>9</v>
      </c>
      <c r="H14">
        <f t="shared" si="1"/>
        <v>1231.11</v>
      </c>
      <c r="I14">
        <f t="shared" si="0"/>
        <v>17287.47</v>
      </c>
    </row>
    <row r="15" spans="1:9">
      <c r="A15">
        <v>1998</v>
      </c>
      <c r="B15">
        <f>COUNTIF(Flood_Data!$O$2:$O$69,A15)</f>
        <v>2</v>
      </c>
      <c r="C15">
        <f>SUMIF(Flood_Data!$O$2:$O$69,A15,Flood_Data!$G$2:$G$69)</f>
        <v>68804.11</v>
      </c>
      <c r="D15" cm="1">
        <f t="array" ref="D15">INDEX([1]Annual_Rainfall!$B$2:$B$126,MATCH(A15,[1]Annual_Rainfall!$A$2:$A$126,0))</f>
        <v>1167.51</v>
      </c>
      <c r="F15" t="e" cm="1">
        <f t="array" ref="F15">insex</f>
        <v>#NAME?</v>
      </c>
      <c r="H15">
        <f t="shared" si="1"/>
        <v>1167.51</v>
      </c>
      <c r="I15">
        <f t="shared" si="0"/>
        <v>68804.11</v>
      </c>
    </row>
    <row r="16" spans="1:9">
      <c r="A16">
        <v>1999</v>
      </c>
      <c r="B16">
        <f>COUNTIF(Flood_Data!$O$2:$O$69,A16)</f>
        <v>2</v>
      </c>
      <c r="C16">
        <f>SUMIF(Flood_Data!$O$2:$O$69,A16,Flood_Data!$G$2:$G$69)</f>
        <v>1113252</v>
      </c>
      <c r="D16" cm="1">
        <f t="array" ref="D16">INDEX([1]Annual_Rainfall!$B$2:$B$126,MATCH(A16,[1]Annual_Rainfall!$A$2:$A$126,0))</f>
        <v>1242.61</v>
      </c>
      <c r="F16" cm="1">
        <f t="array" ref="F16">INDEX(A2:A39,MATCH(MAX(B2:B39),B2:B39,0))</f>
        <v>2003</v>
      </c>
      <c r="H16">
        <f t="shared" si="1"/>
        <v>1242.61</v>
      </c>
      <c r="I16">
        <f t="shared" si="0"/>
        <v>1113252</v>
      </c>
    </row>
    <row r="17" spans="1:9">
      <c r="A17">
        <v>2000</v>
      </c>
      <c r="B17">
        <f>COUNTIF(Flood_Data!$O$2:$O$69,A17)</f>
        <v>1</v>
      </c>
      <c r="C17">
        <f>SUMIF(Flood_Data!$O$2:$O$69,A17,Flood_Data!$G$2:$G$69)</f>
        <v>7724.63</v>
      </c>
      <c r="D17" cm="1">
        <f t="array" ref="D17">INDEX([1]Annual_Rainfall!$B$2:$B$126,MATCH(A17,[1]Annual_Rainfall!$A$2:$A$126,0))</f>
        <v>1139.23</v>
      </c>
      <c r="F17" cm="1">
        <f t="array" ref="F17">INDEX(D2:D39,MATCH(2003,A2:A39,0))</f>
        <v>1277.68</v>
      </c>
      <c r="H17">
        <f t="shared" si="1"/>
        <v>1139.23</v>
      </c>
      <c r="I17">
        <f t="shared" si="0"/>
        <v>7724.63</v>
      </c>
    </row>
    <row r="18" spans="1:9">
      <c r="A18">
        <v>2001</v>
      </c>
      <c r="B18">
        <f>COUNTIF(Flood_Data!$O$2:$O$69,A18)</f>
        <v>2</v>
      </c>
      <c r="C18">
        <f>SUMIF(Flood_Data!$O$2:$O$69,A18,Flood_Data!$G$2:$G$69)</f>
        <v>15352.34</v>
      </c>
      <c r="D18" cm="1">
        <f t="array" ref="D18">INDEX([1]Annual_Rainfall!$B$2:$B$126,MATCH(A18,[1]Annual_Rainfall!$A$2:$A$126,0))</f>
        <v>1152.11</v>
      </c>
      <c r="F18">
        <f>MIN(B2:B39)</f>
        <v>0</v>
      </c>
      <c r="H18">
        <f t="shared" si="1"/>
        <v>1152.11</v>
      </c>
      <c r="I18">
        <f t="shared" si="0"/>
        <v>15352.34</v>
      </c>
    </row>
    <row r="19" spans="1:9">
      <c r="A19">
        <v>2002</v>
      </c>
      <c r="B19">
        <f>COUNTIF(Flood_Data!$O$2:$O$69,A19)</f>
        <v>1</v>
      </c>
      <c r="C19">
        <f>SUMIF(Flood_Data!$O$2:$O$69,A19,Flood_Data!$G$2:$G$69)</f>
        <v>1657.33</v>
      </c>
      <c r="D19" cm="1">
        <f t="array" ref="D19">INDEX([1]Annual_Rainfall!$B$2:$B$126,MATCH(A19,[1]Annual_Rainfall!$A$2:$A$126,0))</f>
        <v>1166.44</v>
      </c>
      <c r="F19" cm="1">
        <f t="array" ref="F19">INDEX(A2:A39,MATCH(MIN(B2:B39),B2:B39,0))</f>
        <v>1986</v>
      </c>
      <c r="H19">
        <f t="shared" si="1"/>
        <v>1166.44</v>
      </c>
      <c r="I19">
        <f t="shared" si="0"/>
        <v>1657.33</v>
      </c>
    </row>
    <row r="20" spans="1:9">
      <c r="A20">
        <v>2003</v>
      </c>
      <c r="B20">
        <f>COUNTIF(Flood_Data!$O$2:$O$69,A20)</f>
        <v>9</v>
      </c>
      <c r="C20">
        <f>SUMIF(Flood_Data!$O$2:$O$69,A20,Flood_Data!$G$2:$G$69)</f>
        <v>449965.884</v>
      </c>
      <c r="D20" cm="1">
        <f t="array" ref="D20">INDEX([1]Annual_Rainfall!$B$2:$B$126,MATCH(A20,[1]Annual_Rainfall!$A$2:$A$126,0))</f>
        <v>1277.68</v>
      </c>
      <c r="F20">
        <f>COUNTIF(B2:B39,0)</f>
        <v>9</v>
      </c>
      <c r="H20">
        <f t="shared" si="1"/>
        <v>1277.68</v>
      </c>
      <c r="I20">
        <f t="shared" si="0"/>
        <v>449965.884</v>
      </c>
    </row>
    <row r="21" spans="1:9">
      <c r="A21">
        <v>2004</v>
      </c>
      <c r="B21">
        <f>COUNTIF(Flood_Data!$O$2:$O$69,A21)</f>
        <v>5</v>
      </c>
      <c r="C21">
        <f>SUMIF(Flood_Data!$O$2:$O$69,A21,Flood_Data!$G$2:$G$69)</f>
        <v>35839.844</v>
      </c>
      <c r="D21" cm="1">
        <f t="array" ref="D21">INDEX([1]Annual_Rainfall!$B$2:$B$126,MATCH(A21,[1]Annual_Rainfall!$A$2:$A$126,0))</f>
        <v>1148.15</v>
      </c>
      <c r="F21" cm="1">
        <f t="array" ref="F21:F29">_xlfn._xlws.FILTER(A2:A39,B2:B39=0)</f>
        <v>1986</v>
      </c>
      <c r="H21">
        <f t="shared" si="1"/>
        <v>1148.15</v>
      </c>
      <c r="I21">
        <f t="shared" si="0"/>
        <v>35839.844</v>
      </c>
    </row>
    <row r="22" spans="1:9">
      <c r="A22">
        <v>2005</v>
      </c>
      <c r="B22">
        <f>COUNTIF(Flood_Data!$O$2:$O$69,A22)</f>
        <v>2</v>
      </c>
      <c r="C22">
        <f>SUMIF(Flood_Data!$O$2:$O$69,A22,Flood_Data!$G$2:$G$69)</f>
        <v>171050.48</v>
      </c>
      <c r="D22" cm="1">
        <f t="array" ref="D22">INDEX([1]Annual_Rainfall!$B$2:$B$126,MATCH(A22,[1]Annual_Rainfall!$A$2:$A$126,0))</f>
        <v>1187.66</v>
      </c>
      <c r="F22">
        <v>1987</v>
      </c>
      <c r="H22">
        <f t="shared" si="1"/>
        <v>1187.66</v>
      </c>
      <c r="I22">
        <f t="shared" si="0"/>
        <v>171050.48</v>
      </c>
    </row>
    <row r="23" spans="1:9">
      <c r="A23">
        <v>2006</v>
      </c>
      <c r="B23">
        <f>COUNTIF(Flood_Data!$O$2:$O$69,A23)</f>
        <v>3</v>
      </c>
      <c r="C23">
        <f>SUMIF(Flood_Data!$O$2:$O$69,A23,Flood_Data!$G$2:$G$69)</f>
        <v>3445.332</v>
      </c>
      <c r="D23" cm="1">
        <f t="array" ref="D23">INDEX([1]Annual_Rainfall!$B$2:$B$126,MATCH(A23,[1]Annual_Rainfall!$A$2:$A$126,0))</f>
        <v>1182.62</v>
      </c>
      <c r="F23">
        <v>1989</v>
      </c>
      <c r="H23">
        <f t="shared" si="1"/>
        <v>1182.62</v>
      </c>
      <c r="I23">
        <f t="shared" si="0"/>
        <v>3445.332</v>
      </c>
    </row>
    <row r="24" spans="1:9">
      <c r="A24">
        <v>2007</v>
      </c>
      <c r="B24">
        <f>COUNTIF(Flood_Data!$O$2:$O$69,A24)</f>
        <v>2</v>
      </c>
      <c r="C24">
        <f>SUMIF(Flood_Data!$O$2:$O$69,A24,Flood_Data!$G$2:$G$69)</f>
        <v>635389.03</v>
      </c>
      <c r="D24" cm="1">
        <f t="array" ref="D24">INDEX([1]Annual_Rainfall!$B$2:$B$126,MATCH(A24,[1]Annual_Rainfall!$A$2:$A$126,0))</f>
        <v>1186.85</v>
      </c>
      <c r="F24">
        <v>1993</v>
      </c>
      <c r="H24">
        <f t="shared" si="1"/>
        <v>1186.85</v>
      </c>
      <c r="I24">
        <f t="shared" si="0"/>
        <v>635389.03</v>
      </c>
    </row>
    <row r="25" spans="1:9">
      <c r="A25">
        <v>2008</v>
      </c>
      <c r="B25">
        <f>COUNTIF(Flood_Data!$O$2:$O$69,A25)</f>
        <v>0</v>
      </c>
      <c r="C25">
        <f>SUMIF(Flood_Data!$O$2:$O$69,A25,Flood_Data!$G$2:$G$69)</f>
        <v>0</v>
      </c>
      <c r="D25" cm="1">
        <f t="array" ref="D25">INDEX([1]Annual_Rainfall!$B$2:$B$126,MATCH(A25,[1]Annual_Rainfall!$A$2:$A$126,0))</f>
        <v>1205.15</v>
      </c>
      <c r="F25">
        <v>1996</v>
      </c>
      <c r="H25">
        <f t="shared" si="1"/>
        <v>1205.15</v>
      </c>
      <c r="I25">
        <f t="shared" si="0"/>
        <v>0</v>
      </c>
    </row>
    <row r="26" spans="1:9">
      <c r="A26">
        <v>2009</v>
      </c>
      <c r="B26">
        <f>COUNTIF(Flood_Data!$O$2:$O$69,A26)</f>
        <v>2</v>
      </c>
      <c r="C26">
        <f>SUMIF(Flood_Data!$O$2:$O$69,A26,Flood_Data!$G$2:$G$69)</f>
        <v>117219.47</v>
      </c>
      <c r="D26" cm="1">
        <f t="array" ref="D26">INDEX([1]Annual_Rainfall!$B$2:$B$126,MATCH(A26,[1]Annual_Rainfall!$A$2:$A$126,0))</f>
        <v>1152.55</v>
      </c>
      <c r="F26">
        <v>2008</v>
      </c>
      <c r="H26">
        <f t="shared" si="1"/>
        <v>1152.55</v>
      </c>
      <c r="I26">
        <f t="shared" si="0"/>
        <v>117219.47</v>
      </c>
    </row>
    <row r="27" spans="1:9">
      <c r="A27">
        <v>2010</v>
      </c>
      <c r="B27">
        <f>COUNTIF(Flood_Data!$O$2:$O$69,A27)</f>
        <v>1</v>
      </c>
      <c r="C27">
        <f>SUMIF(Flood_Data!$O$2:$O$69,A27,Flood_Data!$G$2:$G$69)</f>
        <v>8694.6</v>
      </c>
      <c r="D27" cm="1">
        <f t="array" ref="D27">INDEX([1]Annual_Rainfall!$B$2:$B$126,MATCH(A27,[1]Annual_Rainfall!$A$2:$A$126,0))</f>
        <v>1236.44</v>
      </c>
      <c r="F27">
        <v>2014</v>
      </c>
      <c r="H27">
        <f t="shared" si="1"/>
        <v>1236.44</v>
      </c>
      <c r="I27">
        <f t="shared" si="0"/>
        <v>8694.6</v>
      </c>
    </row>
    <row r="28" spans="1:9">
      <c r="A28">
        <v>2011</v>
      </c>
      <c r="B28">
        <f>COUNTIF(Flood_Data!$O$2:$O$69,A28)</f>
        <v>2</v>
      </c>
      <c r="C28">
        <f>SUMIF(Flood_Data!$O$2:$O$69,A28,Flood_Data!$G$2:$G$69)</f>
        <v>123013.9</v>
      </c>
      <c r="D28" cm="1">
        <f t="array" ref="D28">INDEX([1]Annual_Rainfall!$B$2:$B$126,MATCH(A28,[1]Annual_Rainfall!$A$2:$A$126,0))</f>
        <v>1050.75</v>
      </c>
      <c r="F28">
        <v>2016</v>
      </c>
      <c r="H28">
        <f t="shared" si="1"/>
        <v>1050.75</v>
      </c>
      <c r="I28">
        <f t="shared" si="0"/>
        <v>123013.9</v>
      </c>
    </row>
    <row r="29" spans="1:9">
      <c r="A29">
        <v>2012</v>
      </c>
      <c r="B29">
        <f>COUNTIF(Flood_Data!$O$2:$O$69,A29)</f>
        <v>6</v>
      </c>
      <c r="C29">
        <f>SUMIF(Flood_Data!$O$2:$O$69,A29,Flood_Data!$G$2:$G$69)</f>
        <v>270674.49</v>
      </c>
      <c r="D29" cm="1">
        <f t="array" ref="D29">INDEX([1]Annual_Rainfall!$B$2:$B$126,MATCH(A29,[1]Annual_Rainfall!$A$2:$A$126,0))</f>
        <v>1240.11</v>
      </c>
      <c r="F29">
        <v>2022</v>
      </c>
      <c r="H29">
        <f t="shared" si="1"/>
        <v>1240.11</v>
      </c>
      <c r="I29">
        <f t="shared" si="0"/>
        <v>270674.49</v>
      </c>
    </row>
    <row r="30" spans="1:9">
      <c r="A30">
        <v>2013</v>
      </c>
      <c r="B30">
        <f>COUNTIF(Flood_Data!$O$2:$O$69,A30)</f>
        <v>1</v>
      </c>
      <c r="C30">
        <f>SUMIF(Flood_Data!$O$2:$O$69,A30,Flood_Data!$G$2:$G$69)</f>
        <v>178191.77</v>
      </c>
      <c r="D30" cm="1">
        <f t="array" ref="D30">INDEX([1]Annual_Rainfall!$B$2:$B$126,MATCH(A30,[1]Annual_Rainfall!$A$2:$A$126,0))</f>
        <v>1069.17</v>
      </c>
      <c r="F30">
        <f>AVERAGE(C2:C39)</f>
        <v>172136.454473684</v>
      </c>
      <c r="H30">
        <f t="shared" si="1"/>
        <v>1069.17</v>
      </c>
      <c r="I30">
        <f t="shared" si="0"/>
        <v>178191.77</v>
      </c>
    </row>
    <row r="31" spans="1:9">
      <c r="A31">
        <v>2014</v>
      </c>
      <c r="B31">
        <f>COUNTIF(Flood_Data!$O$2:$O$69,A31)</f>
        <v>0</v>
      </c>
      <c r="C31">
        <f>SUMIF(Flood_Data!$O$2:$O$69,A31,Flood_Data!$G$2:$G$69)</f>
        <v>0</v>
      </c>
      <c r="D31" cm="1">
        <f t="array" ref="D31">INDEX([1]Annual_Rainfall!$B$2:$B$126,MATCH(A31,[1]Annual_Rainfall!$A$2:$A$126,0))</f>
        <v>1144.34</v>
      </c>
      <c r="F31">
        <f>AVERAGE(C2:C39)</f>
        <v>172136.454473684</v>
      </c>
      <c r="H31">
        <f t="shared" si="1"/>
        <v>1144.34</v>
      </c>
      <c r="I31">
        <f t="shared" si="0"/>
        <v>0</v>
      </c>
    </row>
    <row r="32" spans="1:9">
      <c r="A32">
        <v>2015</v>
      </c>
      <c r="B32">
        <f>COUNTIF(Flood_Data!$O$2:$O$69,A32)</f>
        <v>1</v>
      </c>
      <c r="C32">
        <f>SUMIF(Flood_Data!$O$2:$O$69,A32,Flood_Data!$G$2:$G$69)</f>
        <v>186816.02</v>
      </c>
      <c r="D32" cm="1">
        <f t="array" ref="D32">INDEX([1]Annual_Rainfall!$B$2:$B$126,MATCH(A32,[1]Annual_Rainfall!$A$2:$A$126,0))</f>
        <v>1032.6</v>
      </c>
      <c r="F32">
        <f>MAX(C2:C39)</f>
        <v>1471789.48</v>
      </c>
      <c r="H32">
        <f t="shared" si="1"/>
        <v>1032.6</v>
      </c>
      <c r="I32">
        <f t="shared" si="0"/>
        <v>186816.02</v>
      </c>
    </row>
    <row r="33" spans="1:9">
      <c r="A33">
        <v>2016</v>
      </c>
      <c r="B33">
        <f>COUNTIF(Flood_Data!$O$2:$O$69,A33)</f>
        <v>0</v>
      </c>
      <c r="C33">
        <f>SUMIF(Flood_Data!$O$2:$O$69,A33,Flood_Data!$G$2:$G$69)</f>
        <v>0</v>
      </c>
      <c r="D33" cm="1">
        <f t="array" ref="D33">INDEX([1]Annual_Rainfall!$B$2:$B$126,MATCH(A33,[1]Annual_Rainfall!$A$2:$A$126,0))</f>
        <v>1202.33</v>
      </c>
      <c r="F33" t="e">
        <f>MIN(C2:CC39)</f>
        <v>#NAME?</v>
      </c>
      <c r="H33">
        <f t="shared" si="1"/>
        <v>1202.33</v>
      </c>
      <c r="I33">
        <f t="shared" si="0"/>
        <v>0</v>
      </c>
    </row>
    <row r="34" spans="1:9">
      <c r="A34">
        <v>2017</v>
      </c>
      <c r="B34">
        <f>COUNTIF(Flood_Data!$O$2:$O$69,A34)</f>
        <v>2</v>
      </c>
      <c r="C34">
        <f>SUMIF(Flood_Data!$O$2:$O$69,A34,Flood_Data!$G$2:$G$69)</f>
        <v>111091.46</v>
      </c>
      <c r="D34" cm="1">
        <f t="array" ref="D34">INDEX([1]Annual_Rainfall!$B$2:$B$126,MATCH(A34,[1]Annual_Rainfall!$A$2:$A$126,0))</f>
        <v>1156.19</v>
      </c>
      <c r="F34">
        <f>MIN(C2:C39)</f>
        <v>0</v>
      </c>
      <c r="H34">
        <f t="shared" si="1"/>
        <v>1156.19</v>
      </c>
      <c r="I34">
        <f t="shared" si="0"/>
        <v>111091.46</v>
      </c>
    </row>
    <row r="35" spans="1:9">
      <c r="A35">
        <v>2018</v>
      </c>
      <c r="B35">
        <f>COUNTIF(Flood_Data!$O$2:$O$69,A35)</f>
        <v>2</v>
      </c>
      <c r="C35">
        <f>SUMIF(Flood_Data!$O$2:$O$69,A35,Flood_Data!$G$2:$G$69)</f>
        <v>320377.82</v>
      </c>
      <c r="D35" cm="1">
        <f t="array" ref="D35">INDEX([1]Annual_Rainfall!$B$2:$B$126,MATCH(A35,[1]Annual_Rainfall!$A$2:$A$126,0))</f>
        <v>1259.86</v>
      </c>
      <c r="F35">
        <f>COUNTIF(C2:C39,0)</f>
        <v>9</v>
      </c>
      <c r="H35">
        <f t="shared" si="1"/>
        <v>1259.86</v>
      </c>
      <c r="I35">
        <f t="shared" si="0"/>
        <v>320377.82</v>
      </c>
    </row>
    <row r="36" spans="1:9">
      <c r="A36">
        <v>2019</v>
      </c>
      <c r="B36">
        <f>COUNTIF(Flood_Data!$O$2:$O$69,A36)</f>
        <v>4</v>
      </c>
      <c r="C36">
        <f>SUMIF(Flood_Data!$O$2:$O$69,A36,Flood_Data!$G$2:$G$69)</f>
        <v>1471789.48</v>
      </c>
      <c r="D36" cm="1">
        <f t="array" ref="D36">INDEX([1]Annual_Rainfall!$B$2:$B$126,MATCH(A36,[1]Annual_Rainfall!$A$2:$A$126,0))</f>
        <v>1296.65</v>
      </c>
      <c r="F36">
        <f>MAX(D2:D39)</f>
        <v>1296.65</v>
      </c>
      <c r="H36">
        <f t="shared" si="1"/>
        <v>1296.65</v>
      </c>
      <c r="I36">
        <f t="shared" si="0"/>
        <v>1471789.48</v>
      </c>
    </row>
    <row r="37" spans="1:9">
      <c r="A37">
        <v>2020</v>
      </c>
      <c r="B37">
        <f>COUNTIF(Flood_Data!$O$2:$O$69,A37)</f>
        <v>2</v>
      </c>
      <c r="C37">
        <f>SUMIF(Flood_Data!$O$2:$O$69,A37,Flood_Data!$G$2:$G$69)</f>
        <v>449138.64</v>
      </c>
      <c r="D37" cm="1">
        <f t="array" ref="D37">INDEX([1]Annual_Rainfall!$B$2:$B$126,MATCH(A37,[1]Annual_Rainfall!$A$2:$A$126,0))</f>
        <v>1255.3</v>
      </c>
      <c r="F37">
        <f>MIN(D2:D39)</f>
        <v>1025.86</v>
      </c>
      <c r="H37">
        <f t="shared" si="1"/>
        <v>1255.3</v>
      </c>
      <c r="I37">
        <f t="shared" si="0"/>
        <v>449138.64</v>
      </c>
    </row>
    <row r="38" spans="1:9">
      <c r="A38">
        <v>2021</v>
      </c>
      <c r="B38">
        <f>COUNTIF(Flood_Data!$O$2:$O$69,A38)</f>
        <v>1</v>
      </c>
      <c r="C38">
        <f>SUMIF(Flood_Data!$O$2:$O$69,A38,Flood_Data!$G$2:$G$69)</f>
        <v>114959.47</v>
      </c>
      <c r="D38" cm="1">
        <f t="array" ref="D38">INDEX([1]Annual_Rainfall!$B$2:$B$126,MATCH(A38,[1]Annual_Rainfall!$A$2:$A$126,0))</f>
        <v>1118.94</v>
      </c>
      <c r="F38" cm="1">
        <f t="array" ref="F38">INDEX(A2:A39,MATCH(MIN(D2:D39),D2:D39,0))</f>
        <v>1987</v>
      </c>
      <c r="H38">
        <f t="shared" si="1"/>
        <v>1118.94</v>
      </c>
      <c r="I38">
        <f t="shared" si="0"/>
        <v>114959.47</v>
      </c>
    </row>
    <row r="39" spans="1:9">
      <c r="A39">
        <v>2022</v>
      </c>
      <c r="B39">
        <f>COUNTIF(Flood_Data!$O$2:$O$69,A39)</f>
        <v>0</v>
      </c>
      <c r="C39">
        <f>SUMIF(Flood_Data!$O$2:$O$69,A39,Flood_Data!$G$2:$G$69)</f>
        <v>0</v>
      </c>
      <c r="D39" cm="1">
        <f t="array" ref="D39">INDEX([1]Annual_Rainfall!$B$2:$B$126,MATCH(A39,[1]Annual_Rainfall!$A$2:$A$126,0))</f>
        <v>1226.07</v>
      </c>
      <c r="F39">
        <f>MAX(D2:D39)</f>
        <v>1296.65</v>
      </c>
      <c r="H39">
        <f t="shared" si="1"/>
        <v>1226.07</v>
      </c>
      <c r="I39">
        <f t="shared" si="0"/>
        <v>0</v>
      </c>
    </row>
    <row r="40" spans="1:9">
      <c r="F40" cm="1">
        <f t="array" ref="F40">INDEX(A2:A39,MATCH(MAX(D2:D39),D2:D39,0))</f>
        <v>2019</v>
      </c>
    </row>
    <row r="41" spans="1:9">
      <c r="F41">
        <f>AVERAGE(D2:D39)</f>
        <v>1171.82447368421</v>
      </c>
    </row>
    <row r="42" spans="1:9">
      <c r="F42">
        <f>AVERAGE(B2:B39)</f>
        <v>1.78947368421053</v>
      </c>
    </row>
    <row r="43" spans="1:9">
      <c r="F43">
        <f>MAX(B2:B39)</f>
        <v>9</v>
      </c>
    </row>
    <row r="44" spans="1:9">
      <c r="F44" cm="1">
        <f t="array" ref="F44">INDEX(A2:A39,MATCH(MAX(B2:B39),B2:B39,0))</f>
        <v>2003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FloodArchive</vt:lpstr>
      <vt:lpstr>Sheet1</vt:lpstr>
      <vt:lpstr>Flood_Data</vt:lpstr>
      <vt:lpstr>Annual Flood</vt:lpstr>
      <vt:lpstr>Flood Annual Final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 Brakenridge</dc:creator>
  <cp:lastModifiedBy>Crystal Lightening</cp:lastModifiedBy>
  <dcterms:created xsi:type="dcterms:W3CDTF">2021-10-11T12:17:00Z</dcterms:created>
  <dcterms:modified xsi:type="dcterms:W3CDTF">2026-10-06T14:45:11Z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F2446CC88AE147848981E9A8F0BCE4EB_12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